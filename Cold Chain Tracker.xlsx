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30b39264926e98/EB 1/FoodSupply Chain Dashboard/Excel Workbook/"/>
    </mc:Choice>
  </mc:AlternateContent>
  <xr:revisionPtr revIDLastSave="242" documentId="8_{C5069827-D97F-41F9-8033-C0CE1B2616F4}" xr6:coauthVersionLast="47" xr6:coauthVersionMax="47" xr10:uidLastSave="{3BA68F9B-B862-491A-828D-48032AE6D864}"/>
  <bookViews>
    <workbookView xWindow="28680" yWindow="-120" windowWidth="29040" windowHeight="15720" activeTab="5" xr2:uid="{C868DD17-F142-4AA8-B257-53833372B2F4}"/>
  </bookViews>
  <sheets>
    <sheet name="Delivery_Raw" sheetId="5" r:id="rId1"/>
    <sheet name="Demand_Raw" sheetId="4" r:id="rId2"/>
    <sheet name="Cold_Chain_Raw" sheetId="3" r:id="rId3"/>
    <sheet name="Waste Summary" sheetId="7" r:id="rId4"/>
    <sheet name="Inventory_Raw" sheetId="2" r:id="rId5"/>
    <sheet name="KPI_Dashboard" sheetId="1" r:id="rId6"/>
  </sheets>
  <definedNames>
    <definedName name="ExternalData_1" localSheetId="4" hidden="1">Inventory_Raw!$A$1:$L$781</definedName>
    <definedName name="ExternalData_2" localSheetId="2" hidden="1">'Cold_Chain_Raw'!$A$1:$I$2701</definedName>
    <definedName name="ExternalData_3" localSheetId="1" hidden="1">Demand_Raw!$A$1:$J$781</definedName>
    <definedName name="ExternalData_4" localSheetId="0" hidden="1">Delivery_Raw!$A$1:$I$131</definedName>
  </definedNames>
  <calcPr calcId="191029"/>
  <pivotCaches>
    <pivotCache cacheId="0" r:id="rId7"/>
    <pivotCache cacheId="1" r:id="rId8"/>
    <pivotCache cacheId="2" r:id="rId9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1" l="1"/>
  <c r="B6" i="1"/>
  <c r="B5" i="1"/>
  <c r="B4" i="1"/>
  <c r="B3" i="1"/>
  <c r="B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150D89-DC90-4901-9ACD-979772B8CBD8}" keepAlive="1" name="Query - cold_chain_events Fsupply chain Dashboard" description="Connection to the 'cold_chain_events Fsupply chain Dashboard' query in the workbook." type="5" refreshedVersion="8" background="1" saveData="1">
    <dbPr connection="Provider=Microsoft.Mashup.OleDb.1;Data Source=$Workbook$;Location=&quot;cold_chain_events Fsupply chain Dashboard&quot;;Extended Properties=&quot;&quot;" command="SELECT * FROM [cold_chain_events Fsupply chain Dashboard]"/>
  </connection>
  <connection id="2" xr16:uid="{4B8A4DD4-0662-496C-B8BC-857FBEB66181}" keepAlive="1" name="Query - delivery_performance Fsupply chain Dashboard" description="Connection to the 'delivery_performance Fsupply chain Dashboard' query in the workbook." type="5" refreshedVersion="8" background="1" saveData="1">
    <dbPr connection="Provider=Microsoft.Mashup.OleDb.1;Data Source=$Workbook$;Location=&quot;delivery_performance Fsupply chain Dashboard&quot;;Extended Properties=&quot;&quot;" command="SELECT * FROM [delivery_performance Fsupply chain Dashboard]"/>
  </connection>
  <connection id="3" xr16:uid="{74CD6FDD-07CB-400A-B5E9-B8A03F27CB03}" keepAlive="1" name="Query - demand_forecast Fsupply chain Dashboard" description="Connection to the 'demand_forecast Fsupply chain Dashboard' query in the workbook." type="5" refreshedVersion="8" background="1" saveData="1">
    <dbPr connection="Provider=Microsoft.Mashup.OleDb.1;Data Source=$Workbook$;Location=&quot;demand_forecast Fsupply chain Dashboard&quot;;Extended Properties=&quot;&quot;" command="SELECT * FROM [demand_forecast Fsupply chain Dashboard]"/>
  </connection>
  <connection id="4" xr16:uid="{868E9415-1C3A-4411-A167-1C61C4FBDA9A}" keepAlive="1" name="Query - inventory_waste Food supply chain Dashboard" description="Connection to the 'inventory_waste Food supply chain Dashboard' query in the workbook." type="5" refreshedVersion="8" background="1" saveData="1">
    <dbPr connection="Provider=Microsoft.Mashup.OleDb.1;Data Source=$Workbook$;Location=&quot;inventory_waste Food supply chain Dashboard&quot;;Extended Properties=&quot;&quot;" command="SELECT * FROM [inventory_waste Food supply chain Dashboard]"/>
  </connection>
</connections>
</file>

<file path=xl/sharedStrings.xml><?xml version="1.0" encoding="utf-8"?>
<sst xmlns="http://schemas.openxmlformats.org/spreadsheetml/2006/main" count="26038" uniqueCount="78">
  <si>
    <t>week</t>
  </si>
  <si>
    <t>distributor_id</t>
  </si>
  <si>
    <t>distributor_name</t>
  </si>
  <si>
    <t>region</t>
  </si>
  <si>
    <t>product_id</t>
  </si>
  <si>
    <t>product_name</t>
  </si>
  <si>
    <t>category</t>
  </si>
  <si>
    <t>units_ordered</t>
  </si>
  <si>
    <t>units_sold</t>
  </si>
  <si>
    <t>units_wasted</t>
  </si>
  <si>
    <t>waste_pct</t>
  </si>
  <si>
    <t>revenue_usd</t>
  </si>
  <si>
    <t>D001</t>
  </si>
  <si>
    <t>Green Valley Produce</t>
  </si>
  <si>
    <t>Midwest</t>
  </si>
  <si>
    <t>P001</t>
  </si>
  <si>
    <t>Leafy Greens</t>
  </si>
  <si>
    <t>Produce</t>
  </si>
  <si>
    <t>P002</t>
  </si>
  <si>
    <t>Whole Milk</t>
  </si>
  <si>
    <t>Dairy</t>
  </si>
  <si>
    <t>P003</t>
  </si>
  <si>
    <t>Ground Beef</t>
  </si>
  <si>
    <t>Meat</t>
  </si>
  <si>
    <t>P004</t>
  </si>
  <si>
    <t>Tomatoes</t>
  </si>
  <si>
    <t>P005</t>
  </si>
  <si>
    <t>Cheddar Cheese</t>
  </si>
  <si>
    <t>P006</t>
  </si>
  <si>
    <t>Chicken Breast</t>
  </si>
  <si>
    <t>D002</t>
  </si>
  <si>
    <t>Fresh Coast Foods</t>
  </si>
  <si>
    <t>Southeast</t>
  </si>
  <si>
    <t>D003</t>
  </si>
  <si>
    <t>Heartland Meats</t>
  </si>
  <si>
    <t>Plains</t>
  </si>
  <si>
    <t>D004</t>
  </si>
  <si>
    <t>Southwest Organics</t>
  </si>
  <si>
    <t>Southwest</t>
  </si>
  <si>
    <t>D005</t>
  </si>
  <si>
    <t>Great Lakes Dairy</t>
  </si>
  <si>
    <t>date</t>
  </si>
  <si>
    <t>ideal_temp_f</t>
  </si>
  <si>
    <t>actual_temp_f</t>
  </si>
  <si>
    <t>breach</t>
  </si>
  <si>
    <t>breach_severity</t>
  </si>
  <si>
    <t>NO</t>
  </si>
  <si>
    <t>OK</t>
  </si>
  <si>
    <t>YES</t>
  </si>
  <si>
    <t>HIGH</t>
  </si>
  <si>
    <t>MEDIUM</t>
  </si>
  <si>
    <t>actual_demand</t>
  </si>
  <si>
    <t>forecasted_demand</t>
  </si>
  <si>
    <t>forecast_error_pct</t>
  </si>
  <si>
    <t>over_under</t>
  </si>
  <si>
    <t>Over</t>
  </si>
  <si>
    <t>Under</t>
  </si>
  <si>
    <t>total_deliveries</t>
  </si>
  <si>
    <t>on_time</t>
  </si>
  <si>
    <t>late</t>
  </si>
  <si>
    <t>on_time_pct</t>
  </si>
  <si>
    <t>avg_delay_hrs</t>
  </si>
  <si>
    <t>Row Labels</t>
  </si>
  <si>
    <t>Grand Total</t>
  </si>
  <si>
    <t>Column Labels</t>
  </si>
  <si>
    <t>Sum of units_wasted</t>
  </si>
  <si>
    <t>Total Sum of units_wasted</t>
  </si>
  <si>
    <t>Total Average of waste_pct</t>
  </si>
  <si>
    <t>Average of waste_pct</t>
  </si>
  <si>
    <t>Sum of revenue_usd</t>
  </si>
  <si>
    <t>Count of breach</t>
  </si>
  <si>
    <t>Avg Waste Rate %</t>
  </si>
  <si>
    <t>Total Units Wasted</t>
  </si>
  <si>
    <t>Cold Chain Breaches</t>
  </si>
  <si>
    <t>Breach Rate %</t>
  </si>
  <si>
    <t>Avg On-Time Delivery %</t>
  </si>
  <si>
    <t>Avg Forecast Error %</t>
  </si>
  <si>
    <t>Food Supply Chain KPI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</si>
</sst>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00"/>
    <numFmt numFmtId="166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.5"/>
      <color theme="1"/>
      <name val="Arial"/>
      <family val="2"/>
    </font>
    <font>
      <sz val="10"/>
      <color theme="1"/>
      <name val="Arial Unicode MS"/>
      <family val="2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14" fontId="0" fillId="0" borderId="0" xfId="0" applyNumberFormat="1" applyAlignment="1">
      <alignment horizontal="left"/>
    </xf>
    <xf numFmtId="0" fontId="2" fillId="0" borderId="0" xfId="0" applyFont="1"/>
    <xf numFmtId="2" fontId="3" fillId="0" borderId="0" xfId="0" applyNumberFormat="1" applyFont="1"/>
    <xf numFmtId="166" fontId="2" fillId="0" borderId="0" xfId="1" applyNumberFormat="1" applyFont="1"/>
    <xf numFmtId="2" fontId="2" fillId="0" borderId="0" xfId="0" applyNumberFormat="1" applyFont="1"/>
    <xf numFmtId="0" fontId="4" fillId="0" borderId="0" xfId="0" applyFont="1"/>
  </cellXfs>
  <cellStyles count="2">
    <cellStyle name="Comma" xfId="1" builtinId="3"/>
    <cellStyle name="Normal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65" formatCode="0.000"/>
    </dxf>
    <dxf>
      <numFmt numFmtId="164" formatCode="0.0"/>
    </dxf>
    <dxf>
      <numFmt numFmtId="164" formatCode="0.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[Cold Chain Tracker.xlsx]Waste Summary!PivotTable4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/>
              <a:t>Weekly</a:t>
            </a:r>
            <a:r>
              <a:rPr lang="en-US" sz="1100" b="1" baseline="0"/>
              <a:t> Food Waste Trend - All Distributors</a:t>
            </a:r>
            <a:endParaRPr lang="en-US" sz="11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1"/>
          <c:order val="1"/>
          <c:tx>
            <c:strRef>
              <c:f>'Waste Summary'!$C$17</c:f>
              <c:strCache>
                <c:ptCount val="1"/>
                <c:pt idx="0">
                  <c:v>Sum of revenue_usd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'Waste Summary'!$A$18:$A$44</c:f>
              <c:strCache>
                <c:ptCount val="26"/>
                <c:pt idx="0">
                  <c:v>1/1/2024</c:v>
                </c:pt>
                <c:pt idx="1">
                  <c:v>1/8/2024</c:v>
                </c:pt>
                <c:pt idx="2">
                  <c:v>1/15/2024</c:v>
                </c:pt>
                <c:pt idx="3">
                  <c:v>1/22/2024</c:v>
                </c:pt>
                <c:pt idx="4">
                  <c:v>1/29/2024</c:v>
                </c:pt>
                <c:pt idx="5">
                  <c:v>2/5/2024</c:v>
                </c:pt>
                <c:pt idx="6">
                  <c:v>2/12/2024</c:v>
                </c:pt>
                <c:pt idx="7">
                  <c:v>2/19/2024</c:v>
                </c:pt>
                <c:pt idx="8">
                  <c:v>2/26/2024</c:v>
                </c:pt>
                <c:pt idx="9">
                  <c:v>3/4/2024</c:v>
                </c:pt>
                <c:pt idx="10">
                  <c:v>3/11/2024</c:v>
                </c:pt>
                <c:pt idx="11">
                  <c:v>3/18/2024</c:v>
                </c:pt>
                <c:pt idx="12">
                  <c:v>3/25/2024</c:v>
                </c:pt>
                <c:pt idx="13">
                  <c:v>4/1/2024</c:v>
                </c:pt>
                <c:pt idx="14">
                  <c:v>4/8/2024</c:v>
                </c:pt>
                <c:pt idx="15">
                  <c:v>4/15/2024</c:v>
                </c:pt>
                <c:pt idx="16">
                  <c:v>4/22/2024</c:v>
                </c:pt>
                <c:pt idx="17">
                  <c:v>4/29/2024</c:v>
                </c:pt>
                <c:pt idx="18">
                  <c:v>5/6/2024</c:v>
                </c:pt>
                <c:pt idx="19">
                  <c:v>5/13/2024</c:v>
                </c:pt>
                <c:pt idx="20">
                  <c:v>5/20/2024</c:v>
                </c:pt>
                <c:pt idx="21">
                  <c:v>5/27/2024</c:v>
                </c:pt>
                <c:pt idx="22">
                  <c:v>6/3/2024</c:v>
                </c:pt>
                <c:pt idx="23">
                  <c:v>6/10/2024</c:v>
                </c:pt>
                <c:pt idx="24">
                  <c:v>6/17/2024</c:v>
                </c:pt>
                <c:pt idx="25">
                  <c:v>6/24/2024</c:v>
                </c:pt>
              </c:strCache>
            </c:strRef>
          </c:cat>
          <c:val>
            <c:numRef>
              <c:f>'Waste Summary'!$C$18:$C$44</c:f>
              <c:numCache>
                <c:formatCode>General</c:formatCode>
                <c:ptCount val="26"/>
                <c:pt idx="0">
                  <c:v>68721.25</c:v>
                </c:pt>
                <c:pt idx="1">
                  <c:v>60254.399999999987</c:v>
                </c:pt>
                <c:pt idx="2">
                  <c:v>64352.290000000015</c:v>
                </c:pt>
                <c:pt idx="3">
                  <c:v>65627.91</c:v>
                </c:pt>
                <c:pt idx="4">
                  <c:v>62912.390000000014</c:v>
                </c:pt>
                <c:pt idx="5">
                  <c:v>71504.08</c:v>
                </c:pt>
                <c:pt idx="6">
                  <c:v>73427.899999999994</c:v>
                </c:pt>
                <c:pt idx="7">
                  <c:v>64088.39</c:v>
                </c:pt>
                <c:pt idx="8">
                  <c:v>66169.23000000001</c:v>
                </c:pt>
                <c:pt idx="9">
                  <c:v>67702.089999999982</c:v>
                </c:pt>
                <c:pt idx="10">
                  <c:v>67914.210000000006</c:v>
                </c:pt>
                <c:pt idx="11">
                  <c:v>65691.7</c:v>
                </c:pt>
                <c:pt idx="12">
                  <c:v>61261.570000000007</c:v>
                </c:pt>
                <c:pt idx="13">
                  <c:v>60245.69</c:v>
                </c:pt>
                <c:pt idx="14">
                  <c:v>63703.299999999996</c:v>
                </c:pt>
                <c:pt idx="15">
                  <c:v>62316.81</c:v>
                </c:pt>
                <c:pt idx="16">
                  <c:v>67406.030000000013</c:v>
                </c:pt>
                <c:pt idx="17">
                  <c:v>67479.520000000004</c:v>
                </c:pt>
                <c:pt idx="18">
                  <c:v>60237.4</c:v>
                </c:pt>
                <c:pt idx="19">
                  <c:v>62662.800000000017</c:v>
                </c:pt>
                <c:pt idx="20">
                  <c:v>59278.73</c:v>
                </c:pt>
                <c:pt idx="21">
                  <c:v>74199.189999999988</c:v>
                </c:pt>
                <c:pt idx="22">
                  <c:v>63672.989999999991</c:v>
                </c:pt>
                <c:pt idx="23">
                  <c:v>64437.249999999993</c:v>
                </c:pt>
                <c:pt idx="24">
                  <c:v>73314.149999999994</c:v>
                </c:pt>
                <c:pt idx="25">
                  <c:v>71070.739999999991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92-4281-B45F-C61CF291E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9818512"/>
        <c:axId val="779819952"/>
      </c:lineChart>
      <c:lineChart>
        <c:grouping val="standard"/>
        <c:varyColors val="0"/>
        <c:ser>
          <c:idx val="0"/>
          <c:order val="0"/>
          <c:tx>
            <c:strRef>
              <c:f>'Waste Summary'!$B$17</c:f>
              <c:strCache>
                <c:ptCount val="1"/>
                <c:pt idx="0">
                  <c:v>Sum of units_wasted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'Waste Summary'!$A$18:$A$44</c:f>
              <c:strCache>
                <c:ptCount val="26"/>
                <c:pt idx="0">
                  <c:v>1/1/2024</c:v>
                </c:pt>
                <c:pt idx="1">
                  <c:v>1/8/2024</c:v>
                </c:pt>
                <c:pt idx="2">
                  <c:v>1/15/2024</c:v>
                </c:pt>
                <c:pt idx="3">
                  <c:v>1/22/2024</c:v>
                </c:pt>
                <c:pt idx="4">
                  <c:v>1/29/2024</c:v>
                </c:pt>
                <c:pt idx="5">
                  <c:v>2/5/2024</c:v>
                </c:pt>
                <c:pt idx="6">
                  <c:v>2/12/2024</c:v>
                </c:pt>
                <c:pt idx="7">
                  <c:v>2/19/2024</c:v>
                </c:pt>
                <c:pt idx="8">
                  <c:v>2/26/2024</c:v>
                </c:pt>
                <c:pt idx="9">
                  <c:v>3/4/2024</c:v>
                </c:pt>
                <c:pt idx="10">
                  <c:v>3/11/2024</c:v>
                </c:pt>
                <c:pt idx="11">
                  <c:v>3/18/2024</c:v>
                </c:pt>
                <c:pt idx="12">
                  <c:v>3/25/2024</c:v>
                </c:pt>
                <c:pt idx="13">
                  <c:v>4/1/2024</c:v>
                </c:pt>
                <c:pt idx="14">
                  <c:v>4/8/2024</c:v>
                </c:pt>
                <c:pt idx="15">
                  <c:v>4/15/2024</c:v>
                </c:pt>
                <c:pt idx="16">
                  <c:v>4/22/2024</c:v>
                </c:pt>
                <c:pt idx="17">
                  <c:v>4/29/2024</c:v>
                </c:pt>
                <c:pt idx="18">
                  <c:v>5/6/2024</c:v>
                </c:pt>
                <c:pt idx="19">
                  <c:v>5/13/2024</c:v>
                </c:pt>
                <c:pt idx="20">
                  <c:v>5/20/2024</c:v>
                </c:pt>
                <c:pt idx="21">
                  <c:v>5/27/2024</c:v>
                </c:pt>
                <c:pt idx="22">
                  <c:v>6/3/2024</c:v>
                </c:pt>
                <c:pt idx="23">
                  <c:v>6/10/2024</c:v>
                </c:pt>
                <c:pt idx="24">
                  <c:v>6/17/2024</c:v>
                </c:pt>
                <c:pt idx="25">
                  <c:v>6/24/2024</c:v>
                </c:pt>
              </c:strCache>
            </c:strRef>
          </c:cat>
          <c:val>
            <c:numRef>
              <c:f>'Waste Summary'!$B$18:$B$44</c:f>
              <c:numCache>
                <c:formatCode>General</c:formatCode>
                <c:ptCount val="26"/>
                <c:pt idx="0">
                  <c:v>916</c:v>
                </c:pt>
                <c:pt idx="1">
                  <c:v>962</c:v>
                </c:pt>
                <c:pt idx="2">
                  <c:v>950</c:v>
                </c:pt>
                <c:pt idx="3">
                  <c:v>957</c:v>
                </c:pt>
                <c:pt idx="4">
                  <c:v>835</c:v>
                </c:pt>
                <c:pt idx="5">
                  <c:v>915</c:v>
                </c:pt>
                <c:pt idx="6">
                  <c:v>891</c:v>
                </c:pt>
                <c:pt idx="7">
                  <c:v>958</c:v>
                </c:pt>
                <c:pt idx="8">
                  <c:v>944</c:v>
                </c:pt>
                <c:pt idx="9">
                  <c:v>907</c:v>
                </c:pt>
                <c:pt idx="10">
                  <c:v>1081</c:v>
                </c:pt>
                <c:pt idx="11">
                  <c:v>1068</c:v>
                </c:pt>
                <c:pt idx="12">
                  <c:v>997</c:v>
                </c:pt>
                <c:pt idx="13">
                  <c:v>1024</c:v>
                </c:pt>
                <c:pt idx="14">
                  <c:v>959</c:v>
                </c:pt>
                <c:pt idx="15">
                  <c:v>957</c:v>
                </c:pt>
                <c:pt idx="16">
                  <c:v>1001</c:v>
                </c:pt>
                <c:pt idx="17">
                  <c:v>1045</c:v>
                </c:pt>
                <c:pt idx="18">
                  <c:v>955</c:v>
                </c:pt>
                <c:pt idx="19">
                  <c:v>1041</c:v>
                </c:pt>
                <c:pt idx="20">
                  <c:v>835</c:v>
                </c:pt>
                <c:pt idx="21">
                  <c:v>866</c:v>
                </c:pt>
                <c:pt idx="22">
                  <c:v>961</c:v>
                </c:pt>
                <c:pt idx="23">
                  <c:v>910</c:v>
                </c:pt>
                <c:pt idx="24">
                  <c:v>1041</c:v>
                </c:pt>
                <c:pt idx="25">
                  <c:v>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92-4281-B45F-C61CF291E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0663824"/>
        <c:axId val="930663344"/>
      </c:lineChart>
      <c:catAx>
        <c:axId val="779818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819952"/>
        <c:crosses val="autoZero"/>
        <c:auto val="1"/>
        <c:lblAlgn val="ctr"/>
        <c:lblOffset val="100"/>
        <c:noMultiLvlLbl val="0"/>
      </c:catAx>
      <c:valAx>
        <c:axId val="7798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818512"/>
        <c:crosses val="autoZero"/>
        <c:crossBetween val="between"/>
      </c:valAx>
      <c:valAx>
        <c:axId val="93066334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663824"/>
        <c:crosses val="max"/>
        <c:crossBetween val="between"/>
      </c:valAx>
      <c:catAx>
        <c:axId val="9306638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306633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13</xdr:row>
      <xdr:rowOff>161925</xdr:rowOff>
    </xdr:from>
    <xdr:to>
      <xdr:col>6</xdr:col>
      <xdr:colOff>850900</xdr:colOff>
      <xdr:row>28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28B08-7B1F-947C-23BB-3F4D310F72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est User" refreshedDate="46218.501705208335" createdVersion="8" refreshedVersion="8" minRefreshableVersion="3" recordCount="780" xr:uid="{4B246C31-A292-45F3-841A-7B6FB6CB67F3}">
  <cacheSource type="worksheet">
    <worksheetSource name="inventory_Raw"/>
  </cacheSource>
  <cacheFields count="12">
    <cacheField name="week" numFmtId="14">
      <sharedItems containsSemiMixedTypes="0" containsNonDate="0" containsDate="1" containsString="0" minDate="2024-01-01T00:00:00" maxDate="2024-06-25T00:00:00"/>
    </cacheField>
    <cacheField name="distributor_id" numFmtId="0">
      <sharedItems/>
    </cacheField>
    <cacheField name="distributor_name" numFmtId="0">
      <sharedItems/>
    </cacheField>
    <cacheField name="region" numFmtId="0">
      <sharedItems count="4">
        <s v="Midwest"/>
        <s v="Southeast"/>
        <s v="Plains"/>
        <s v="Southwest"/>
      </sharedItems>
    </cacheField>
    <cacheField name="product_id" numFmtId="0">
      <sharedItems/>
    </cacheField>
    <cacheField name="product_name" numFmtId="0">
      <sharedItems count="6">
        <s v="Leafy Greens"/>
        <s v="Whole Milk"/>
        <s v="Ground Beef"/>
        <s v="Tomatoes"/>
        <s v="Cheddar Cheese"/>
        <s v="Chicken Breast"/>
      </sharedItems>
    </cacheField>
    <cacheField name="category" numFmtId="0">
      <sharedItems/>
    </cacheField>
    <cacheField name="units_ordered" numFmtId="0">
      <sharedItems containsSemiMixedTypes="0" containsString="0" containsNumber="1" containsInteger="1" minValue="201" maxValue="799"/>
    </cacheField>
    <cacheField name="units_sold" numFmtId="0">
      <sharedItems containsSemiMixedTypes="0" containsString="0" containsNumber="1" containsInteger="1" minValue="152" maxValue="729"/>
    </cacheField>
    <cacheField name="units_wasted" numFmtId="0">
      <sharedItems containsSemiMixedTypes="0" containsString="0" containsNumber="1" containsInteger="1" minValue="4" maxValue="94"/>
    </cacheField>
    <cacheField name="waste_pct" numFmtId="0">
      <sharedItems containsSemiMixedTypes="0" containsString="0" containsNumber="1" minValue="1.7" maxValue="12.3" count="99">
        <n v="5.0999999999999996"/>
        <n v="4.9000000000000004"/>
        <n v="7.1"/>
        <n v="9.1999999999999993"/>
        <n v="3.3"/>
        <n v="6.2"/>
        <n v="6"/>
        <n v="7.2"/>
        <n v="4.4000000000000004"/>
        <n v="6.9"/>
        <n v="4.7"/>
        <n v="3.8"/>
        <n v="3.9"/>
        <n v="7.7"/>
        <n v="2.6"/>
        <n v="5.3"/>
        <n v="6.7"/>
        <n v="6.1"/>
        <n v="2.2999999999999998"/>
        <n v="2.8"/>
        <n v="9.6999999999999993"/>
        <n v="2.9"/>
        <n v="3.6"/>
        <n v="4"/>
        <n v="6.5"/>
        <n v="4.2"/>
        <n v="2.5"/>
        <n v="8.8000000000000007"/>
        <n v="4.5"/>
        <n v="8.1"/>
        <n v="10.7"/>
        <n v="6.6"/>
        <n v="5.5"/>
        <n v="12.3"/>
        <n v="5.9"/>
        <n v="8.6"/>
        <n v="7.9"/>
        <n v="3"/>
        <n v="2.2000000000000002"/>
        <n v="6.3"/>
        <n v="9.1"/>
        <n v="8.9"/>
        <n v="10.1"/>
        <n v="3.2"/>
        <n v="12.1"/>
        <n v="7.5"/>
        <n v="11.1"/>
        <n v="8.6999999999999993"/>
        <n v="7.4"/>
        <n v="4.8"/>
        <n v="5.6"/>
        <n v="7.8"/>
        <n v="4.0999999999999996"/>
        <n v="6.4"/>
        <n v="8.4"/>
        <n v="8"/>
        <n v="7.6"/>
        <n v="6.8"/>
        <n v="3.7"/>
        <n v="9.3000000000000007"/>
        <n v="5"/>
        <n v="8.5"/>
        <n v="1.7"/>
        <n v="7"/>
        <n v="3.5"/>
        <n v="9.4"/>
        <n v="5.8"/>
        <n v="5.7"/>
        <n v="8.1999999999999993"/>
        <n v="7.3"/>
        <n v="4.5999999999999996"/>
        <n v="8.3000000000000007"/>
        <n v="3.4"/>
        <n v="2.7"/>
        <n v="11.4"/>
        <n v="5.4"/>
        <n v="10.9"/>
        <n v="10.199999999999999"/>
        <n v="10.3"/>
        <n v="4.3"/>
        <n v="3.1"/>
        <n v="5.2"/>
        <n v="9"/>
        <n v="12.2"/>
        <n v="10.4"/>
        <n v="2"/>
        <n v="10.8"/>
        <n v="9.8000000000000007"/>
        <n v="9.6"/>
        <n v="9.9"/>
        <n v="11"/>
        <n v="11.5"/>
        <n v="9.5"/>
        <n v="11.3"/>
        <n v="11.2"/>
        <n v="10.6"/>
        <n v="2.4"/>
        <n v="11.7"/>
        <n v="2.1"/>
      </sharedItems>
    </cacheField>
    <cacheField name="revenue_usd" numFmtId="0">
      <sharedItems containsSemiMixedTypes="0" containsString="0" containsNumber="1" minValue="442.52" maxValue="5560.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est User" refreshedDate="46219.571697106483" createdVersion="8" refreshedVersion="8" minRefreshableVersion="3" recordCount="781" xr:uid="{A7E58178-A5ED-4D17-9D87-0962D1DF4BAB}">
  <cacheSource type="worksheet">
    <worksheetSource ref="A1:L1048576" sheet="Inventory_Raw"/>
  </cacheSource>
  <cacheFields count="14">
    <cacheField name="week" numFmtId="0">
      <sharedItems containsNonDate="0" containsDate="1" containsString="0" containsBlank="1" minDate="2024-01-01T00:00:00" maxDate="2024-06-25T00:00:00" count="27">
        <d v="2024-01-01T00:00:00"/>
        <d v="2024-01-08T00:00:00"/>
        <d v="2024-01-15T00:00:00"/>
        <d v="2024-01-22T00:00:00"/>
        <d v="2024-01-29T00:00:00"/>
        <d v="2024-02-05T00:00:00"/>
        <d v="2024-02-12T00:00:00"/>
        <d v="2024-02-19T00:00:00"/>
        <d v="2024-02-26T00:00:00"/>
        <d v="2024-03-04T00:00:00"/>
        <d v="2024-03-11T00:00:00"/>
        <d v="2024-03-18T00:00:00"/>
        <d v="2024-03-25T00:00:00"/>
        <d v="2024-04-01T00:00:00"/>
        <d v="2024-04-08T00:00:00"/>
        <d v="2024-04-15T00:00:00"/>
        <d v="2024-04-22T00:00:00"/>
        <d v="2024-04-29T00:00:00"/>
        <d v="2024-05-06T00:00:00"/>
        <d v="2024-05-13T00:00:00"/>
        <d v="2024-05-20T00:00:00"/>
        <d v="2024-05-27T00:00:00"/>
        <d v="2024-06-03T00:00:00"/>
        <d v="2024-06-10T00:00:00"/>
        <d v="2024-06-17T00:00:00"/>
        <d v="2024-06-24T00:00:00"/>
        <m/>
      </sharedItems>
      <fieldGroup par="13"/>
    </cacheField>
    <cacheField name="distributor_id" numFmtId="0">
      <sharedItems containsBlank="1"/>
    </cacheField>
    <cacheField name="distributor_name" numFmtId="0">
      <sharedItems containsBlank="1"/>
    </cacheField>
    <cacheField name="region" numFmtId="0">
      <sharedItems containsBlank="1"/>
    </cacheField>
    <cacheField name="product_id" numFmtId="0">
      <sharedItems containsBlank="1"/>
    </cacheField>
    <cacheField name="product_name" numFmtId="0">
      <sharedItems containsBlank="1"/>
    </cacheField>
    <cacheField name="category" numFmtId="0">
      <sharedItems containsBlank="1"/>
    </cacheField>
    <cacheField name="units_ordered" numFmtId="0">
      <sharedItems containsString="0" containsBlank="1" containsNumber="1" containsInteger="1" minValue="201" maxValue="799"/>
    </cacheField>
    <cacheField name="units_sold" numFmtId="0">
      <sharedItems containsString="0" containsBlank="1" containsNumber="1" containsInteger="1" minValue="152" maxValue="729"/>
    </cacheField>
    <cacheField name="units_wasted" numFmtId="0">
      <sharedItems containsString="0" containsBlank="1" containsNumber="1" containsInteger="1" minValue="4" maxValue="94"/>
    </cacheField>
    <cacheField name="waste_pct" numFmtId="0">
      <sharedItems containsString="0" containsBlank="1" containsNumber="1" minValue="1.7" maxValue="12.3"/>
    </cacheField>
    <cacheField name="revenue_usd" numFmtId="0">
      <sharedItems containsString="0" containsBlank="1" containsNumber="1" minValue="442.52" maxValue="5560.87"/>
    </cacheField>
    <cacheField name="Days (week)" numFmtId="0" databaseField="0">
      <fieldGroup base="0">
        <rangePr groupBy="days" startDate="2024-01-01T00:00:00" endDate="2024-06-25T00:00:00"/>
        <groupItems count="368">
          <s v="&lt;1/1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6/25/2024"/>
        </groupItems>
      </fieldGroup>
    </cacheField>
    <cacheField name="Months (week)" numFmtId="0" databaseField="0">
      <fieldGroup base="0">
        <rangePr groupBy="months" startDate="2024-01-01T00:00:00" endDate="2024-06-25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25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est User" refreshedDate="46219.623451736108" createdVersion="8" refreshedVersion="8" minRefreshableVersion="3" recordCount="2700" xr:uid="{333FE139-6BB5-40FE-A4BA-3251AB7F9EF5}">
  <cacheSource type="worksheet">
    <worksheetSource name="cold_chain_Raw"/>
  </cacheSource>
  <cacheFields count="9">
    <cacheField name="date" numFmtId="14">
      <sharedItems containsSemiMixedTypes="0" containsNonDate="0" containsDate="1" containsString="0" minDate="2024-01-01T00:00:00" maxDate="2024-03-31T00:00:00"/>
    </cacheField>
    <cacheField name="distributor_id" numFmtId="0">
      <sharedItems/>
    </cacheField>
    <cacheField name="distributor_name" numFmtId="0">
      <sharedItems/>
    </cacheField>
    <cacheField name="product_id" numFmtId="0">
      <sharedItems/>
    </cacheField>
    <cacheField name="product_name" numFmtId="0">
      <sharedItems count="6">
        <s v="Leafy Greens"/>
        <s v="Whole Milk"/>
        <s v="Ground Beef"/>
        <s v="Tomatoes"/>
        <s v="Cheddar Cheese"/>
        <s v="Chicken Breast"/>
      </sharedItems>
    </cacheField>
    <cacheField name="ideal_temp_f" numFmtId="0">
      <sharedItems containsSemiMixedTypes="0" containsString="0" containsNumber="1" containsInteger="1" minValue="32" maxValue="50"/>
    </cacheField>
    <cacheField name="actual_temp_f" numFmtId="0">
      <sharedItems containsSemiMixedTypes="0" containsString="0" containsNumber="1" minValue="31" maxValue="63.8"/>
    </cacheField>
    <cacheField name="breach" numFmtId="0">
      <sharedItems count="2">
        <s v="NO"/>
        <s v="YES"/>
      </sharedItems>
    </cacheField>
    <cacheField name="breach_severity" numFmtId="0">
      <sharedItems count="3">
        <s v="OK"/>
        <s v="HIGH"/>
        <s v="MEDIU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0">
  <r>
    <d v="2024-01-01T00:00:00"/>
    <s v="D001"/>
    <s v="Green Valley Produce"/>
    <x v="0"/>
    <s v="P001"/>
    <x v="0"/>
    <s v="Produce"/>
    <n v="314"/>
    <n v="206"/>
    <n v="16"/>
    <x v="0"/>
    <n v="1425.28"/>
  </r>
  <r>
    <d v="2024-01-01T00:00:00"/>
    <s v="D001"/>
    <s v="Green Valley Produce"/>
    <x v="0"/>
    <s v="P002"/>
    <x v="1"/>
    <s v="Dairy"/>
    <n v="758"/>
    <n v="510"/>
    <n v="37"/>
    <x v="1"/>
    <n v="1944.03"/>
  </r>
  <r>
    <d v="2024-01-01T00:00:00"/>
    <s v="D001"/>
    <s v="Green Valley Produce"/>
    <x v="0"/>
    <s v="P003"/>
    <x v="2"/>
    <s v="Meat"/>
    <n v="717"/>
    <n v="582"/>
    <n v="51"/>
    <x v="2"/>
    <n v="3904.03"/>
  </r>
  <r>
    <d v="2024-01-01T00:00:00"/>
    <s v="D001"/>
    <s v="Green Valley Produce"/>
    <x v="0"/>
    <s v="P004"/>
    <x v="3"/>
    <s v="Produce"/>
    <n v="629"/>
    <n v="446"/>
    <n v="58"/>
    <x v="3"/>
    <n v="1132.3900000000001"/>
  </r>
  <r>
    <d v="2024-01-01T00:00:00"/>
    <s v="D001"/>
    <s v="Green Valley Produce"/>
    <x v="0"/>
    <s v="P005"/>
    <x v="4"/>
    <s v="Dairy"/>
    <n v="363"/>
    <n v="304"/>
    <n v="12"/>
    <x v="4"/>
    <n v="2505.96"/>
  </r>
  <r>
    <d v="2024-01-01T00:00:00"/>
    <s v="D001"/>
    <s v="Green Valley Produce"/>
    <x v="0"/>
    <s v="P006"/>
    <x v="5"/>
    <s v="Meat"/>
    <n v="544"/>
    <n v="368"/>
    <n v="34"/>
    <x v="5"/>
    <n v="1679.45"/>
  </r>
  <r>
    <d v="2024-01-01T00:00:00"/>
    <s v="D002"/>
    <s v="Fresh Coast Foods"/>
    <x v="1"/>
    <s v="P001"/>
    <x v="0"/>
    <s v="Produce"/>
    <n v="470"/>
    <n v="407"/>
    <n v="28"/>
    <x v="6"/>
    <n v="3393.85"/>
  </r>
  <r>
    <d v="2024-01-01T00:00:00"/>
    <s v="D002"/>
    <s v="Fresh Coast Foods"/>
    <x v="1"/>
    <s v="P002"/>
    <x v="1"/>
    <s v="Dairy"/>
    <n v="587"/>
    <n v="394"/>
    <n v="42"/>
    <x v="7"/>
    <n v="3078.21"/>
  </r>
  <r>
    <d v="2024-01-01T00:00:00"/>
    <s v="D002"/>
    <s v="Fresh Coast Foods"/>
    <x v="1"/>
    <s v="P003"/>
    <x v="2"/>
    <s v="Meat"/>
    <n v="570"/>
    <n v="459"/>
    <n v="25"/>
    <x v="8"/>
    <n v="1775.13"/>
  </r>
  <r>
    <d v="2024-01-01T00:00:00"/>
    <s v="D002"/>
    <s v="Fresh Coast Foods"/>
    <x v="1"/>
    <s v="P004"/>
    <x v="3"/>
    <s v="Produce"/>
    <n v="496"/>
    <n v="454"/>
    <n v="34"/>
    <x v="9"/>
    <n v="2170.46"/>
  </r>
  <r>
    <d v="2024-01-01T00:00:00"/>
    <s v="D002"/>
    <s v="Fresh Coast Foods"/>
    <x v="1"/>
    <s v="P005"/>
    <x v="4"/>
    <s v="Dairy"/>
    <n v="664"/>
    <n v="545"/>
    <n v="31"/>
    <x v="10"/>
    <n v="2047.59"/>
  </r>
  <r>
    <d v="2024-01-01T00:00:00"/>
    <s v="D002"/>
    <s v="Fresh Coast Foods"/>
    <x v="1"/>
    <s v="P006"/>
    <x v="5"/>
    <s v="Meat"/>
    <n v="473"/>
    <n v="397"/>
    <n v="18"/>
    <x v="11"/>
    <n v="2505.02"/>
  </r>
  <r>
    <d v="2024-01-01T00:00:00"/>
    <s v="D003"/>
    <s v="Heartland Meats"/>
    <x v="2"/>
    <s v="P001"/>
    <x v="0"/>
    <s v="Produce"/>
    <n v="746"/>
    <n v="631"/>
    <n v="29"/>
    <x v="12"/>
    <n v="5323.84"/>
  </r>
  <r>
    <d v="2024-01-01T00:00:00"/>
    <s v="D003"/>
    <s v="Heartland Meats"/>
    <x v="2"/>
    <s v="P002"/>
    <x v="1"/>
    <s v="Dairy"/>
    <n v="770"/>
    <n v="546"/>
    <n v="59"/>
    <x v="13"/>
    <n v="1548.25"/>
  </r>
  <r>
    <d v="2024-01-01T00:00:00"/>
    <s v="D003"/>
    <s v="Heartland Meats"/>
    <x v="2"/>
    <s v="P003"/>
    <x v="2"/>
    <s v="Meat"/>
    <n v="232"/>
    <n v="201"/>
    <n v="6"/>
    <x v="14"/>
    <n v="1603.74"/>
  </r>
  <r>
    <d v="2024-01-01T00:00:00"/>
    <s v="D003"/>
    <s v="Heartland Meats"/>
    <x v="2"/>
    <s v="P004"/>
    <x v="3"/>
    <s v="Produce"/>
    <n v="780"/>
    <n v="691"/>
    <n v="41"/>
    <x v="15"/>
    <n v="3367.79"/>
  </r>
  <r>
    <d v="2024-01-01T00:00:00"/>
    <s v="D003"/>
    <s v="Heartland Meats"/>
    <x v="2"/>
    <s v="P005"/>
    <x v="4"/>
    <s v="Dairy"/>
    <n v="669"/>
    <n v="460"/>
    <n v="45"/>
    <x v="16"/>
    <n v="2637.58"/>
  </r>
  <r>
    <d v="2024-01-01T00:00:00"/>
    <s v="D003"/>
    <s v="Heartland Meats"/>
    <x v="2"/>
    <s v="P006"/>
    <x v="5"/>
    <s v="Meat"/>
    <n v="798"/>
    <n v="611"/>
    <n v="49"/>
    <x v="17"/>
    <n v="5183.7"/>
  </r>
  <r>
    <d v="2024-01-01T00:00:00"/>
    <s v="D004"/>
    <s v="Southwest Organics"/>
    <x v="3"/>
    <s v="P001"/>
    <x v="0"/>
    <s v="Produce"/>
    <n v="341"/>
    <n v="268"/>
    <n v="8"/>
    <x v="18"/>
    <n v="846.32"/>
  </r>
  <r>
    <d v="2024-01-01T00:00:00"/>
    <s v="D004"/>
    <s v="Southwest Organics"/>
    <x v="3"/>
    <s v="P002"/>
    <x v="1"/>
    <s v="Dairy"/>
    <n v="363"/>
    <n v="313"/>
    <n v="10"/>
    <x v="19"/>
    <n v="1499.18"/>
  </r>
  <r>
    <d v="2024-01-01T00:00:00"/>
    <s v="D004"/>
    <s v="Southwest Organics"/>
    <x v="3"/>
    <s v="P003"/>
    <x v="2"/>
    <s v="Meat"/>
    <n v="679"/>
    <n v="538"/>
    <n v="66"/>
    <x v="20"/>
    <n v="1382.06"/>
  </r>
  <r>
    <d v="2024-01-01T00:00:00"/>
    <s v="D004"/>
    <s v="Southwest Organics"/>
    <x v="3"/>
    <s v="P004"/>
    <x v="3"/>
    <s v="Produce"/>
    <n v="317"/>
    <n v="264"/>
    <n v="14"/>
    <x v="8"/>
    <n v="1675.28"/>
  </r>
  <r>
    <d v="2024-01-01T00:00:00"/>
    <s v="D004"/>
    <s v="Southwest Organics"/>
    <x v="3"/>
    <s v="P005"/>
    <x v="4"/>
    <s v="Dairy"/>
    <n v="314"/>
    <n v="228"/>
    <n v="9"/>
    <x v="21"/>
    <n v="1557.82"/>
  </r>
  <r>
    <d v="2024-01-01T00:00:00"/>
    <s v="D004"/>
    <s v="Southwest Organics"/>
    <x v="3"/>
    <s v="P006"/>
    <x v="5"/>
    <s v="Meat"/>
    <n v="469"/>
    <n v="427"/>
    <n v="24"/>
    <x v="0"/>
    <n v="1340.12"/>
  </r>
  <r>
    <d v="2024-01-01T00:00:00"/>
    <s v="D005"/>
    <s v="Great Lakes Dairy"/>
    <x v="0"/>
    <s v="P001"/>
    <x v="0"/>
    <s v="Produce"/>
    <n v="505"/>
    <n v="443"/>
    <n v="18"/>
    <x v="22"/>
    <n v="2101.36"/>
  </r>
  <r>
    <d v="2024-01-01T00:00:00"/>
    <s v="D005"/>
    <s v="Great Lakes Dairy"/>
    <x v="0"/>
    <s v="P002"/>
    <x v="1"/>
    <s v="Dairy"/>
    <n v="365"/>
    <n v="290"/>
    <n v="26"/>
    <x v="2"/>
    <n v="726"/>
  </r>
  <r>
    <d v="2024-01-01T00:00:00"/>
    <s v="D005"/>
    <s v="Great Lakes Dairy"/>
    <x v="0"/>
    <s v="P003"/>
    <x v="2"/>
    <s v="Meat"/>
    <n v="531"/>
    <n v="415"/>
    <n v="21"/>
    <x v="23"/>
    <n v="3490.95"/>
  </r>
  <r>
    <d v="2024-01-01T00:00:00"/>
    <s v="D005"/>
    <s v="Great Lakes Dairy"/>
    <x v="0"/>
    <s v="P004"/>
    <x v="3"/>
    <s v="Produce"/>
    <n v="514"/>
    <n v="367"/>
    <n v="31"/>
    <x v="6"/>
    <n v="1090.92"/>
  </r>
  <r>
    <d v="2024-01-01T00:00:00"/>
    <s v="D005"/>
    <s v="Great Lakes Dairy"/>
    <x v="0"/>
    <s v="P005"/>
    <x v="4"/>
    <s v="Dairy"/>
    <n v="697"/>
    <n v="606"/>
    <n v="45"/>
    <x v="24"/>
    <n v="1972.27"/>
  </r>
  <r>
    <d v="2024-01-01T00:00:00"/>
    <s v="D005"/>
    <s v="Great Lakes Dairy"/>
    <x v="0"/>
    <s v="P006"/>
    <x v="5"/>
    <s v="Meat"/>
    <n v="686"/>
    <n v="621"/>
    <n v="29"/>
    <x v="25"/>
    <n v="3812.67"/>
  </r>
  <r>
    <d v="2024-01-08T00:00:00"/>
    <s v="D001"/>
    <s v="Green Valley Produce"/>
    <x v="0"/>
    <s v="P001"/>
    <x v="0"/>
    <s v="Produce"/>
    <n v="416"/>
    <n v="374"/>
    <n v="25"/>
    <x v="6"/>
    <n v="2534.86"/>
  </r>
  <r>
    <d v="2024-01-08T00:00:00"/>
    <s v="D001"/>
    <s v="Green Valley Produce"/>
    <x v="0"/>
    <s v="P002"/>
    <x v="1"/>
    <s v="Dairy"/>
    <n v="608"/>
    <n v="558"/>
    <n v="27"/>
    <x v="8"/>
    <n v="3127.84"/>
  </r>
  <r>
    <d v="2024-01-08T00:00:00"/>
    <s v="D001"/>
    <s v="Green Valley Produce"/>
    <x v="0"/>
    <s v="P003"/>
    <x v="2"/>
    <s v="Meat"/>
    <n v="323"/>
    <n v="231"/>
    <n v="8"/>
    <x v="26"/>
    <n v="1345.24"/>
  </r>
  <r>
    <d v="2024-01-08T00:00:00"/>
    <s v="D001"/>
    <s v="Green Valley Produce"/>
    <x v="0"/>
    <s v="P004"/>
    <x v="3"/>
    <s v="Produce"/>
    <n v="425"/>
    <n v="277"/>
    <n v="30"/>
    <x v="2"/>
    <n v="804.52"/>
  </r>
  <r>
    <d v="2024-01-08T00:00:00"/>
    <s v="D001"/>
    <s v="Green Valley Produce"/>
    <x v="0"/>
    <s v="P005"/>
    <x v="4"/>
    <s v="Dairy"/>
    <n v="232"/>
    <n v="204"/>
    <n v="6"/>
    <x v="14"/>
    <n v="1328.83"/>
  </r>
  <r>
    <d v="2024-01-08T00:00:00"/>
    <s v="D001"/>
    <s v="Green Valley Produce"/>
    <x v="0"/>
    <s v="P006"/>
    <x v="5"/>
    <s v="Meat"/>
    <n v="419"/>
    <n v="333"/>
    <n v="37"/>
    <x v="27"/>
    <n v="1983.77"/>
  </r>
  <r>
    <d v="2024-01-08T00:00:00"/>
    <s v="D002"/>
    <s v="Fresh Coast Foods"/>
    <x v="1"/>
    <s v="P001"/>
    <x v="0"/>
    <s v="Produce"/>
    <n v="448"/>
    <n v="386"/>
    <n v="20"/>
    <x v="28"/>
    <n v="1189.49"/>
  </r>
  <r>
    <d v="2024-01-08T00:00:00"/>
    <s v="D002"/>
    <s v="Fresh Coast Foods"/>
    <x v="1"/>
    <s v="P002"/>
    <x v="1"/>
    <s v="Dairy"/>
    <n v="641"/>
    <n v="477"/>
    <n v="52"/>
    <x v="29"/>
    <n v="1347.54"/>
  </r>
  <r>
    <d v="2024-01-08T00:00:00"/>
    <s v="D002"/>
    <s v="Fresh Coast Foods"/>
    <x v="1"/>
    <s v="P003"/>
    <x v="2"/>
    <s v="Meat"/>
    <n v="300"/>
    <n v="199"/>
    <n v="32"/>
    <x v="30"/>
    <n v="627.97"/>
  </r>
  <r>
    <d v="2024-01-08T00:00:00"/>
    <s v="D002"/>
    <s v="Fresh Coast Foods"/>
    <x v="1"/>
    <s v="P004"/>
    <x v="3"/>
    <s v="Produce"/>
    <n v="396"/>
    <n v="277"/>
    <n v="26"/>
    <x v="31"/>
    <n v="1155.44"/>
  </r>
  <r>
    <d v="2024-01-08T00:00:00"/>
    <s v="D002"/>
    <s v="Fresh Coast Foods"/>
    <x v="1"/>
    <s v="P005"/>
    <x v="4"/>
    <s v="Dairy"/>
    <n v="455"/>
    <n v="403"/>
    <n v="25"/>
    <x v="32"/>
    <n v="3077.23"/>
  </r>
  <r>
    <d v="2024-01-08T00:00:00"/>
    <s v="D002"/>
    <s v="Fresh Coast Foods"/>
    <x v="1"/>
    <s v="P006"/>
    <x v="5"/>
    <s v="Meat"/>
    <n v="300"/>
    <n v="199"/>
    <n v="37"/>
    <x v="33"/>
    <n v="1654.48"/>
  </r>
  <r>
    <d v="2024-01-08T00:00:00"/>
    <s v="D003"/>
    <s v="Heartland Meats"/>
    <x v="2"/>
    <s v="P001"/>
    <x v="0"/>
    <s v="Produce"/>
    <n v="442"/>
    <n v="307"/>
    <n v="26"/>
    <x v="34"/>
    <n v="1506.22"/>
  </r>
  <r>
    <d v="2024-01-08T00:00:00"/>
    <s v="D003"/>
    <s v="Heartland Meats"/>
    <x v="2"/>
    <s v="P002"/>
    <x v="1"/>
    <s v="Dairy"/>
    <n v="260"/>
    <n v="180"/>
    <n v="10"/>
    <x v="11"/>
    <n v="1450.64"/>
  </r>
  <r>
    <d v="2024-01-08T00:00:00"/>
    <s v="D003"/>
    <s v="Heartland Meats"/>
    <x v="2"/>
    <s v="P003"/>
    <x v="2"/>
    <s v="Meat"/>
    <n v="665"/>
    <n v="483"/>
    <n v="61"/>
    <x v="3"/>
    <n v="3477.68"/>
  </r>
  <r>
    <d v="2024-01-08T00:00:00"/>
    <s v="D003"/>
    <s v="Heartland Meats"/>
    <x v="2"/>
    <s v="P004"/>
    <x v="3"/>
    <s v="Produce"/>
    <n v="698"/>
    <n v="482"/>
    <n v="60"/>
    <x v="35"/>
    <n v="2879.99"/>
  </r>
  <r>
    <d v="2024-01-08T00:00:00"/>
    <s v="D003"/>
    <s v="Heartland Meats"/>
    <x v="2"/>
    <s v="P005"/>
    <x v="4"/>
    <s v="Dairy"/>
    <n v="755"/>
    <n v="503"/>
    <n v="33"/>
    <x v="8"/>
    <n v="2696.45"/>
  </r>
  <r>
    <d v="2024-01-08T00:00:00"/>
    <s v="D003"/>
    <s v="Heartland Meats"/>
    <x v="2"/>
    <s v="P006"/>
    <x v="5"/>
    <s v="Meat"/>
    <n v="743"/>
    <n v="514"/>
    <n v="59"/>
    <x v="36"/>
    <n v="1858.08"/>
  </r>
  <r>
    <d v="2024-01-08T00:00:00"/>
    <s v="D004"/>
    <s v="Southwest Organics"/>
    <x v="3"/>
    <s v="P001"/>
    <x v="0"/>
    <s v="Produce"/>
    <n v="269"/>
    <n v="223"/>
    <n v="8"/>
    <x v="37"/>
    <n v="1748.7"/>
  </r>
  <r>
    <d v="2024-01-08T00:00:00"/>
    <s v="D004"/>
    <s v="Southwest Organics"/>
    <x v="3"/>
    <s v="P002"/>
    <x v="1"/>
    <s v="Dairy"/>
    <n v="452"/>
    <n v="364"/>
    <n v="10"/>
    <x v="38"/>
    <n v="2345.6999999999998"/>
  </r>
  <r>
    <d v="2024-01-08T00:00:00"/>
    <s v="D004"/>
    <s v="Southwest Organics"/>
    <x v="3"/>
    <s v="P003"/>
    <x v="2"/>
    <s v="Meat"/>
    <n v="778"/>
    <n v="615"/>
    <n v="49"/>
    <x v="39"/>
    <n v="4180.25"/>
  </r>
  <r>
    <d v="2024-01-08T00:00:00"/>
    <s v="D004"/>
    <s v="Southwest Organics"/>
    <x v="3"/>
    <s v="P004"/>
    <x v="3"/>
    <s v="Produce"/>
    <n v="444"/>
    <n v="320"/>
    <n v="26"/>
    <x v="34"/>
    <n v="1677.87"/>
  </r>
  <r>
    <d v="2024-01-08T00:00:00"/>
    <s v="D004"/>
    <s v="Southwest Organics"/>
    <x v="3"/>
    <s v="P005"/>
    <x v="4"/>
    <s v="Dairy"/>
    <n v="274"/>
    <n v="178"/>
    <n v="25"/>
    <x v="40"/>
    <n v="551.78"/>
  </r>
  <r>
    <d v="2024-01-08T00:00:00"/>
    <s v="D004"/>
    <s v="Southwest Organics"/>
    <x v="3"/>
    <s v="P006"/>
    <x v="5"/>
    <s v="Meat"/>
    <n v="750"/>
    <n v="530"/>
    <n v="61"/>
    <x v="29"/>
    <n v="4126.1499999999996"/>
  </r>
  <r>
    <d v="2024-01-08T00:00:00"/>
    <s v="D005"/>
    <s v="Great Lakes Dairy"/>
    <x v="0"/>
    <s v="P001"/>
    <x v="0"/>
    <s v="Produce"/>
    <n v="450"/>
    <n v="337"/>
    <n v="30"/>
    <x v="16"/>
    <n v="2265.06"/>
  </r>
  <r>
    <d v="2024-01-08T00:00:00"/>
    <s v="D005"/>
    <s v="Great Lakes Dairy"/>
    <x v="0"/>
    <s v="P002"/>
    <x v="1"/>
    <s v="Dairy"/>
    <n v="741"/>
    <n v="483"/>
    <n v="66"/>
    <x v="41"/>
    <n v="3130"/>
  </r>
  <r>
    <d v="2024-01-08T00:00:00"/>
    <s v="D005"/>
    <s v="Great Lakes Dairy"/>
    <x v="0"/>
    <s v="P003"/>
    <x v="2"/>
    <s v="Meat"/>
    <n v="337"/>
    <n v="243"/>
    <n v="34"/>
    <x v="42"/>
    <n v="834.14"/>
  </r>
  <r>
    <d v="2024-01-08T00:00:00"/>
    <s v="D005"/>
    <s v="Great Lakes Dairy"/>
    <x v="0"/>
    <s v="P004"/>
    <x v="3"/>
    <s v="Produce"/>
    <n v="488"/>
    <n v="396"/>
    <n v="25"/>
    <x v="0"/>
    <n v="2496.9499999999998"/>
  </r>
  <r>
    <d v="2024-01-08T00:00:00"/>
    <s v="D005"/>
    <s v="Great Lakes Dairy"/>
    <x v="0"/>
    <s v="P005"/>
    <x v="4"/>
    <s v="Dairy"/>
    <n v="470"/>
    <n v="369"/>
    <n v="34"/>
    <x v="7"/>
    <n v="1034.97"/>
  </r>
  <r>
    <d v="2024-01-08T00:00:00"/>
    <s v="D005"/>
    <s v="Great Lakes Dairy"/>
    <x v="0"/>
    <s v="P006"/>
    <x v="5"/>
    <s v="Meat"/>
    <n v="633"/>
    <n v="553"/>
    <n v="20"/>
    <x v="43"/>
    <n v="1816.56"/>
  </r>
  <r>
    <d v="2024-01-15T00:00:00"/>
    <s v="D001"/>
    <s v="Green Valley Produce"/>
    <x v="0"/>
    <s v="P001"/>
    <x v="0"/>
    <s v="Produce"/>
    <n v="468"/>
    <n v="324"/>
    <n v="38"/>
    <x v="29"/>
    <n v="1900.4"/>
  </r>
  <r>
    <d v="2024-01-15T00:00:00"/>
    <s v="D001"/>
    <s v="Green Valley Produce"/>
    <x v="0"/>
    <s v="P002"/>
    <x v="1"/>
    <s v="Dairy"/>
    <n v="314"/>
    <n v="210"/>
    <n v="38"/>
    <x v="44"/>
    <n v="1212.44"/>
  </r>
  <r>
    <d v="2024-01-15T00:00:00"/>
    <s v="D001"/>
    <s v="Green Valley Produce"/>
    <x v="0"/>
    <s v="P003"/>
    <x v="2"/>
    <s v="Meat"/>
    <n v="578"/>
    <n v="466"/>
    <n v="16"/>
    <x v="19"/>
    <n v="2026.89"/>
  </r>
  <r>
    <d v="2024-01-15T00:00:00"/>
    <s v="D001"/>
    <s v="Green Valley Produce"/>
    <x v="0"/>
    <s v="P004"/>
    <x v="3"/>
    <s v="Produce"/>
    <n v="240"/>
    <n v="214"/>
    <n v="7"/>
    <x v="21"/>
    <n v="666.99"/>
  </r>
  <r>
    <d v="2024-01-15T00:00:00"/>
    <s v="D001"/>
    <s v="Green Valley Produce"/>
    <x v="0"/>
    <s v="P005"/>
    <x v="4"/>
    <s v="Dairy"/>
    <n v="773"/>
    <n v="686"/>
    <n v="41"/>
    <x v="15"/>
    <n v="2351.14"/>
  </r>
  <r>
    <d v="2024-01-15T00:00:00"/>
    <s v="D001"/>
    <s v="Green Valley Produce"/>
    <x v="0"/>
    <s v="P006"/>
    <x v="5"/>
    <s v="Meat"/>
    <n v="442"/>
    <n v="390"/>
    <n v="33"/>
    <x v="45"/>
    <n v="3037.51"/>
  </r>
  <r>
    <d v="2024-01-15T00:00:00"/>
    <s v="D002"/>
    <s v="Fresh Coast Foods"/>
    <x v="1"/>
    <s v="P001"/>
    <x v="0"/>
    <s v="Produce"/>
    <n v="225"/>
    <n v="157"/>
    <n v="25"/>
    <x v="46"/>
    <n v="780.33"/>
  </r>
  <r>
    <d v="2024-01-15T00:00:00"/>
    <s v="D002"/>
    <s v="Fresh Coast Foods"/>
    <x v="1"/>
    <s v="P002"/>
    <x v="1"/>
    <s v="Dairy"/>
    <n v="454"/>
    <n v="327"/>
    <n v="30"/>
    <x v="31"/>
    <n v="2528.69"/>
  </r>
  <r>
    <d v="2024-01-15T00:00:00"/>
    <s v="D002"/>
    <s v="Fresh Coast Foods"/>
    <x v="1"/>
    <s v="P003"/>
    <x v="2"/>
    <s v="Meat"/>
    <n v="681"/>
    <n v="483"/>
    <n v="59"/>
    <x v="47"/>
    <n v="2091.94"/>
  </r>
  <r>
    <d v="2024-01-15T00:00:00"/>
    <s v="D002"/>
    <s v="Fresh Coast Foods"/>
    <x v="1"/>
    <s v="P004"/>
    <x v="3"/>
    <s v="Produce"/>
    <n v="433"/>
    <n v="307"/>
    <n v="32"/>
    <x v="48"/>
    <n v="1280.69"/>
  </r>
  <r>
    <d v="2024-01-15T00:00:00"/>
    <s v="D002"/>
    <s v="Fresh Coast Foods"/>
    <x v="1"/>
    <s v="P005"/>
    <x v="4"/>
    <s v="Dairy"/>
    <n v="271"/>
    <n v="246"/>
    <n v="13"/>
    <x v="49"/>
    <n v="1204.93"/>
  </r>
  <r>
    <d v="2024-01-15T00:00:00"/>
    <s v="D002"/>
    <s v="Fresh Coast Foods"/>
    <x v="1"/>
    <s v="P006"/>
    <x v="5"/>
    <s v="Meat"/>
    <n v="749"/>
    <n v="553"/>
    <n v="49"/>
    <x v="24"/>
    <n v="2249.21"/>
  </r>
  <r>
    <d v="2024-01-15T00:00:00"/>
    <s v="D003"/>
    <s v="Heartland Meats"/>
    <x v="2"/>
    <s v="P001"/>
    <x v="0"/>
    <s v="Produce"/>
    <n v="794"/>
    <n v="722"/>
    <n v="18"/>
    <x v="18"/>
    <n v="3687.53"/>
  </r>
  <r>
    <d v="2024-01-15T00:00:00"/>
    <s v="D003"/>
    <s v="Heartland Meats"/>
    <x v="2"/>
    <s v="P002"/>
    <x v="1"/>
    <s v="Dairy"/>
    <n v="521"/>
    <n v="400"/>
    <n v="34"/>
    <x v="24"/>
    <n v="3158.81"/>
  </r>
  <r>
    <d v="2024-01-15T00:00:00"/>
    <s v="D003"/>
    <s v="Heartland Meats"/>
    <x v="2"/>
    <s v="P003"/>
    <x v="2"/>
    <s v="Meat"/>
    <n v="394"/>
    <n v="283"/>
    <n v="22"/>
    <x v="50"/>
    <n v="2279.13"/>
  </r>
  <r>
    <d v="2024-01-15T00:00:00"/>
    <s v="D003"/>
    <s v="Heartland Meats"/>
    <x v="2"/>
    <s v="P004"/>
    <x v="3"/>
    <s v="Produce"/>
    <n v="751"/>
    <n v="627"/>
    <n v="61"/>
    <x v="29"/>
    <n v="2308.75"/>
  </r>
  <r>
    <d v="2024-01-15T00:00:00"/>
    <s v="D003"/>
    <s v="Heartland Meats"/>
    <x v="2"/>
    <s v="P005"/>
    <x v="4"/>
    <s v="Dairy"/>
    <n v="641"/>
    <n v="428"/>
    <n v="50"/>
    <x v="51"/>
    <n v="1876.14"/>
  </r>
  <r>
    <d v="2024-01-15T00:00:00"/>
    <s v="D003"/>
    <s v="Heartland Meats"/>
    <x v="2"/>
    <s v="P006"/>
    <x v="5"/>
    <s v="Meat"/>
    <n v="327"/>
    <n v="276"/>
    <n v="13"/>
    <x v="23"/>
    <n v="1366.3"/>
  </r>
  <r>
    <d v="2024-01-15T00:00:00"/>
    <s v="D004"/>
    <s v="Southwest Organics"/>
    <x v="3"/>
    <s v="P001"/>
    <x v="0"/>
    <s v="Produce"/>
    <n v="612"/>
    <n v="513"/>
    <n v="25"/>
    <x v="52"/>
    <n v="3329.15"/>
  </r>
  <r>
    <d v="2024-01-15T00:00:00"/>
    <s v="D004"/>
    <s v="Southwest Organics"/>
    <x v="3"/>
    <s v="P002"/>
    <x v="1"/>
    <s v="Dairy"/>
    <n v="588"/>
    <n v="489"/>
    <n v="44"/>
    <x v="45"/>
    <n v="2105.4899999999998"/>
  </r>
  <r>
    <d v="2024-01-15T00:00:00"/>
    <s v="D004"/>
    <s v="Southwest Organics"/>
    <x v="3"/>
    <s v="P003"/>
    <x v="2"/>
    <s v="Meat"/>
    <n v="761"/>
    <n v="665"/>
    <n v="24"/>
    <x v="43"/>
    <n v="4797.68"/>
  </r>
  <r>
    <d v="2024-01-15T00:00:00"/>
    <s v="D004"/>
    <s v="Southwest Organics"/>
    <x v="3"/>
    <s v="P004"/>
    <x v="3"/>
    <s v="Produce"/>
    <n v="529"/>
    <n v="410"/>
    <n v="25"/>
    <x v="10"/>
    <n v="2189.04"/>
  </r>
  <r>
    <d v="2024-01-15T00:00:00"/>
    <s v="D004"/>
    <s v="Southwest Organics"/>
    <x v="3"/>
    <s v="P005"/>
    <x v="4"/>
    <s v="Dairy"/>
    <n v="373"/>
    <n v="308"/>
    <n v="22"/>
    <x v="34"/>
    <n v="1914.39"/>
  </r>
  <r>
    <d v="2024-01-15T00:00:00"/>
    <s v="D004"/>
    <s v="Southwest Organics"/>
    <x v="3"/>
    <s v="P006"/>
    <x v="5"/>
    <s v="Meat"/>
    <n v="295"/>
    <n v="256"/>
    <n v="19"/>
    <x v="53"/>
    <n v="985.05"/>
  </r>
  <r>
    <d v="2024-01-15T00:00:00"/>
    <s v="D005"/>
    <s v="Great Lakes Dairy"/>
    <x v="0"/>
    <s v="P001"/>
    <x v="0"/>
    <s v="Produce"/>
    <n v="403"/>
    <n v="277"/>
    <n v="29"/>
    <x v="7"/>
    <n v="1708.44"/>
  </r>
  <r>
    <d v="2024-01-15T00:00:00"/>
    <s v="D005"/>
    <s v="Great Lakes Dairy"/>
    <x v="0"/>
    <s v="P002"/>
    <x v="1"/>
    <s v="Dairy"/>
    <n v="274"/>
    <n v="211"/>
    <n v="23"/>
    <x v="54"/>
    <n v="1436.93"/>
  </r>
  <r>
    <d v="2024-01-15T00:00:00"/>
    <s v="D005"/>
    <s v="Great Lakes Dairy"/>
    <x v="0"/>
    <s v="P003"/>
    <x v="2"/>
    <s v="Meat"/>
    <n v="593"/>
    <n v="464"/>
    <n v="36"/>
    <x v="17"/>
    <n v="1175.44"/>
  </r>
  <r>
    <d v="2024-01-15T00:00:00"/>
    <s v="D005"/>
    <s v="Great Lakes Dairy"/>
    <x v="0"/>
    <s v="P004"/>
    <x v="3"/>
    <s v="Produce"/>
    <n v="309"/>
    <n v="265"/>
    <n v="19"/>
    <x v="17"/>
    <n v="1769"/>
  </r>
  <r>
    <d v="2024-01-15T00:00:00"/>
    <s v="D005"/>
    <s v="Great Lakes Dairy"/>
    <x v="0"/>
    <s v="P005"/>
    <x v="4"/>
    <s v="Dairy"/>
    <n v="675"/>
    <n v="447"/>
    <n v="54"/>
    <x v="55"/>
    <n v="2341.73"/>
  </r>
  <r>
    <d v="2024-01-15T00:00:00"/>
    <s v="D005"/>
    <s v="Great Lakes Dairy"/>
    <x v="0"/>
    <s v="P006"/>
    <x v="5"/>
    <s v="Meat"/>
    <n v="675"/>
    <n v="560"/>
    <n v="51"/>
    <x v="56"/>
    <n v="4592.13"/>
  </r>
  <r>
    <d v="2024-01-22T00:00:00"/>
    <s v="D001"/>
    <s v="Green Valley Produce"/>
    <x v="0"/>
    <s v="P001"/>
    <x v="0"/>
    <s v="Produce"/>
    <n v="653"/>
    <n v="532"/>
    <n v="43"/>
    <x v="31"/>
    <n v="3981.18"/>
  </r>
  <r>
    <d v="2024-01-22T00:00:00"/>
    <s v="D001"/>
    <s v="Green Valley Produce"/>
    <x v="0"/>
    <s v="P002"/>
    <x v="1"/>
    <s v="Dairy"/>
    <n v="761"/>
    <n v="586"/>
    <n v="52"/>
    <x v="57"/>
    <n v="3047.45"/>
  </r>
  <r>
    <d v="2024-01-22T00:00:00"/>
    <s v="D001"/>
    <s v="Green Valley Produce"/>
    <x v="0"/>
    <s v="P003"/>
    <x v="2"/>
    <s v="Meat"/>
    <n v="453"/>
    <n v="397"/>
    <n v="27"/>
    <x v="6"/>
    <n v="2146.81"/>
  </r>
  <r>
    <d v="2024-01-22T00:00:00"/>
    <s v="D001"/>
    <s v="Green Valley Produce"/>
    <x v="0"/>
    <s v="P004"/>
    <x v="3"/>
    <s v="Produce"/>
    <n v="444"/>
    <n v="321"/>
    <n v="17"/>
    <x v="11"/>
    <n v="1325.82"/>
  </r>
  <r>
    <d v="2024-01-22T00:00:00"/>
    <s v="D001"/>
    <s v="Green Valley Produce"/>
    <x v="0"/>
    <s v="P005"/>
    <x v="4"/>
    <s v="Dairy"/>
    <n v="527"/>
    <n v="469"/>
    <n v="12"/>
    <x v="18"/>
    <n v="2250.36"/>
  </r>
  <r>
    <d v="2024-01-22T00:00:00"/>
    <s v="D001"/>
    <s v="Green Valley Produce"/>
    <x v="0"/>
    <s v="P006"/>
    <x v="5"/>
    <s v="Meat"/>
    <n v="356"/>
    <n v="299"/>
    <n v="13"/>
    <x v="58"/>
    <n v="1720.94"/>
  </r>
  <r>
    <d v="2024-01-22T00:00:00"/>
    <s v="D002"/>
    <s v="Fresh Coast Foods"/>
    <x v="1"/>
    <s v="P001"/>
    <x v="0"/>
    <s v="Produce"/>
    <n v="625"/>
    <n v="416"/>
    <n v="58"/>
    <x v="59"/>
    <n v="2961.41"/>
  </r>
  <r>
    <d v="2024-01-22T00:00:00"/>
    <s v="D002"/>
    <s v="Fresh Coast Foods"/>
    <x v="1"/>
    <s v="P002"/>
    <x v="1"/>
    <s v="Dairy"/>
    <n v="220"/>
    <n v="193"/>
    <n v="11"/>
    <x v="60"/>
    <n v="489.33"/>
  </r>
  <r>
    <d v="2024-01-22T00:00:00"/>
    <s v="D002"/>
    <s v="Fresh Coast Foods"/>
    <x v="1"/>
    <s v="P003"/>
    <x v="2"/>
    <s v="Meat"/>
    <n v="560"/>
    <n v="409"/>
    <n v="47"/>
    <x v="54"/>
    <n v="3073.38"/>
  </r>
  <r>
    <d v="2024-01-22T00:00:00"/>
    <s v="D002"/>
    <s v="Fresh Coast Foods"/>
    <x v="1"/>
    <s v="P004"/>
    <x v="3"/>
    <s v="Produce"/>
    <n v="751"/>
    <n v="639"/>
    <n v="45"/>
    <x v="6"/>
    <n v="2443.0500000000002"/>
  </r>
  <r>
    <d v="2024-01-22T00:00:00"/>
    <s v="D002"/>
    <s v="Fresh Coast Foods"/>
    <x v="1"/>
    <s v="P005"/>
    <x v="4"/>
    <s v="Dairy"/>
    <n v="424"/>
    <n v="306"/>
    <n v="27"/>
    <x v="53"/>
    <n v="1993.05"/>
  </r>
  <r>
    <d v="2024-01-22T00:00:00"/>
    <s v="D002"/>
    <s v="Fresh Coast Foods"/>
    <x v="1"/>
    <s v="P006"/>
    <x v="5"/>
    <s v="Meat"/>
    <n v="614"/>
    <n v="519"/>
    <n v="52"/>
    <x v="61"/>
    <n v="4351.47"/>
  </r>
  <r>
    <d v="2024-01-22T00:00:00"/>
    <s v="D003"/>
    <s v="Heartland Meats"/>
    <x v="2"/>
    <s v="P001"/>
    <x v="0"/>
    <s v="Produce"/>
    <n v="746"/>
    <n v="490"/>
    <n v="56"/>
    <x v="45"/>
    <n v="1304.68"/>
  </r>
  <r>
    <d v="2024-01-22T00:00:00"/>
    <s v="D003"/>
    <s v="Heartland Meats"/>
    <x v="2"/>
    <s v="P002"/>
    <x v="1"/>
    <s v="Dairy"/>
    <n v="638"/>
    <n v="438"/>
    <n v="32"/>
    <x v="60"/>
    <n v="2091.2800000000002"/>
  </r>
  <r>
    <d v="2024-01-22T00:00:00"/>
    <s v="D003"/>
    <s v="Heartland Meats"/>
    <x v="2"/>
    <s v="P003"/>
    <x v="2"/>
    <s v="Meat"/>
    <n v="416"/>
    <n v="321"/>
    <n v="32"/>
    <x v="13"/>
    <n v="1338.42"/>
  </r>
  <r>
    <d v="2024-01-22T00:00:00"/>
    <s v="D003"/>
    <s v="Heartland Meats"/>
    <x v="2"/>
    <s v="P004"/>
    <x v="3"/>
    <s v="Produce"/>
    <n v="631"/>
    <n v="453"/>
    <n v="16"/>
    <x v="26"/>
    <n v="2598.64"/>
  </r>
  <r>
    <d v="2024-01-22T00:00:00"/>
    <s v="D003"/>
    <s v="Heartland Meats"/>
    <x v="2"/>
    <s v="P005"/>
    <x v="4"/>
    <s v="Dairy"/>
    <n v="558"/>
    <n v="396"/>
    <n v="40"/>
    <x v="7"/>
    <n v="1085.6500000000001"/>
  </r>
  <r>
    <d v="2024-01-22T00:00:00"/>
    <s v="D003"/>
    <s v="Heartland Meats"/>
    <x v="2"/>
    <s v="P006"/>
    <x v="5"/>
    <s v="Meat"/>
    <n v="231"/>
    <n v="209"/>
    <n v="4"/>
    <x v="62"/>
    <n v="713.59"/>
  </r>
  <r>
    <d v="2024-01-22T00:00:00"/>
    <s v="D004"/>
    <s v="Southwest Organics"/>
    <x v="3"/>
    <s v="P001"/>
    <x v="0"/>
    <s v="Produce"/>
    <n v="329"/>
    <n v="255"/>
    <n v="23"/>
    <x v="63"/>
    <n v="1349"/>
  </r>
  <r>
    <d v="2024-01-22T00:00:00"/>
    <s v="D004"/>
    <s v="Southwest Organics"/>
    <x v="3"/>
    <s v="P002"/>
    <x v="1"/>
    <s v="Dairy"/>
    <n v="462"/>
    <n v="395"/>
    <n v="23"/>
    <x v="60"/>
    <n v="2760.08"/>
  </r>
  <r>
    <d v="2024-01-22T00:00:00"/>
    <s v="D004"/>
    <s v="Southwest Organics"/>
    <x v="3"/>
    <s v="P003"/>
    <x v="2"/>
    <s v="Meat"/>
    <n v="317"/>
    <n v="272"/>
    <n v="11"/>
    <x v="64"/>
    <n v="1624.41"/>
  </r>
  <r>
    <d v="2024-01-22T00:00:00"/>
    <s v="D004"/>
    <s v="Southwest Organics"/>
    <x v="3"/>
    <s v="P004"/>
    <x v="3"/>
    <s v="Produce"/>
    <n v="519"/>
    <n v="418"/>
    <n v="35"/>
    <x v="16"/>
    <n v="3406.21"/>
  </r>
  <r>
    <d v="2024-01-22T00:00:00"/>
    <s v="D004"/>
    <s v="Southwest Organics"/>
    <x v="3"/>
    <s v="P005"/>
    <x v="4"/>
    <s v="Dairy"/>
    <n v="403"/>
    <n v="270"/>
    <n v="38"/>
    <x v="65"/>
    <n v="840.08"/>
  </r>
  <r>
    <d v="2024-01-22T00:00:00"/>
    <s v="D004"/>
    <s v="Southwest Organics"/>
    <x v="3"/>
    <s v="P006"/>
    <x v="5"/>
    <s v="Meat"/>
    <n v="508"/>
    <n v="446"/>
    <n v="17"/>
    <x v="4"/>
    <n v="3747.77"/>
  </r>
  <r>
    <d v="2024-01-22T00:00:00"/>
    <s v="D005"/>
    <s v="Great Lakes Dairy"/>
    <x v="0"/>
    <s v="P001"/>
    <x v="0"/>
    <s v="Produce"/>
    <n v="242"/>
    <n v="179"/>
    <n v="14"/>
    <x v="66"/>
    <n v="990.9"/>
  </r>
  <r>
    <d v="2024-01-22T00:00:00"/>
    <s v="D005"/>
    <s v="Great Lakes Dairy"/>
    <x v="0"/>
    <s v="P002"/>
    <x v="1"/>
    <s v="Dairy"/>
    <n v="549"/>
    <n v="358"/>
    <n v="41"/>
    <x v="45"/>
    <n v="1826.21"/>
  </r>
  <r>
    <d v="2024-01-22T00:00:00"/>
    <s v="D005"/>
    <s v="Great Lakes Dairy"/>
    <x v="0"/>
    <s v="P003"/>
    <x v="2"/>
    <s v="Meat"/>
    <n v="570"/>
    <n v="468"/>
    <n v="45"/>
    <x v="36"/>
    <n v="2392.85"/>
  </r>
  <r>
    <d v="2024-01-22T00:00:00"/>
    <s v="D005"/>
    <s v="Great Lakes Dairy"/>
    <x v="0"/>
    <s v="P004"/>
    <x v="3"/>
    <s v="Produce"/>
    <n v="734"/>
    <n v="668"/>
    <n v="42"/>
    <x v="67"/>
    <n v="3827"/>
  </r>
  <r>
    <d v="2024-01-22T00:00:00"/>
    <s v="D005"/>
    <s v="Great Lakes Dairy"/>
    <x v="0"/>
    <s v="P005"/>
    <x v="4"/>
    <s v="Dairy"/>
    <n v="695"/>
    <n v="538"/>
    <n v="57"/>
    <x v="68"/>
    <n v="2385.4"/>
  </r>
  <r>
    <d v="2024-01-22T00:00:00"/>
    <s v="D005"/>
    <s v="Great Lakes Dairy"/>
    <x v="0"/>
    <s v="P006"/>
    <x v="5"/>
    <s v="Meat"/>
    <n v="451"/>
    <n v="394"/>
    <n v="27"/>
    <x v="6"/>
    <n v="1561.49"/>
  </r>
  <r>
    <d v="2024-01-29T00:00:00"/>
    <s v="D001"/>
    <s v="Green Valley Produce"/>
    <x v="0"/>
    <s v="P001"/>
    <x v="0"/>
    <s v="Produce"/>
    <n v="675"/>
    <n v="542"/>
    <n v="39"/>
    <x v="66"/>
    <n v="2962.48"/>
  </r>
  <r>
    <d v="2024-01-29T00:00:00"/>
    <s v="D001"/>
    <s v="Green Valley Produce"/>
    <x v="0"/>
    <s v="P002"/>
    <x v="1"/>
    <s v="Dairy"/>
    <n v="532"/>
    <n v="371"/>
    <n v="39"/>
    <x v="69"/>
    <n v="1685.09"/>
  </r>
  <r>
    <d v="2024-01-29T00:00:00"/>
    <s v="D001"/>
    <s v="Green Valley Produce"/>
    <x v="0"/>
    <s v="P003"/>
    <x v="2"/>
    <s v="Meat"/>
    <n v="482"/>
    <n v="385"/>
    <n v="22"/>
    <x v="70"/>
    <n v="1520.03"/>
  </r>
  <r>
    <d v="2024-01-29T00:00:00"/>
    <s v="D001"/>
    <s v="Green Valley Produce"/>
    <x v="0"/>
    <s v="P004"/>
    <x v="3"/>
    <s v="Produce"/>
    <n v="616"/>
    <n v="481"/>
    <n v="51"/>
    <x v="71"/>
    <n v="3066.58"/>
  </r>
  <r>
    <d v="2024-01-29T00:00:00"/>
    <s v="D001"/>
    <s v="Green Valley Produce"/>
    <x v="0"/>
    <s v="P005"/>
    <x v="4"/>
    <s v="Dairy"/>
    <n v="702"/>
    <n v="541"/>
    <n v="24"/>
    <x v="72"/>
    <n v="2665.19"/>
  </r>
  <r>
    <d v="2024-01-29T00:00:00"/>
    <s v="D001"/>
    <s v="Green Valley Produce"/>
    <x v="0"/>
    <s v="P006"/>
    <x v="5"/>
    <s v="Meat"/>
    <n v="449"/>
    <n v="328"/>
    <n v="32"/>
    <x v="2"/>
    <n v="1864.85"/>
  </r>
  <r>
    <d v="2024-01-29T00:00:00"/>
    <s v="D002"/>
    <s v="Fresh Coast Foods"/>
    <x v="1"/>
    <s v="P001"/>
    <x v="0"/>
    <s v="Produce"/>
    <n v="635"/>
    <n v="583"/>
    <n v="24"/>
    <x v="11"/>
    <n v="3044.7"/>
  </r>
  <r>
    <d v="2024-01-29T00:00:00"/>
    <s v="D002"/>
    <s v="Fresh Coast Foods"/>
    <x v="1"/>
    <s v="P002"/>
    <x v="1"/>
    <s v="Dairy"/>
    <n v="513"/>
    <n v="368"/>
    <n v="19"/>
    <x v="58"/>
    <n v="1183.98"/>
  </r>
  <r>
    <d v="2024-01-29T00:00:00"/>
    <s v="D002"/>
    <s v="Fresh Coast Foods"/>
    <x v="1"/>
    <s v="P003"/>
    <x v="2"/>
    <s v="Meat"/>
    <n v="748"/>
    <n v="678"/>
    <n v="26"/>
    <x v="64"/>
    <n v="4699.6400000000003"/>
  </r>
  <r>
    <d v="2024-01-29T00:00:00"/>
    <s v="D002"/>
    <s v="Fresh Coast Foods"/>
    <x v="1"/>
    <s v="P004"/>
    <x v="3"/>
    <s v="Produce"/>
    <n v="483"/>
    <n v="408"/>
    <n v="33"/>
    <x v="57"/>
    <n v="1712.78"/>
  </r>
  <r>
    <d v="2024-01-29T00:00:00"/>
    <s v="D002"/>
    <s v="Fresh Coast Foods"/>
    <x v="1"/>
    <s v="P005"/>
    <x v="4"/>
    <s v="Dairy"/>
    <n v="302"/>
    <n v="264"/>
    <n v="12"/>
    <x v="23"/>
    <n v="1138.79"/>
  </r>
  <r>
    <d v="2024-01-29T00:00:00"/>
    <s v="D002"/>
    <s v="Fresh Coast Foods"/>
    <x v="1"/>
    <s v="P006"/>
    <x v="5"/>
    <s v="Meat"/>
    <n v="746"/>
    <n v="510"/>
    <n v="20"/>
    <x v="73"/>
    <n v="2168.94"/>
  </r>
  <r>
    <d v="2024-01-29T00:00:00"/>
    <s v="D003"/>
    <s v="Heartland Meats"/>
    <x v="2"/>
    <s v="P001"/>
    <x v="0"/>
    <s v="Produce"/>
    <n v="329"/>
    <n v="270"/>
    <n v="15"/>
    <x v="70"/>
    <n v="694.87"/>
  </r>
  <r>
    <d v="2024-01-29T00:00:00"/>
    <s v="D003"/>
    <s v="Heartland Meats"/>
    <x v="2"/>
    <s v="P002"/>
    <x v="1"/>
    <s v="Dairy"/>
    <n v="491"/>
    <n v="381"/>
    <n v="22"/>
    <x v="28"/>
    <n v="1069.95"/>
  </r>
  <r>
    <d v="2024-01-29T00:00:00"/>
    <s v="D003"/>
    <s v="Heartland Meats"/>
    <x v="2"/>
    <s v="P003"/>
    <x v="2"/>
    <s v="Meat"/>
    <n v="689"/>
    <n v="469"/>
    <n v="35"/>
    <x v="0"/>
    <n v="2796.24"/>
  </r>
  <r>
    <d v="2024-01-29T00:00:00"/>
    <s v="D003"/>
    <s v="Heartland Meats"/>
    <x v="2"/>
    <s v="P004"/>
    <x v="3"/>
    <s v="Produce"/>
    <n v="254"/>
    <n v="175"/>
    <n v="29"/>
    <x v="74"/>
    <n v="526.94000000000005"/>
  </r>
  <r>
    <d v="2024-01-29T00:00:00"/>
    <s v="D003"/>
    <s v="Heartland Meats"/>
    <x v="2"/>
    <s v="P005"/>
    <x v="4"/>
    <s v="Dairy"/>
    <n v="454"/>
    <n v="309"/>
    <n v="44"/>
    <x v="20"/>
    <n v="2238.5300000000002"/>
  </r>
  <r>
    <d v="2024-01-29T00:00:00"/>
    <s v="D003"/>
    <s v="Heartland Meats"/>
    <x v="2"/>
    <s v="P006"/>
    <x v="5"/>
    <s v="Meat"/>
    <n v="431"/>
    <n v="370"/>
    <n v="30"/>
    <x v="63"/>
    <n v="1585.12"/>
  </r>
  <r>
    <d v="2024-01-29T00:00:00"/>
    <s v="D004"/>
    <s v="Southwest Organics"/>
    <x v="3"/>
    <s v="P001"/>
    <x v="0"/>
    <s v="Produce"/>
    <n v="639"/>
    <n v="468"/>
    <n v="51"/>
    <x v="55"/>
    <n v="3248.17"/>
  </r>
  <r>
    <d v="2024-01-29T00:00:00"/>
    <s v="D004"/>
    <s v="Southwest Organics"/>
    <x v="3"/>
    <s v="P002"/>
    <x v="1"/>
    <s v="Dairy"/>
    <n v="412"/>
    <n v="337"/>
    <n v="12"/>
    <x v="21"/>
    <n v="1327.51"/>
  </r>
  <r>
    <d v="2024-01-29T00:00:00"/>
    <s v="D004"/>
    <s v="Southwest Organics"/>
    <x v="3"/>
    <s v="P003"/>
    <x v="2"/>
    <s v="Meat"/>
    <n v="765"/>
    <n v="512"/>
    <n v="35"/>
    <x v="70"/>
    <n v="3104.19"/>
  </r>
  <r>
    <d v="2024-01-29T00:00:00"/>
    <s v="D004"/>
    <s v="Southwest Organics"/>
    <x v="3"/>
    <s v="P004"/>
    <x v="3"/>
    <s v="Produce"/>
    <n v="498"/>
    <n v="328"/>
    <n v="27"/>
    <x v="75"/>
    <n v="2511.71"/>
  </r>
  <r>
    <d v="2024-01-29T00:00:00"/>
    <s v="D004"/>
    <s v="Southwest Organics"/>
    <x v="3"/>
    <s v="P005"/>
    <x v="4"/>
    <s v="Dairy"/>
    <n v="272"/>
    <n v="227"/>
    <n v="22"/>
    <x v="29"/>
    <n v="1418.83"/>
  </r>
  <r>
    <d v="2024-01-29T00:00:00"/>
    <s v="D004"/>
    <s v="Southwest Organics"/>
    <x v="3"/>
    <s v="P006"/>
    <x v="5"/>
    <s v="Meat"/>
    <n v="402"/>
    <n v="307"/>
    <n v="30"/>
    <x v="45"/>
    <n v="2440.79"/>
  </r>
  <r>
    <d v="2024-01-29T00:00:00"/>
    <s v="D005"/>
    <s v="Great Lakes Dairy"/>
    <x v="0"/>
    <s v="P001"/>
    <x v="0"/>
    <s v="Produce"/>
    <n v="345"/>
    <n v="230"/>
    <n v="16"/>
    <x v="70"/>
    <n v="1608.56"/>
  </r>
  <r>
    <d v="2024-01-29T00:00:00"/>
    <s v="D005"/>
    <s v="Great Lakes Dairy"/>
    <x v="0"/>
    <s v="P002"/>
    <x v="1"/>
    <s v="Dairy"/>
    <n v="782"/>
    <n v="702"/>
    <n v="35"/>
    <x v="28"/>
    <n v="3035.83"/>
  </r>
  <r>
    <d v="2024-01-29T00:00:00"/>
    <s v="D005"/>
    <s v="Great Lakes Dairy"/>
    <x v="0"/>
    <s v="P003"/>
    <x v="2"/>
    <s v="Meat"/>
    <n v="612"/>
    <n v="553"/>
    <n v="28"/>
    <x v="70"/>
    <n v="1649.41"/>
  </r>
  <r>
    <d v="2024-01-29T00:00:00"/>
    <s v="D005"/>
    <s v="Great Lakes Dairy"/>
    <x v="0"/>
    <s v="P004"/>
    <x v="3"/>
    <s v="Produce"/>
    <n v="240"/>
    <n v="213"/>
    <n v="14"/>
    <x v="66"/>
    <n v="565.55999999999995"/>
  </r>
  <r>
    <d v="2024-01-29T00:00:00"/>
    <s v="D005"/>
    <s v="Great Lakes Dairy"/>
    <x v="0"/>
    <s v="P005"/>
    <x v="4"/>
    <s v="Dairy"/>
    <n v="434"/>
    <n v="394"/>
    <n v="24"/>
    <x v="32"/>
    <n v="3232.66"/>
  </r>
  <r>
    <d v="2024-01-29T00:00:00"/>
    <s v="D005"/>
    <s v="Great Lakes Dairy"/>
    <x v="0"/>
    <s v="P006"/>
    <x v="5"/>
    <s v="Meat"/>
    <n v="475"/>
    <n v="382"/>
    <n v="25"/>
    <x v="15"/>
    <n v="2144.4699999999998"/>
  </r>
  <r>
    <d v="2024-02-05T00:00:00"/>
    <s v="D001"/>
    <s v="Green Valley Produce"/>
    <x v="0"/>
    <s v="P001"/>
    <x v="0"/>
    <s v="Produce"/>
    <n v="652"/>
    <n v="585"/>
    <n v="30"/>
    <x v="70"/>
    <n v="3690.59"/>
  </r>
  <r>
    <d v="2024-02-05T00:00:00"/>
    <s v="D001"/>
    <s v="Green Valley Produce"/>
    <x v="0"/>
    <s v="P002"/>
    <x v="1"/>
    <s v="Dairy"/>
    <n v="703"/>
    <n v="640"/>
    <n v="29"/>
    <x v="52"/>
    <n v="2832.86"/>
  </r>
  <r>
    <d v="2024-02-05T00:00:00"/>
    <s v="D001"/>
    <s v="Green Valley Produce"/>
    <x v="0"/>
    <s v="P003"/>
    <x v="2"/>
    <s v="Meat"/>
    <n v="307"/>
    <n v="270"/>
    <n v="17"/>
    <x v="32"/>
    <n v="1141.9100000000001"/>
  </r>
  <r>
    <d v="2024-02-05T00:00:00"/>
    <s v="D001"/>
    <s v="Green Valley Produce"/>
    <x v="0"/>
    <s v="P004"/>
    <x v="3"/>
    <s v="Produce"/>
    <n v="610"/>
    <n v="530"/>
    <n v="31"/>
    <x v="0"/>
    <n v="2325.16"/>
  </r>
  <r>
    <d v="2024-02-05T00:00:00"/>
    <s v="D001"/>
    <s v="Green Valley Produce"/>
    <x v="0"/>
    <s v="P005"/>
    <x v="4"/>
    <s v="Dairy"/>
    <n v="531"/>
    <n v="361"/>
    <n v="58"/>
    <x v="76"/>
    <n v="2689.29"/>
  </r>
  <r>
    <d v="2024-02-05T00:00:00"/>
    <s v="D001"/>
    <s v="Green Valley Produce"/>
    <x v="0"/>
    <s v="P006"/>
    <x v="5"/>
    <s v="Meat"/>
    <n v="201"/>
    <n v="166"/>
    <n v="10"/>
    <x v="60"/>
    <n v="601.83000000000004"/>
  </r>
  <r>
    <d v="2024-02-05T00:00:00"/>
    <s v="D002"/>
    <s v="Fresh Coast Foods"/>
    <x v="1"/>
    <s v="P001"/>
    <x v="0"/>
    <s v="Produce"/>
    <n v="570"/>
    <n v="466"/>
    <n v="31"/>
    <x v="75"/>
    <n v="1309.31"/>
  </r>
  <r>
    <d v="2024-02-05T00:00:00"/>
    <s v="D002"/>
    <s v="Fresh Coast Foods"/>
    <x v="1"/>
    <s v="P002"/>
    <x v="1"/>
    <s v="Dairy"/>
    <n v="473"/>
    <n v="377"/>
    <n v="34"/>
    <x v="7"/>
    <n v="2521.94"/>
  </r>
  <r>
    <d v="2024-02-05T00:00:00"/>
    <s v="D002"/>
    <s v="Fresh Coast Foods"/>
    <x v="1"/>
    <s v="P003"/>
    <x v="2"/>
    <s v="Meat"/>
    <n v="324"/>
    <n v="213"/>
    <n v="33"/>
    <x v="77"/>
    <n v="1439.6"/>
  </r>
  <r>
    <d v="2024-02-05T00:00:00"/>
    <s v="D002"/>
    <s v="Fresh Coast Foods"/>
    <x v="1"/>
    <s v="P004"/>
    <x v="3"/>
    <s v="Produce"/>
    <n v="518"/>
    <n v="413"/>
    <n v="22"/>
    <x v="25"/>
    <n v="3491.31"/>
  </r>
  <r>
    <d v="2024-02-05T00:00:00"/>
    <s v="D002"/>
    <s v="Fresh Coast Foods"/>
    <x v="1"/>
    <s v="P005"/>
    <x v="4"/>
    <s v="Dairy"/>
    <n v="316"/>
    <n v="244"/>
    <n v="20"/>
    <x v="39"/>
    <n v="1339.62"/>
  </r>
  <r>
    <d v="2024-02-05T00:00:00"/>
    <s v="D002"/>
    <s v="Fresh Coast Foods"/>
    <x v="1"/>
    <s v="P006"/>
    <x v="5"/>
    <s v="Meat"/>
    <n v="498"/>
    <n v="392"/>
    <n v="35"/>
    <x v="63"/>
    <n v="3285.54"/>
  </r>
  <r>
    <d v="2024-02-05T00:00:00"/>
    <s v="D003"/>
    <s v="Heartland Meats"/>
    <x v="2"/>
    <s v="P001"/>
    <x v="0"/>
    <s v="Produce"/>
    <n v="449"/>
    <n v="347"/>
    <n v="15"/>
    <x v="4"/>
    <n v="2115.4"/>
  </r>
  <r>
    <d v="2024-02-05T00:00:00"/>
    <s v="D003"/>
    <s v="Heartland Meats"/>
    <x v="2"/>
    <s v="P002"/>
    <x v="1"/>
    <s v="Dairy"/>
    <n v="339"/>
    <n v="299"/>
    <n v="20"/>
    <x v="34"/>
    <n v="1491.91"/>
  </r>
  <r>
    <d v="2024-02-05T00:00:00"/>
    <s v="D003"/>
    <s v="Heartland Meats"/>
    <x v="2"/>
    <s v="P003"/>
    <x v="2"/>
    <s v="Meat"/>
    <n v="719"/>
    <n v="519"/>
    <n v="41"/>
    <x v="67"/>
    <n v="3905.4"/>
  </r>
  <r>
    <d v="2024-02-05T00:00:00"/>
    <s v="D003"/>
    <s v="Heartland Meats"/>
    <x v="2"/>
    <s v="P004"/>
    <x v="3"/>
    <s v="Produce"/>
    <n v="793"/>
    <n v="729"/>
    <n v="22"/>
    <x v="19"/>
    <n v="4178.25"/>
  </r>
  <r>
    <d v="2024-02-05T00:00:00"/>
    <s v="D003"/>
    <s v="Heartland Meats"/>
    <x v="2"/>
    <s v="P005"/>
    <x v="4"/>
    <s v="Dairy"/>
    <n v="553"/>
    <n v="409"/>
    <n v="41"/>
    <x v="48"/>
    <n v="3311.72"/>
  </r>
  <r>
    <d v="2024-02-05T00:00:00"/>
    <s v="D003"/>
    <s v="Heartland Meats"/>
    <x v="2"/>
    <s v="P006"/>
    <x v="5"/>
    <s v="Meat"/>
    <n v="393"/>
    <n v="359"/>
    <n v="14"/>
    <x v="22"/>
    <n v="2741.35"/>
  </r>
  <r>
    <d v="2024-02-05T00:00:00"/>
    <s v="D004"/>
    <s v="Southwest Organics"/>
    <x v="3"/>
    <s v="P001"/>
    <x v="0"/>
    <s v="Produce"/>
    <n v="620"/>
    <n v="410"/>
    <n v="64"/>
    <x v="78"/>
    <n v="3021.07"/>
  </r>
  <r>
    <d v="2024-02-05T00:00:00"/>
    <s v="D004"/>
    <s v="Southwest Organics"/>
    <x v="3"/>
    <s v="P002"/>
    <x v="1"/>
    <s v="Dairy"/>
    <n v="595"/>
    <n v="545"/>
    <n v="34"/>
    <x v="67"/>
    <n v="1859.88"/>
  </r>
  <r>
    <d v="2024-02-05T00:00:00"/>
    <s v="D004"/>
    <s v="Southwest Organics"/>
    <x v="3"/>
    <s v="P003"/>
    <x v="2"/>
    <s v="Meat"/>
    <n v="237"/>
    <n v="162"/>
    <n v="22"/>
    <x v="59"/>
    <n v="502.55"/>
  </r>
  <r>
    <d v="2024-02-05T00:00:00"/>
    <s v="D004"/>
    <s v="Southwest Organics"/>
    <x v="3"/>
    <s v="P004"/>
    <x v="3"/>
    <s v="Produce"/>
    <n v="650"/>
    <n v="439"/>
    <n v="50"/>
    <x v="13"/>
    <n v="1477.21"/>
  </r>
  <r>
    <d v="2024-02-05T00:00:00"/>
    <s v="D004"/>
    <s v="Southwest Organics"/>
    <x v="3"/>
    <s v="P005"/>
    <x v="4"/>
    <s v="Dairy"/>
    <n v="358"/>
    <n v="239"/>
    <n v="29"/>
    <x v="29"/>
    <n v="1491.25"/>
  </r>
  <r>
    <d v="2024-02-05T00:00:00"/>
    <s v="D004"/>
    <s v="Southwest Organics"/>
    <x v="3"/>
    <s v="P006"/>
    <x v="5"/>
    <s v="Meat"/>
    <n v="607"/>
    <n v="501"/>
    <n v="52"/>
    <x v="35"/>
    <n v="3835.68"/>
  </r>
  <r>
    <d v="2024-02-05T00:00:00"/>
    <s v="D005"/>
    <s v="Great Lakes Dairy"/>
    <x v="0"/>
    <s v="P001"/>
    <x v="0"/>
    <s v="Produce"/>
    <n v="589"/>
    <n v="534"/>
    <n v="40"/>
    <x v="57"/>
    <n v="2898.38"/>
  </r>
  <r>
    <d v="2024-02-05T00:00:00"/>
    <s v="D005"/>
    <s v="Great Lakes Dairy"/>
    <x v="0"/>
    <s v="P002"/>
    <x v="1"/>
    <s v="Dairy"/>
    <n v="754"/>
    <n v="497"/>
    <n v="44"/>
    <x v="66"/>
    <n v="3988.71"/>
  </r>
  <r>
    <d v="2024-02-05T00:00:00"/>
    <s v="D005"/>
    <s v="Great Lakes Dairy"/>
    <x v="0"/>
    <s v="P003"/>
    <x v="2"/>
    <s v="Meat"/>
    <n v="432"/>
    <n v="367"/>
    <n v="14"/>
    <x v="43"/>
    <n v="2313.0100000000002"/>
  </r>
  <r>
    <d v="2024-02-05T00:00:00"/>
    <s v="D005"/>
    <s v="Great Lakes Dairy"/>
    <x v="0"/>
    <s v="P004"/>
    <x v="3"/>
    <s v="Produce"/>
    <n v="302"/>
    <n v="232"/>
    <n v="28"/>
    <x v="59"/>
    <n v="644.02"/>
  </r>
  <r>
    <d v="2024-02-05T00:00:00"/>
    <s v="D005"/>
    <s v="Great Lakes Dairy"/>
    <x v="0"/>
    <s v="P005"/>
    <x v="4"/>
    <s v="Dairy"/>
    <n v="257"/>
    <n v="187"/>
    <n v="11"/>
    <x v="79"/>
    <n v="1063.47"/>
  </r>
  <r>
    <d v="2024-02-05T00:00:00"/>
    <s v="D005"/>
    <s v="Great Lakes Dairy"/>
    <x v="0"/>
    <s v="P006"/>
    <x v="5"/>
    <s v="Meat"/>
    <n v="779"/>
    <n v="649"/>
    <n v="24"/>
    <x v="80"/>
    <n v="3995.86"/>
  </r>
  <r>
    <d v="2024-02-12T00:00:00"/>
    <s v="D001"/>
    <s v="Green Valley Produce"/>
    <x v="0"/>
    <s v="P001"/>
    <x v="0"/>
    <s v="Produce"/>
    <n v="591"/>
    <n v="483"/>
    <n v="41"/>
    <x v="9"/>
    <n v="1622.26"/>
  </r>
  <r>
    <d v="2024-02-12T00:00:00"/>
    <s v="D001"/>
    <s v="Green Valley Produce"/>
    <x v="0"/>
    <s v="P002"/>
    <x v="1"/>
    <s v="Dairy"/>
    <n v="672"/>
    <n v="552"/>
    <n v="43"/>
    <x v="53"/>
    <n v="4357.1899999999996"/>
  </r>
  <r>
    <d v="2024-02-12T00:00:00"/>
    <s v="D001"/>
    <s v="Green Valley Produce"/>
    <x v="0"/>
    <s v="P003"/>
    <x v="2"/>
    <s v="Meat"/>
    <n v="676"/>
    <n v="603"/>
    <n v="23"/>
    <x v="72"/>
    <n v="3105.68"/>
  </r>
  <r>
    <d v="2024-02-12T00:00:00"/>
    <s v="D001"/>
    <s v="Green Valley Produce"/>
    <x v="0"/>
    <s v="P004"/>
    <x v="3"/>
    <s v="Produce"/>
    <n v="553"/>
    <n v="506"/>
    <n v="36"/>
    <x v="24"/>
    <n v="3360.79"/>
  </r>
  <r>
    <d v="2024-02-12T00:00:00"/>
    <s v="D001"/>
    <s v="Green Valley Produce"/>
    <x v="0"/>
    <s v="P005"/>
    <x v="4"/>
    <s v="Dairy"/>
    <n v="667"/>
    <n v="585"/>
    <n v="25"/>
    <x v="58"/>
    <n v="3158.56"/>
  </r>
  <r>
    <d v="2024-02-12T00:00:00"/>
    <s v="D001"/>
    <s v="Green Valley Produce"/>
    <x v="0"/>
    <s v="P006"/>
    <x v="5"/>
    <s v="Meat"/>
    <n v="442"/>
    <n v="332"/>
    <n v="22"/>
    <x v="60"/>
    <n v="2222.96"/>
  </r>
  <r>
    <d v="2024-02-12T00:00:00"/>
    <s v="D002"/>
    <s v="Fresh Coast Foods"/>
    <x v="1"/>
    <s v="P001"/>
    <x v="0"/>
    <s v="Produce"/>
    <n v="222"/>
    <n v="202"/>
    <n v="8"/>
    <x v="22"/>
    <n v="1190.9100000000001"/>
  </r>
  <r>
    <d v="2024-02-12T00:00:00"/>
    <s v="D002"/>
    <s v="Fresh Coast Foods"/>
    <x v="1"/>
    <s v="P002"/>
    <x v="1"/>
    <s v="Dairy"/>
    <n v="250"/>
    <n v="223"/>
    <n v="17"/>
    <x v="57"/>
    <n v="1765.63"/>
  </r>
  <r>
    <d v="2024-02-12T00:00:00"/>
    <s v="D002"/>
    <s v="Fresh Coast Foods"/>
    <x v="1"/>
    <s v="P003"/>
    <x v="2"/>
    <s v="Meat"/>
    <n v="435"/>
    <n v="354"/>
    <n v="26"/>
    <x v="6"/>
    <n v="2203.77"/>
  </r>
  <r>
    <d v="2024-02-12T00:00:00"/>
    <s v="D002"/>
    <s v="Fresh Coast Foods"/>
    <x v="1"/>
    <s v="P004"/>
    <x v="3"/>
    <s v="Produce"/>
    <n v="340"/>
    <n v="278"/>
    <n v="26"/>
    <x v="56"/>
    <n v="1210.3"/>
  </r>
  <r>
    <d v="2024-02-12T00:00:00"/>
    <s v="D002"/>
    <s v="Fresh Coast Foods"/>
    <x v="1"/>
    <s v="P005"/>
    <x v="4"/>
    <s v="Dairy"/>
    <n v="651"/>
    <n v="429"/>
    <n v="34"/>
    <x v="81"/>
    <n v="3413.88"/>
  </r>
  <r>
    <d v="2024-02-12T00:00:00"/>
    <s v="D002"/>
    <s v="Fresh Coast Foods"/>
    <x v="1"/>
    <s v="P006"/>
    <x v="5"/>
    <s v="Meat"/>
    <n v="534"/>
    <n v="454"/>
    <n v="14"/>
    <x v="14"/>
    <n v="2604.35"/>
  </r>
  <r>
    <d v="2024-02-12T00:00:00"/>
    <s v="D003"/>
    <s v="Heartland Meats"/>
    <x v="2"/>
    <s v="P001"/>
    <x v="0"/>
    <s v="Produce"/>
    <n v="574"/>
    <n v="455"/>
    <n v="53"/>
    <x v="3"/>
    <n v="1839.03"/>
  </r>
  <r>
    <d v="2024-02-12T00:00:00"/>
    <s v="D003"/>
    <s v="Heartland Meats"/>
    <x v="2"/>
    <s v="P002"/>
    <x v="1"/>
    <s v="Dairy"/>
    <n v="693"/>
    <n v="631"/>
    <n v="42"/>
    <x v="17"/>
    <n v="4622.32"/>
  </r>
  <r>
    <d v="2024-02-12T00:00:00"/>
    <s v="D003"/>
    <s v="Heartland Meats"/>
    <x v="2"/>
    <s v="P003"/>
    <x v="2"/>
    <s v="Meat"/>
    <n v="679"/>
    <n v="617"/>
    <n v="43"/>
    <x v="39"/>
    <n v="4726.74"/>
  </r>
  <r>
    <d v="2024-02-12T00:00:00"/>
    <s v="D003"/>
    <s v="Heartland Meats"/>
    <x v="2"/>
    <s v="P004"/>
    <x v="3"/>
    <s v="Produce"/>
    <n v="606"/>
    <n v="552"/>
    <n v="27"/>
    <x v="28"/>
    <n v="3998.74"/>
  </r>
  <r>
    <d v="2024-02-12T00:00:00"/>
    <s v="D003"/>
    <s v="Heartland Meats"/>
    <x v="2"/>
    <s v="P005"/>
    <x v="4"/>
    <s v="Dairy"/>
    <n v="214"/>
    <n v="154"/>
    <n v="9"/>
    <x v="25"/>
    <n v="1077.0899999999999"/>
  </r>
  <r>
    <d v="2024-02-12T00:00:00"/>
    <s v="D003"/>
    <s v="Heartland Meats"/>
    <x v="2"/>
    <s v="P006"/>
    <x v="5"/>
    <s v="Meat"/>
    <n v="468"/>
    <n v="378"/>
    <n v="43"/>
    <x v="3"/>
    <n v="1190.73"/>
  </r>
  <r>
    <d v="2024-02-12T00:00:00"/>
    <s v="D004"/>
    <s v="Southwest Organics"/>
    <x v="3"/>
    <s v="P001"/>
    <x v="0"/>
    <s v="Produce"/>
    <n v="439"/>
    <n v="341"/>
    <n v="39"/>
    <x v="41"/>
    <n v="1523.6"/>
  </r>
  <r>
    <d v="2024-02-12T00:00:00"/>
    <s v="D004"/>
    <s v="Southwest Organics"/>
    <x v="3"/>
    <s v="P002"/>
    <x v="1"/>
    <s v="Dairy"/>
    <n v="426"/>
    <n v="351"/>
    <n v="25"/>
    <x v="34"/>
    <n v="2353.9699999999998"/>
  </r>
  <r>
    <d v="2024-02-12T00:00:00"/>
    <s v="D004"/>
    <s v="Southwest Organics"/>
    <x v="3"/>
    <s v="P003"/>
    <x v="2"/>
    <s v="Meat"/>
    <n v="618"/>
    <n v="421"/>
    <n v="16"/>
    <x v="14"/>
    <n v="3568.21"/>
  </r>
  <r>
    <d v="2024-02-12T00:00:00"/>
    <s v="D004"/>
    <s v="Southwest Organics"/>
    <x v="3"/>
    <s v="P004"/>
    <x v="3"/>
    <s v="Produce"/>
    <n v="318"/>
    <n v="215"/>
    <n v="25"/>
    <x v="36"/>
    <n v="1122.7"/>
  </r>
  <r>
    <d v="2024-02-12T00:00:00"/>
    <s v="D004"/>
    <s v="Southwest Organics"/>
    <x v="3"/>
    <s v="P005"/>
    <x v="4"/>
    <s v="Dairy"/>
    <n v="753"/>
    <n v="574"/>
    <n v="44"/>
    <x v="66"/>
    <n v="2863.86"/>
  </r>
  <r>
    <d v="2024-02-12T00:00:00"/>
    <s v="D004"/>
    <s v="Southwest Organics"/>
    <x v="3"/>
    <s v="P006"/>
    <x v="5"/>
    <s v="Meat"/>
    <n v="301"/>
    <n v="263"/>
    <n v="22"/>
    <x v="69"/>
    <n v="1098.93"/>
  </r>
  <r>
    <d v="2024-02-12T00:00:00"/>
    <s v="D005"/>
    <s v="Great Lakes Dairy"/>
    <x v="0"/>
    <s v="P001"/>
    <x v="0"/>
    <s v="Produce"/>
    <n v="579"/>
    <n v="410"/>
    <n v="32"/>
    <x v="32"/>
    <n v="1917.21"/>
  </r>
  <r>
    <d v="2024-02-12T00:00:00"/>
    <s v="D005"/>
    <s v="Great Lakes Dairy"/>
    <x v="0"/>
    <s v="P002"/>
    <x v="1"/>
    <s v="Dairy"/>
    <n v="576"/>
    <n v="459"/>
    <n v="41"/>
    <x v="2"/>
    <n v="2243.98"/>
  </r>
  <r>
    <d v="2024-02-12T00:00:00"/>
    <s v="D005"/>
    <s v="Great Lakes Dairy"/>
    <x v="0"/>
    <s v="P003"/>
    <x v="2"/>
    <s v="Meat"/>
    <n v="394"/>
    <n v="359"/>
    <n v="27"/>
    <x v="9"/>
    <n v="1094.96"/>
  </r>
  <r>
    <d v="2024-02-12T00:00:00"/>
    <s v="D005"/>
    <s v="Great Lakes Dairy"/>
    <x v="0"/>
    <s v="P004"/>
    <x v="3"/>
    <s v="Produce"/>
    <n v="417"/>
    <n v="343"/>
    <n v="15"/>
    <x v="22"/>
    <n v="2476.7199999999998"/>
  </r>
  <r>
    <d v="2024-02-12T00:00:00"/>
    <s v="D005"/>
    <s v="Great Lakes Dairy"/>
    <x v="0"/>
    <s v="P005"/>
    <x v="4"/>
    <s v="Dairy"/>
    <n v="449"/>
    <n v="411"/>
    <n v="15"/>
    <x v="4"/>
    <n v="3073.83"/>
  </r>
  <r>
    <d v="2024-02-12T00:00:00"/>
    <s v="D005"/>
    <s v="Great Lakes Dairy"/>
    <x v="0"/>
    <s v="P006"/>
    <x v="5"/>
    <s v="Meat"/>
    <n v="767"/>
    <n v="541"/>
    <n v="58"/>
    <x v="56"/>
    <n v="2419"/>
  </r>
  <r>
    <d v="2024-02-19T00:00:00"/>
    <s v="D001"/>
    <s v="Green Valley Produce"/>
    <x v="0"/>
    <s v="P001"/>
    <x v="0"/>
    <s v="Produce"/>
    <n v="351"/>
    <n v="302"/>
    <n v="15"/>
    <x v="79"/>
    <n v="2538.06"/>
  </r>
  <r>
    <d v="2024-02-19T00:00:00"/>
    <s v="D001"/>
    <s v="Green Valley Produce"/>
    <x v="0"/>
    <s v="P002"/>
    <x v="1"/>
    <s v="Dairy"/>
    <n v="333"/>
    <n v="265"/>
    <n v="17"/>
    <x v="0"/>
    <n v="2040.15"/>
  </r>
  <r>
    <d v="2024-02-19T00:00:00"/>
    <s v="D001"/>
    <s v="Green Valley Produce"/>
    <x v="0"/>
    <s v="P003"/>
    <x v="2"/>
    <s v="Meat"/>
    <n v="334"/>
    <n v="218"/>
    <n v="28"/>
    <x v="54"/>
    <n v="968.49"/>
  </r>
  <r>
    <d v="2024-02-19T00:00:00"/>
    <s v="D001"/>
    <s v="Green Valley Produce"/>
    <x v="0"/>
    <s v="P004"/>
    <x v="3"/>
    <s v="Produce"/>
    <n v="378"/>
    <n v="272"/>
    <n v="18"/>
    <x v="49"/>
    <n v="865.48"/>
  </r>
  <r>
    <d v="2024-02-19T00:00:00"/>
    <s v="D001"/>
    <s v="Green Valley Produce"/>
    <x v="0"/>
    <s v="P005"/>
    <x v="4"/>
    <s v="Dairy"/>
    <n v="265"/>
    <n v="206"/>
    <n v="20"/>
    <x v="45"/>
    <n v="649.79"/>
  </r>
  <r>
    <d v="2024-02-19T00:00:00"/>
    <s v="D001"/>
    <s v="Green Valley Produce"/>
    <x v="0"/>
    <s v="P006"/>
    <x v="5"/>
    <s v="Meat"/>
    <n v="715"/>
    <n v="507"/>
    <n v="64"/>
    <x v="82"/>
    <n v="4031.92"/>
  </r>
  <r>
    <d v="2024-02-19T00:00:00"/>
    <s v="D002"/>
    <s v="Fresh Coast Foods"/>
    <x v="1"/>
    <s v="P001"/>
    <x v="0"/>
    <s v="Produce"/>
    <n v="733"/>
    <n v="536"/>
    <n v="39"/>
    <x v="15"/>
    <n v="4551.46"/>
  </r>
  <r>
    <d v="2024-02-19T00:00:00"/>
    <s v="D002"/>
    <s v="Fresh Coast Foods"/>
    <x v="1"/>
    <s v="P002"/>
    <x v="1"/>
    <s v="Dairy"/>
    <n v="611"/>
    <n v="467"/>
    <n v="36"/>
    <x v="34"/>
    <n v="2410.36"/>
  </r>
  <r>
    <d v="2024-02-19T00:00:00"/>
    <s v="D002"/>
    <s v="Fresh Coast Foods"/>
    <x v="1"/>
    <s v="P003"/>
    <x v="2"/>
    <s v="Meat"/>
    <n v="282"/>
    <n v="207"/>
    <n v="9"/>
    <x v="43"/>
    <n v="1292.9000000000001"/>
  </r>
  <r>
    <d v="2024-02-19T00:00:00"/>
    <s v="D002"/>
    <s v="Fresh Coast Foods"/>
    <x v="1"/>
    <s v="P004"/>
    <x v="3"/>
    <s v="Produce"/>
    <n v="799"/>
    <n v="637"/>
    <n v="63"/>
    <x v="36"/>
    <n v="3620.29"/>
  </r>
  <r>
    <d v="2024-02-19T00:00:00"/>
    <s v="D002"/>
    <s v="Fresh Coast Foods"/>
    <x v="1"/>
    <s v="P005"/>
    <x v="4"/>
    <s v="Dairy"/>
    <n v="664"/>
    <n v="522"/>
    <n v="49"/>
    <x v="48"/>
    <n v="1663.34"/>
  </r>
  <r>
    <d v="2024-02-19T00:00:00"/>
    <s v="D002"/>
    <s v="Fresh Coast Foods"/>
    <x v="1"/>
    <s v="P006"/>
    <x v="5"/>
    <s v="Meat"/>
    <n v="764"/>
    <n v="645"/>
    <n v="34"/>
    <x v="28"/>
    <n v="2496.77"/>
  </r>
  <r>
    <d v="2024-02-19T00:00:00"/>
    <s v="D003"/>
    <s v="Heartland Meats"/>
    <x v="2"/>
    <s v="P001"/>
    <x v="0"/>
    <s v="Produce"/>
    <n v="547"/>
    <n v="477"/>
    <n v="33"/>
    <x v="6"/>
    <n v="2087.0100000000002"/>
  </r>
  <r>
    <d v="2024-02-19T00:00:00"/>
    <s v="D003"/>
    <s v="Heartland Meats"/>
    <x v="2"/>
    <s v="P002"/>
    <x v="1"/>
    <s v="Dairy"/>
    <n v="520"/>
    <n v="431"/>
    <n v="18"/>
    <x v="64"/>
    <n v="3464.34"/>
  </r>
  <r>
    <d v="2024-02-19T00:00:00"/>
    <s v="D003"/>
    <s v="Heartland Meats"/>
    <x v="2"/>
    <s v="P003"/>
    <x v="2"/>
    <s v="Meat"/>
    <n v="268"/>
    <n v="180"/>
    <n v="13"/>
    <x v="1"/>
    <n v="1254.1600000000001"/>
  </r>
  <r>
    <d v="2024-02-19T00:00:00"/>
    <s v="D003"/>
    <s v="Heartland Meats"/>
    <x v="2"/>
    <s v="P004"/>
    <x v="3"/>
    <s v="Produce"/>
    <n v="581"/>
    <n v="504"/>
    <n v="33"/>
    <x v="67"/>
    <n v="2958.24"/>
  </r>
  <r>
    <d v="2024-02-19T00:00:00"/>
    <s v="D003"/>
    <s v="Heartland Meats"/>
    <x v="2"/>
    <s v="P005"/>
    <x v="4"/>
    <s v="Dairy"/>
    <n v="537"/>
    <n v="446"/>
    <n v="39"/>
    <x v="69"/>
    <n v="3633.46"/>
  </r>
  <r>
    <d v="2024-02-19T00:00:00"/>
    <s v="D003"/>
    <s v="Heartland Meats"/>
    <x v="2"/>
    <s v="P006"/>
    <x v="5"/>
    <s v="Meat"/>
    <n v="633"/>
    <n v="559"/>
    <n v="49"/>
    <x v="13"/>
    <n v="3411.28"/>
  </r>
  <r>
    <d v="2024-02-19T00:00:00"/>
    <s v="D004"/>
    <s v="Southwest Organics"/>
    <x v="3"/>
    <s v="P001"/>
    <x v="0"/>
    <s v="Produce"/>
    <n v="560"/>
    <n v="379"/>
    <n v="33"/>
    <x v="34"/>
    <n v="2044"/>
  </r>
  <r>
    <d v="2024-02-19T00:00:00"/>
    <s v="D004"/>
    <s v="Southwest Organics"/>
    <x v="3"/>
    <s v="P002"/>
    <x v="1"/>
    <s v="Dairy"/>
    <n v="310"/>
    <n v="230"/>
    <n v="16"/>
    <x v="81"/>
    <n v="959.42"/>
  </r>
  <r>
    <d v="2024-02-19T00:00:00"/>
    <s v="D004"/>
    <s v="Southwest Organics"/>
    <x v="3"/>
    <s v="P003"/>
    <x v="2"/>
    <s v="Meat"/>
    <n v="431"/>
    <n v="374"/>
    <n v="36"/>
    <x v="54"/>
    <n v="2771.55"/>
  </r>
  <r>
    <d v="2024-02-19T00:00:00"/>
    <s v="D004"/>
    <s v="Southwest Organics"/>
    <x v="3"/>
    <s v="P004"/>
    <x v="3"/>
    <s v="Produce"/>
    <n v="770"/>
    <n v="505"/>
    <n v="94"/>
    <x v="83"/>
    <n v="2072.87"/>
  </r>
  <r>
    <d v="2024-02-19T00:00:00"/>
    <s v="D004"/>
    <s v="Southwest Organics"/>
    <x v="3"/>
    <s v="P005"/>
    <x v="4"/>
    <s v="Dairy"/>
    <n v="384"/>
    <n v="277"/>
    <n v="40"/>
    <x v="84"/>
    <n v="1275.9000000000001"/>
  </r>
  <r>
    <d v="2024-02-19T00:00:00"/>
    <s v="D004"/>
    <s v="Southwest Organics"/>
    <x v="3"/>
    <s v="P006"/>
    <x v="5"/>
    <s v="Meat"/>
    <n v="385"/>
    <n v="340"/>
    <n v="17"/>
    <x v="8"/>
    <n v="1139.42"/>
  </r>
  <r>
    <d v="2024-02-19T00:00:00"/>
    <s v="D005"/>
    <s v="Great Lakes Dairy"/>
    <x v="0"/>
    <s v="P001"/>
    <x v="0"/>
    <s v="Produce"/>
    <n v="231"/>
    <n v="155"/>
    <n v="16"/>
    <x v="9"/>
    <n v="809.39"/>
  </r>
  <r>
    <d v="2024-02-19T00:00:00"/>
    <s v="D005"/>
    <s v="Great Lakes Dairy"/>
    <x v="0"/>
    <s v="P002"/>
    <x v="1"/>
    <s v="Dairy"/>
    <n v="361"/>
    <n v="270"/>
    <n v="33"/>
    <x v="40"/>
    <n v="1594.5"/>
  </r>
  <r>
    <d v="2024-02-19T00:00:00"/>
    <s v="D005"/>
    <s v="Great Lakes Dairy"/>
    <x v="0"/>
    <s v="P003"/>
    <x v="2"/>
    <s v="Meat"/>
    <n v="286"/>
    <n v="254"/>
    <n v="15"/>
    <x v="81"/>
    <n v="710.84"/>
  </r>
  <r>
    <d v="2024-02-19T00:00:00"/>
    <s v="D005"/>
    <s v="Great Lakes Dairy"/>
    <x v="0"/>
    <s v="P004"/>
    <x v="3"/>
    <s v="Produce"/>
    <n v="283"/>
    <n v="204"/>
    <n v="22"/>
    <x v="51"/>
    <n v="1051.06"/>
  </r>
  <r>
    <d v="2024-02-19T00:00:00"/>
    <s v="D005"/>
    <s v="Great Lakes Dairy"/>
    <x v="0"/>
    <s v="P005"/>
    <x v="4"/>
    <s v="Dairy"/>
    <n v="479"/>
    <n v="339"/>
    <n v="31"/>
    <x v="24"/>
    <n v="1073.05"/>
  </r>
  <r>
    <d v="2024-02-19T00:00:00"/>
    <s v="D005"/>
    <s v="Great Lakes Dairy"/>
    <x v="0"/>
    <s v="P006"/>
    <x v="5"/>
    <s v="Meat"/>
    <n v="698"/>
    <n v="553"/>
    <n v="28"/>
    <x v="23"/>
    <n v="4648.8900000000003"/>
  </r>
  <r>
    <d v="2024-02-26T00:00:00"/>
    <s v="D001"/>
    <s v="Green Valley Produce"/>
    <x v="0"/>
    <s v="P001"/>
    <x v="0"/>
    <s v="Produce"/>
    <n v="256"/>
    <n v="166"/>
    <n v="13"/>
    <x v="0"/>
    <n v="551.69000000000005"/>
  </r>
  <r>
    <d v="2024-02-26T00:00:00"/>
    <s v="D001"/>
    <s v="Green Valley Produce"/>
    <x v="0"/>
    <s v="P002"/>
    <x v="1"/>
    <s v="Dairy"/>
    <n v="461"/>
    <n v="335"/>
    <n v="23"/>
    <x v="60"/>
    <n v="1703.12"/>
  </r>
  <r>
    <d v="2024-02-26T00:00:00"/>
    <s v="D001"/>
    <s v="Green Valley Produce"/>
    <x v="0"/>
    <s v="P003"/>
    <x v="2"/>
    <s v="Meat"/>
    <n v="332"/>
    <n v="249"/>
    <n v="25"/>
    <x v="45"/>
    <n v="1867.53"/>
  </r>
  <r>
    <d v="2024-02-26T00:00:00"/>
    <s v="D001"/>
    <s v="Green Valley Produce"/>
    <x v="0"/>
    <s v="P004"/>
    <x v="3"/>
    <s v="Produce"/>
    <n v="562"/>
    <n v="376"/>
    <n v="43"/>
    <x v="13"/>
    <n v="982.28"/>
  </r>
  <r>
    <d v="2024-02-26T00:00:00"/>
    <s v="D001"/>
    <s v="Green Valley Produce"/>
    <x v="0"/>
    <s v="P005"/>
    <x v="4"/>
    <s v="Dairy"/>
    <n v="279"/>
    <n v="246"/>
    <n v="15"/>
    <x v="75"/>
    <n v="1662.22"/>
  </r>
  <r>
    <d v="2024-02-26T00:00:00"/>
    <s v="D001"/>
    <s v="Green Valley Produce"/>
    <x v="0"/>
    <s v="P006"/>
    <x v="5"/>
    <s v="Meat"/>
    <n v="627"/>
    <n v="456"/>
    <n v="55"/>
    <x v="27"/>
    <n v="1610.25"/>
  </r>
  <r>
    <d v="2024-02-26T00:00:00"/>
    <s v="D002"/>
    <s v="Fresh Coast Foods"/>
    <x v="1"/>
    <s v="P001"/>
    <x v="0"/>
    <s v="Produce"/>
    <n v="671"/>
    <n v="586"/>
    <n v="27"/>
    <x v="23"/>
    <n v="4434.21"/>
  </r>
  <r>
    <d v="2024-02-26T00:00:00"/>
    <s v="D002"/>
    <s v="Fresh Coast Foods"/>
    <x v="1"/>
    <s v="P002"/>
    <x v="1"/>
    <s v="Dairy"/>
    <n v="449"/>
    <n v="344"/>
    <n v="18"/>
    <x v="23"/>
    <n v="2656.76"/>
  </r>
  <r>
    <d v="2024-02-26T00:00:00"/>
    <s v="D002"/>
    <s v="Fresh Coast Foods"/>
    <x v="1"/>
    <s v="P003"/>
    <x v="2"/>
    <s v="Meat"/>
    <n v="547"/>
    <n v="388"/>
    <n v="36"/>
    <x v="31"/>
    <n v="2444.15"/>
  </r>
  <r>
    <d v="2024-02-26T00:00:00"/>
    <s v="D002"/>
    <s v="Fresh Coast Foods"/>
    <x v="1"/>
    <s v="P004"/>
    <x v="3"/>
    <s v="Produce"/>
    <n v="743"/>
    <n v="585"/>
    <n v="52"/>
    <x v="63"/>
    <n v="4015.6"/>
  </r>
  <r>
    <d v="2024-02-26T00:00:00"/>
    <s v="D002"/>
    <s v="Fresh Coast Foods"/>
    <x v="1"/>
    <s v="P005"/>
    <x v="4"/>
    <s v="Dairy"/>
    <n v="351"/>
    <n v="250"/>
    <n v="13"/>
    <x v="58"/>
    <n v="1528.6"/>
  </r>
  <r>
    <d v="2024-02-26T00:00:00"/>
    <s v="D002"/>
    <s v="Fresh Coast Foods"/>
    <x v="1"/>
    <s v="P006"/>
    <x v="5"/>
    <s v="Meat"/>
    <n v="277"/>
    <n v="193"/>
    <n v="24"/>
    <x v="47"/>
    <n v="1356.15"/>
  </r>
  <r>
    <d v="2024-02-26T00:00:00"/>
    <s v="D003"/>
    <s v="Heartland Meats"/>
    <x v="2"/>
    <s v="P001"/>
    <x v="0"/>
    <s v="Produce"/>
    <n v="793"/>
    <n v="611"/>
    <n v="67"/>
    <x v="54"/>
    <n v="3856.5"/>
  </r>
  <r>
    <d v="2024-02-26T00:00:00"/>
    <s v="D003"/>
    <s v="Heartland Meats"/>
    <x v="2"/>
    <s v="P002"/>
    <x v="1"/>
    <s v="Dairy"/>
    <n v="530"/>
    <n v="468"/>
    <n v="18"/>
    <x v="72"/>
    <n v="1361.75"/>
  </r>
  <r>
    <d v="2024-02-26T00:00:00"/>
    <s v="D003"/>
    <s v="Heartland Meats"/>
    <x v="2"/>
    <s v="P003"/>
    <x v="2"/>
    <s v="Meat"/>
    <n v="652"/>
    <n v="534"/>
    <n v="47"/>
    <x v="7"/>
    <n v="2462.62"/>
  </r>
  <r>
    <d v="2024-02-26T00:00:00"/>
    <s v="D003"/>
    <s v="Heartland Meats"/>
    <x v="2"/>
    <s v="P004"/>
    <x v="3"/>
    <s v="Produce"/>
    <n v="275"/>
    <n v="201"/>
    <n v="12"/>
    <x v="8"/>
    <n v="1505.53"/>
  </r>
  <r>
    <d v="2024-02-26T00:00:00"/>
    <s v="D003"/>
    <s v="Heartland Meats"/>
    <x v="2"/>
    <s v="P005"/>
    <x v="4"/>
    <s v="Dairy"/>
    <n v="278"/>
    <n v="229"/>
    <n v="14"/>
    <x v="60"/>
    <n v="1388.77"/>
  </r>
  <r>
    <d v="2024-02-26T00:00:00"/>
    <s v="D003"/>
    <s v="Heartland Meats"/>
    <x v="2"/>
    <s v="P006"/>
    <x v="5"/>
    <s v="Meat"/>
    <n v="593"/>
    <n v="459"/>
    <n v="48"/>
    <x v="29"/>
    <n v="3614.74"/>
  </r>
  <r>
    <d v="2024-02-26T00:00:00"/>
    <s v="D004"/>
    <s v="Southwest Organics"/>
    <x v="3"/>
    <s v="P001"/>
    <x v="0"/>
    <s v="Produce"/>
    <n v="660"/>
    <n v="590"/>
    <n v="22"/>
    <x v="4"/>
    <n v="3616.72"/>
  </r>
  <r>
    <d v="2024-02-26T00:00:00"/>
    <s v="D004"/>
    <s v="Southwest Organics"/>
    <x v="3"/>
    <s v="P002"/>
    <x v="1"/>
    <s v="Dairy"/>
    <n v="713"/>
    <n v="492"/>
    <n v="22"/>
    <x v="80"/>
    <n v="3884.22"/>
  </r>
  <r>
    <d v="2024-02-26T00:00:00"/>
    <s v="D004"/>
    <s v="Southwest Organics"/>
    <x v="3"/>
    <s v="P003"/>
    <x v="2"/>
    <s v="Meat"/>
    <n v="551"/>
    <n v="504"/>
    <n v="25"/>
    <x v="28"/>
    <n v="1378.37"/>
  </r>
  <r>
    <d v="2024-02-26T00:00:00"/>
    <s v="D004"/>
    <s v="Southwest Organics"/>
    <x v="3"/>
    <s v="P004"/>
    <x v="3"/>
    <s v="Produce"/>
    <n v="648"/>
    <n v="594"/>
    <n v="33"/>
    <x v="0"/>
    <n v="2781.93"/>
  </r>
  <r>
    <d v="2024-02-26T00:00:00"/>
    <s v="D004"/>
    <s v="Southwest Organics"/>
    <x v="3"/>
    <s v="P005"/>
    <x v="4"/>
    <s v="Dairy"/>
    <n v="489"/>
    <n v="369"/>
    <n v="43"/>
    <x v="27"/>
    <n v="1038.44"/>
  </r>
  <r>
    <d v="2024-02-26T00:00:00"/>
    <s v="D004"/>
    <s v="Southwest Organics"/>
    <x v="3"/>
    <s v="P006"/>
    <x v="5"/>
    <s v="Meat"/>
    <n v="542"/>
    <n v="361"/>
    <n v="34"/>
    <x v="39"/>
    <n v="1517.96"/>
  </r>
  <r>
    <d v="2024-02-26T00:00:00"/>
    <s v="D005"/>
    <s v="Great Lakes Dairy"/>
    <x v="0"/>
    <s v="P001"/>
    <x v="0"/>
    <s v="Produce"/>
    <n v="353"/>
    <n v="261"/>
    <n v="19"/>
    <x v="75"/>
    <n v="1200.32"/>
  </r>
  <r>
    <d v="2024-02-26T00:00:00"/>
    <s v="D005"/>
    <s v="Great Lakes Dairy"/>
    <x v="0"/>
    <s v="P002"/>
    <x v="1"/>
    <s v="Dairy"/>
    <n v="601"/>
    <n v="411"/>
    <n v="40"/>
    <x v="16"/>
    <n v="2405.8000000000002"/>
  </r>
  <r>
    <d v="2024-02-26T00:00:00"/>
    <s v="D005"/>
    <s v="Great Lakes Dairy"/>
    <x v="0"/>
    <s v="P003"/>
    <x v="2"/>
    <s v="Meat"/>
    <n v="536"/>
    <n v="466"/>
    <n v="38"/>
    <x v="2"/>
    <n v="3230.61"/>
  </r>
  <r>
    <d v="2024-02-26T00:00:00"/>
    <s v="D005"/>
    <s v="Great Lakes Dairy"/>
    <x v="0"/>
    <s v="P004"/>
    <x v="3"/>
    <s v="Produce"/>
    <n v="739"/>
    <n v="498"/>
    <n v="64"/>
    <x v="47"/>
    <n v="1299.47"/>
  </r>
  <r>
    <d v="2024-02-26T00:00:00"/>
    <s v="D005"/>
    <s v="Great Lakes Dairy"/>
    <x v="0"/>
    <s v="P005"/>
    <x v="4"/>
    <s v="Dairy"/>
    <n v="516"/>
    <n v="360"/>
    <n v="41"/>
    <x v="36"/>
    <n v="1950.35"/>
  </r>
  <r>
    <d v="2024-02-26T00:00:00"/>
    <s v="D005"/>
    <s v="Great Lakes Dairy"/>
    <x v="0"/>
    <s v="P006"/>
    <x v="5"/>
    <s v="Meat"/>
    <n v="431"/>
    <n v="396"/>
    <n v="13"/>
    <x v="37"/>
    <n v="2862.57"/>
  </r>
  <r>
    <d v="2024-03-04T00:00:00"/>
    <s v="D001"/>
    <s v="Green Valley Produce"/>
    <x v="0"/>
    <s v="P001"/>
    <x v="0"/>
    <s v="Produce"/>
    <n v="719"/>
    <n v="616"/>
    <n v="58"/>
    <x v="29"/>
    <n v="1679.51"/>
  </r>
  <r>
    <d v="2024-03-04T00:00:00"/>
    <s v="D001"/>
    <s v="Green Valley Produce"/>
    <x v="0"/>
    <s v="P002"/>
    <x v="1"/>
    <s v="Dairy"/>
    <n v="544"/>
    <n v="482"/>
    <n v="31"/>
    <x v="67"/>
    <n v="1651.1"/>
  </r>
  <r>
    <d v="2024-03-04T00:00:00"/>
    <s v="D001"/>
    <s v="Green Valley Produce"/>
    <x v="0"/>
    <s v="P003"/>
    <x v="2"/>
    <s v="Meat"/>
    <n v="385"/>
    <n v="336"/>
    <n v="28"/>
    <x v="69"/>
    <n v="1173.73"/>
  </r>
  <r>
    <d v="2024-03-04T00:00:00"/>
    <s v="D001"/>
    <s v="Green Valley Produce"/>
    <x v="0"/>
    <s v="P004"/>
    <x v="3"/>
    <s v="Produce"/>
    <n v="648"/>
    <n v="428"/>
    <n v="53"/>
    <x v="68"/>
    <n v="3559.9"/>
  </r>
  <r>
    <d v="2024-03-04T00:00:00"/>
    <s v="D001"/>
    <s v="Green Valley Produce"/>
    <x v="0"/>
    <s v="P005"/>
    <x v="4"/>
    <s v="Dairy"/>
    <n v="491"/>
    <n v="418"/>
    <n v="23"/>
    <x v="10"/>
    <n v="1644.83"/>
  </r>
  <r>
    <d v="2024-03-04T00:00:00"/>
    <s v="D001"/>
    <s v="Green Valley Produce"/>
    <x v="0"/>
    <s v="P006"/>
    <x v="5"/>
    <s v="Meat"/>
    <n v="680"/>
    <n v="607"/>
    <n v="35"/>
    <x v="0"/>
    <n v="3594.97"/>
  </r>
  <r>
    <d v="2024-03-04T00:00:00"/>
    <s v="D002"/>
    <s v="Fresh Coast Foods"/>
    <x v="1"/>
    <s v="P001"/>
    <x v="0"/>
    <s v="Produce"/>
    <n v="651"/>
    <n v="504"/>
    <n v="32"/>
    <x v="1"/>
    <n v="2855.04"/>
  </r>
  <r>
    <d v="2024-03-04T00:00:00"/>
    <s v="D002"/>
    <s v="Fresh Coast Foods"/>
    <x v="1"/>
    <s v="P002"/>
    <x v="1"/>
    <s v="Dairy"/>
    <n v="365"/>
    <n v="317"/>
    <n v="15"/>
    <x v="52"/>
    <n v="1268.01"/>
  </r>
  <r>
    <d v="2024-03-04T00:00:00"/>
    <s v="D002"/>
    <s v="Fresh Coast Foods"/>
    <x v="1"/>
    <s v="P003"/>
    <x v="2"/>
    <s v="Meat"/>
    <n v="692"/>
    <n v="613"/>
    <n v="21"/>
    <x v="37"/>
    <n v="4643.6899999999996"/>
  </r>
  <r>
    <d v="2024-03-04T00:00:00"/>
    <s v="D002"/>
    <s v="Fresh Coast Foods"/>
    <x v="1"/>
    <s v="P004"/>
    <x v="3"/>
    <s v="Produce"/>
    <n v="327"/>
    <n v="237"/>
    <n v="23"/>
    <x v="63"/>
    <n v="1879.85"/>
  </r>
  <r>
    <d v="2024-03-04T00:00:00"/>
    <s v="D002"/>
    <s v="Fresh Coast Foods"/>
    <x v="1"/>
    <s v="P005"/>
    <x v="4"/>
    <s v="Dairy"/>
    <n v="350"/>
    <n v="306"/>
    <n v="21"/>
    <x v="6"/>
    <n v="2264.4699999999998"/>
  </r>
  <r>
    <d v="2024-03-04T00:00:00"/>
    <s v="D002"/>
    <s v="Fresh Coast Foods"/>
    <x v="1"/>
    <s v="P006"/>
    <x v="5"/>
    <s v="Meat"/>
    <n v="557"/>
    <n v="501"/>
    <n v="23"/>
    <x v="52"/>
    <n v="2376.63"/>
  </r>
  <r>
    <d v="2024-03-04T00:00:00"/>
    <s v="D003"/>
    <s v="Heartland Meats"/>
    <x v="2"/>
    <s v="P001"/>
    <x v="0"/>
    <s v="Produce"/>
    <n v="595"/>
    <n v="546"/>
    <n v="12"/>
    <x v="85"/>
    <n v="4414.3900000000003"/>
  </r>
  <r>
    <d v="2024-03-04T00:00:00"/>
    <s v="D003"/>
    <s v="Heartland Meats"/>
    <x v="2"/>
    <s v="P002"/>
    <x v="1"/>
    <s v="Dairy"/>
    <n v="543"/>
    <n v="468"/>
    <n v="18"/>
    <x v="4"/>
    <n v="3499.97"/>
  </r>
  <r>
    <d v="2024-03-04T00:00:00"/>
    <s v="D003"/>
    <s v="Heartland Meats"/>
    <x v="2"/>
    <s v="P003"/>
    <x v="2"/>
    <s v="Meat"/>
    <n v="342"/>
    <n v="292"/>
    <n v="20"/>
    <x v="66"/>
    <n v="2317.06"/>
  </r>
  <r>
    <d v="2024-03-04T00:00:00"/>
    <s v="D003"/>
    <s v="Heartland Meats"/>
    <x v="2"/>
    <s v="P004"/>
    <x v="3"/>
    <s v="Produce"/>
    <n v="219"/>
    <n v="157"/>
    <n v="19"/>
    <x v="47"/>
    <n v="1077.56"/>
  </r>
  <r>
    <d v="2024-03-04T00:00:00"/>
    <s v="D003"/>
    <s v="Heartland Meats"/>
    <x v="2"/>
    <s v="P005"/>
    <x v="4"/>
    <s v="Dairy"/>
    <n v="740"/>
    <n v="565"/>
    <n v="47"/>
    <x v="53"/>
    <n v="1825.57"/>
  </r>
  <r>
    <d v="2024-03-04T00:00:00"/>
    <s v="D003"/>
    <s v="Heartland Meats"/>
    <x v="2"/>
    <s v="P006"/>
    <x v="5"/>
    <s v="Meat"/>
    <n v="444"/>
    <n v="338"/>
    <n v="33"/>
    <x v="48"/>
    <n v="1069.82"/>
  </r>
  <r>
    <d v="2024-03-04T00:00:00"/>
    <s v="D004"/>
    <s v="Southwest Organics"/>
    <x v="3"/>
    <s v="P001"/>
    <x v="0"/>
    <s v="Produce"/>
    <n v="711"/>
    <n v="576"/>
    <n v="31"/>
    <x v="8"/>
    <n v="2276.14"/>
  </r>
  <r>
    <d v="2024-03-04T00:00:00"/>
    <s v="D004"/>
    <s v="Southwest Organics"/>
    <x v="3"/>
    <s v="P002"/>
    <x v="1"/>
    <s v="Dairy"/>
    <n v="347"/>
    <n v="252"/>
    <n v="13"/>
    <x v="58"/>
    <n v="1492.84"/>
  </r>
  <r>
    <d v="2024-03-04T00:00:00"/>
    <s v="D004"/>
    <s v="Southwest Organics"/>
    <x v="3"/>
    <s v="P003"/>
    <x v="2"/>
    <s v="Meat"/>
    <n v="391"/>
    <n v="324"/>
    <n v="26"/>
    <x v="31"/>
    <n v="941.57"/>
  </r>
  <r>
    <d v="2024-03-04T00:00:00"/>
    <s v="D004"/>
    <s v="Southwest Organics"/>
    <x v="3"/>
    <s v="P004"/>
    <x v="3"/>
    <s v="Produce"/>
    <n v="738"/>
    <n v="588"/>
    <n v="53"/>
    <x v="7"/>
    <n v="1541.74"/>
  </r>
  <r>
    <d v="2024-03-04T00:00:00"/>
    <s v="D004"/>
    <s v="Southwest Organics"/>
    <x v="3"/>
    <s v="P005"/>
    <x v="4"/>
    <s v="Dairy"/>
    <n v="681"/>
    <n v="450"/>
    <n v="44"/>
    <x v="24"/>
    <n v="3142.75"/>
  </r>
  <r>
    <d v="2024-03-04T00:00:00"/>
    <s v="D004"/>
    <s v="Southwest Organics"/>
    <x v="3"/>
    <s v="P006"/>
    <x v="5"/>
    <s v="Meat"/>
    <n v="565"/>
    <n v="487"/>
    <n v="34"/>
    <x v="6"/>
    <n v="3053.27"/>
  </r>
  <r>
    <d v="2024-03-04T00:00:00"/>
    <s v="D005"/>
    <s v="Great Lakes Dairy"/>
    <x v="0"/>
    <s v="P001"/>
    <x v="0"/>
    <s v="Produce"/>
    <n v="795"/>
    <n v="674"/>
    <n v="21"/>
    <x v="14"/>
    <n v="3893.08"/>
  </r>
  <r>
    <d v="2024-03-04T00:00:00"/>
    <s v="D005"/>
    <s v="Great Lakes Dairy"/>
    <x v="0"/>
    <s v="P002"/>
    <x v="1"/>
    <s v="Dairy"/>
    <n v="379"/>
    <n v="331"/>
    <n v="30"/>
    <x v="36"/>
    <n v="1777.86"/>
  </r>
  <r>
    <d v="2024-03-04T00:00:00"/>
    <s v="D005"/>
    <s v="Great Lakes Dairy"/>
    <x v="0"/>
    <s v="P003"/>
    <x v="2"/>
    <s v="Meat"/>
    <n v="386"/>
    <n v="335"/>
    <n v="21"/>
    <x v="75"/>
    <n v="1757.44"/>
  </r>
  <r>
    <d v="2024-03-04T00:00:00"/>
    <s v="D005"/>
    <s v="Great Lakes Dairy"/>
    <x v="0"/>
    <s v="P004"/>
    <x v="3"/>
    <s v="Produce"/>
    <n v="500"/>
    <n v="352"/>
    <n v="54"/>
    <x v="86"/>
    <n v="1546.54"/>
  </r>
  <r>
    <d v="2024-03-04T00:00:00"/>
    <s v="D005"/>
    <s v="Great Lakes Dairy"/>
    <x v="0"/>
    <s v="P005"/>
    <x v="4"/>
    <s v="Dairy"/>
    <n v="517"/>
    <n v="407"/>
    <n v="43"/>
    <x v="71"/>
    <n v="1636.09"/>
  </r>
  <r>
    <d v="2024-03-04T00:00:00"/>
    <s v="D005"/>
    <s v="Great Lakes Dairy"/>
    <x v="0"/>
    <s v="P006"/>
    <x v="5"/>
    <s v="Meat"/>
    <n v="395"/>
    <n v="287"/>
    <n v="25"/>
    <x v="39"/>
    <n v="1846.67"/>
  </r>
  <r>
    <d v="2024-03-11T00:00:00"/>
    <s v="D001"/>
    <s v="Green Valley Produce"/>
    <x v="0"/>
    <s v="P001"/>
    <x v="0"/>
    <s v="Produce"/>
    <n v="479"/>
    <n v="327"/>
    <n v="42"/>
    <x v="27"/>
    <n v="2275.87"/>
  </r>
  <r>
    <d v="2024-03-11T00:00:00"/>
    <s v="D001"/>
    <s v="Green Valley Produce"/>
    <x v="0"/>
    <s v="P002"/>
    <x v="1"/>
    <s v="Dairy"/>
    <n v="595"/>
    <n v="441"/>
    <n v="37"/>
    <x v="5"/>
    <n v="2074.5"/>
  </r>
  <r>
    <d v="2024-03-11T00:00:00"/>
    <s v="D001"/>
    <s v="Green Valley Produce"/>
    <x v="0"/>
    <s v="P003"/>
    <x v="2"/>
    <s v="Meat"/>
    <n v="731"/>
    <n v="527"/>
    <n v="34"/>
    <x v="10"/>
    <n v="2679.08"/>
  </r>
  <r>
    <d v="2024-03-11T00:00:00"/>
    <s v="D001"/>
    <s v="Green Valley Produce"/>
    <x v="0"/>
    <s v="P004"/>
    <x v="3"/>
    <s v="Produce"/>
    <n v="384"/>
    <n v="306"/>
    <n v="13"/>
    <x v="72"/>
    <n v="1978.45"/>
  </r>
  <r>
    <d v="2024-03-11T00:00:00"/>
    <s v="D001"/>
    <s v="Green Valley Produce"/>
    <x v="0"/>
    <s v="P005"/>
    <x v="4"/>
    <s v="Dairy"/>
    <n v="513"/>
    <n v="395"/>
    <n v="29"/>
    <x v="67"/>
    <n v="2039.56"/>
  </r>
  <r>
    <d v="2024-03-11T00:00:00"/>
    <s v="D001"/>
    <s v="Green Valley Produce"/>
    <x v="0"/>
    <s v="P006"/>
    <x v="5"/>
    <s v="Meat"/>
    <n v="657"/>
    <n v="434"/>
    <n v="61"/>
    <x v="59"/>
    <n v="3684.18"/>
  </r>
  <r>
    <d v="2024-03-11T00:00:00"/>
    <s v="D002"/>
    <s v="Fresh Coast Foods"/>
    <x v="1"/>
    <s v="P001"/>
    <x v="0"/>
    <s v="Produce"/>
    <n v="481"/>
    <n v="395"/>
    <n v="21"/>
    <x v="8"/>
    <n v="2578.21"/>
  </r>
  <r>
    <d v="2024-03-11T00:00:00"/>
    <s v="D002"/>
    <s v="Fresh Coast Foods"/>
    <x v="1"/>
    <s v="P002"/>
    <x v="1"/>
    <s v="Dairy"/>
    <n v="615"/>
    <n v="460"/>
    <n v="55"/>
    <x v="41"/>
    <n v="3779.7"/>
  </r>
  <r>
    <d v="2024-03-11T00:00:00"/>
    <s v="D002"/>
    <s v="Fresh Coast Foods"/>
    <x v="1"/>
    <s v="P003"/>
    <x v="2"/>
    <s v="Meat"/>
    <n v="346"/>
    <n v="304"/>
    <n v="17"/>
    <x v="1"/>
    <n v="990.24"/>
  </r>
  <r>
    <d v="2024-03-11T00:00:00"/>
    <s v="D002"/>
    <s v="Fresh Coast Foods"/>
    <x v="1"/>
    <s v="P004"/>
    <x v="3"/>
    <s v="Produce"/>
    <n v="441"/>
    <n v="379"/>
    <n v="19"/>
    <x v="79"/>
    <n v="2237.41"/>
  </r>
  <r>
    <d v="2024-03-11T00:00:00"/>
    <s v="D002"/>
    <s v="Fresh Coast Foods"/>
    <x v="1"/>
    <s v="P005"/>
    <x v="4"/>
    <s v="Dairy"/>
    <n v="357"/>
    <n v="297"/>
    <n v="22"/>
    <x v="5"/>
    <n v="2102.3200000000002"/>
  </r>
  <r>
    <d v="2024-03-11T00:00:00"/>
    <s v="D002"/>
    <s v="Fresh Coast Foods"/>
    <x v="1"/>
    <s v="P006"/>
    <x v="5"/>
    <s v="Meat"/>
    <n v="787"/>
    <n v="540"/>
    <n v="46"/>
    <x v="66"/>
    <n v="2252.9499999999998"/>
  </r>
  <r>
    <d v="2024-03-11T00:00:00"/>
    <s v="D003"/>
    <s v="Heartland Meats"/>
    <x v="2"/>
    <s v="P001"/>
    <x v="0"/>
    <s v="Produce"/>
    <n v="316"/>
    <n v="207"/>
    <n v="19"/>
    <x v="6"/>
    <n v="1652.12"/>
  </r>
  <r>
    <d v="2024-03-11T00:00:00"/>
    <s v="D003"/>
    <s v="Heartland Meats"/>
    <x v="2"/>
    <s v="P002"/>
    <x v="1"/>
    <s v="Dairy"/>
    <n v="320"/>
    <n v="230"/>
    <n v="18"/>
    <x v="50"/>
    <n v="1949.98"/>
  </r>
  <r>
    <d v="2024-03-11T00:00:00"/>
    <s v="D003"/>
    <s v="Heartland Meats"/>
    <x v="2"/>
    <s v="P003"/>
    <x v="2"/>
    <s v="Meat"/>
    <n v="492"/>
    <n v="411"/>
    <n v="27"/>
    <x v="32"/>
    <n v="1362.21"/>
  </r>
  <r>
    <d v="2024-03-11T00:00:00"/>
    <s v="D003"/>
    <s v="Heartland Meats"/>
    <x v="2"/>
    <s v="P004"/>
    <x v="3"/>
    <s v="Produce"/>
    <n v="275"/>
    <n v="212"/>
    <n v="21"/>
    <x v="56"/>
    <n v="641.66999999999996"/>
  </r>
  <r>
    <d v="2024-03-11T00:00:00"/>
    <s v="D003"/>
    <s v="Heartland Meats"/>
    <x v="2"/>
    <s v="P005"/>
    <x v="4"/>
    <s v="Dairy"/>
    <n v="527"/>
    <n v="437"/>
    <n v="34"/>
    <x v="24"/>
    <n v="1853.83"/>
  </r>
  <r>
    <d v="2024-03-11T00:00:00"/>
    <s v="D003"/>
    <s v="Heartland Meats"/>
    <x v="2"/>
    <s v="P006"/>
    <x v="5"/>
    <s v="Meat"/>
    <n v="507"/>
    <n v="446"/>
    <n v="38"/>
    <x v="45"/>
    <n v="2821.49"/>
  </r>
  <r>
    <d v="2024-03-11T00:00:00"/>
    <s v="D004"/>
    <s v="Southwest Organics"/>
    <x v="3"/>
    <s v="P001"/>
    <x v="0"/>
    <s v="Produce"/>
    <n v="570"/>
    <n v="448"/>
    <n v="18"/>
    <x v="43"/>
    <n v="1493.3"/>
  </r>
  <r>
    <d v="2024-03-11T00:00:00"/>
    <s v="D004"/>
    <s v="Southwest Organics"/>
    <x v="3"/>
    <s v="P002"/>
    <x v="1"/>
    <s v="Dairy"/>
    <n v="705"/>
    <n v="463"/>
    <n v="53"/>
    <x v="45"/>
    <n v="3390.07"/>
  </r>
  <r>
    <d v="2024-03-11T00:00:00"/>
    <s v="D004"/>
    <s v="Southwest Organics"/>
    <x v="3"/>
    <s v="P003"/>
    <x v="2"/>
    <s v="Meat"/>
    <n v="764"/>
    <n v="523"/>
    <n v="58"/>
    <x v="56"/>
    <n v="2556.9299999999998"/>
  </r>
  <r>
    <d v="2024-03-11T00:00:00"/>
    <s v="D004"/>
    <s v="Southwest Organics"/>
    <x v="3"/>
    <s v="P004"/>
    <x v="3"/>
    <s v="Produce"/>
    <n v="690"/>
    <n v="546"/>
    <n v="61"/>
    <x v="27"/>
    <n v="1606.61"/>
  </r>
  <r>
    <d v="2024-03-11T00:00:00"/>
    <s v="D004"/>
    <s v="Southwest Organics"/>
    <x v="3"/>
    <s v="P005"/>
    <x v="4"/>
    <s v="Dairy"/>
    <n v="524"/>
    <n v="431"/>
    <n v="34"/>
    <x v="24"/>
    <n v="1968.42"/>
  </r>
  <r>
    <d v="2024-03-11T00:00:00"/>
    <s v="D004"/>
    <s v="Southwest Organics"/>
    <x v="3"/>
    <s v="P006"/>
    <x v="5"/>
    <s v="Meat"/>
    <n v="764"/>
    <n v="628"/>
    <n v="54"/>
    <x v="2"/>
    <n v="3200.11"/>
  </r>
  <r>
    <d v="2024-03-11T00:00:00"/>
    <s v="D005"/>
    <s v="Great Lakes Dairy"/>
    <x v="0"/>
    <s v="P001"/>
    <x v="0"/>
    <s v="Produce"/>
    <n v="256"/>
    <n v="223"/>
    <n v="10"/>
    <x v="12"/>
    <n v="774.21"/>
  </r>
  <r>
    <d v="2024-03-11T00:00:00"/>
    <s v="D005"/>
    <s v="Great Lakes Dairy"/>
    <x v="0"/>
    <s v="P002"/>
    <x v="1"/>
    <s v="Dairy"/>
    <n v="430"/>
    <n v="319"/>
    <n v="46"/>
    <x v="30"/>
    <n v="2416.62"/>
  </r>
  <r>
    <d v="2024-03-11T00:00:00"/>
    <s v="D005"/>
    <s v="Great Lakes Dairy"/>
    <x v="0"/>
    <s v="P003"/>
    <x v="2"/>
    <s v="Meat"/>
    <n v="456"/>
    <n v="320"/>
    <n v="39"/>
    <x v="35"/>
    <n v="2000.04"/>
  </r>
  <r>
    <d v="2024-03-11T00:00:00"/>
    <s v="D005"/>
    <s v="Great Lakes Dairy"/>
    <x v="0"/>
    <s v="P004"/>
    <x v="3"/>
    <s v="Produce"/>
    <n v="746"/>
    <n v="503"/>
    <n v="67"/>
    <x v="82"/>
    <n v="3009.89"/>
  </r>
  <r>
    <d v="2024-03-11T00:00:00"/>
    <s v="D005"/>
    <s v="Great Lakes Dairy"/>
    <x v="0"/>
    <s v="P005"/>
    <x v="4"/>
    <s v="Dairy"/>
    <n v="375"/>
    <n v="310"/>
    <n v="26"/>
    <x v="9"/>
    <n v="2342.11"/>
  </r>
  <r>
    <d v="2024-03-11T00:00:00"/>
    <s v="D005"/>
    <s v="Great Lakes Dairy"/>
    <x v="0"/>
    <s v="P006"/>
    <x v="5"/>
    <s v="Meat"/>
    <n v="777"/>
    <n v="513"/>
    <n v="62"/>
    <x v="55"/>
    <n v="4202.13"/>
  </r>
  <r>
    <d v="2024-03-18T00:00:00"/>
    <s v="D001"/>
    <s v="Green Valley Produce"/>
    <x v="0"/>
    <s v="P001"/>
    <x v="0"/>
    <s v="Produce"/>
    <n v="790"/>
    <n v="569"/>
    <n v="47"/>
    <x v="34"/>
    <n v="3532.72"/>
  </r>
  <r>
    <d v="2024-03-18T00:00:00"/>
    <s v="D001"/>
    <s v="Green Valley Produce"/>
    <x v="0"/>
    <s v="P002"/>
    <x v="1"/>
    <s v="Dairy"/>
    <n v="231"/>
    <n v="181"/>
    <n v="13"/>
    <x v="50"/>
    <n v="1491.42"/>
  </r>
  <r>
    <d v="2024-03-18T00:00:00"/>
    <s v="D001"/>
    <s v="Green Valley Produce"/>
    <x v="0"/>
    <s v="P003"/>
    <x v="2"/>
    <s v="Meat"/>
    <n v="694"/>
    <n v="496"/>
    <n v="57"/>
    <x v="68"/>
    <n v="2589.75"/>
  </r>
  <r>
    <d v="2024-03-18T00:00:00"/>
    <s v="D001"/>
    <s v="Green Valley Produce"/>
    <x v="0"/>
    <s v="P004"/>
    <x v="3"/>
    <s v="Produce"/>
    <n v="261"/>
    <n v="180"/>
    <n v="17"/>
    <x v="24"/>
    <n v="817.41"/>
  </r>
  <r>
    <d v="2024-03-18T00:00:00"/>
    <s v="D001"/>
    <s v="Green Valley Produce"/>
    <x v="0"/>
    <s v="P005"/>
    <x v="4"/>
    <s v="Dairy"/>
    <n v="347"/>
    <n v="254"/>
    <n v="31"/>
    <x v="41"/>
    <n v="1946.82"/>
  </r>
  <r>
    <d v="2024-03-18T00:00:00"/>
    <s v="D001"/>
    <s v="Green Valley Produce"/>
    <x v="0"/>
    <s v="P006"/>
    <x v="5"/>
    <s v="Meat"/>
    <n v="608"/>
    <n v="416"/>
    <n v="43"/>
    <x v="2"/>
    <n v="1836.51"/>
  </r>
  <r>
    <d v="2024-03-18T00:00:00"/>
    <s v="D002"/>
    <s v="Fresh Coast Foods"/>
    <x v="1"/>
    <s v="P001"/>
    <x v="0"/>
    <s v="Produce"/>
    <n v="677"/>
    <n v="462"/>
    <n v="37"/>
    <x v="32"/>
    <n v="1295.28"/>
  </r>
  <r>
    <d v="2024-03-18T00:00:00"/>
    <s v="D002"/>
    <s v="Fresh Coast Foods"/>
    <x v="1"/>
    <s v="P002"/>
    <x v="1"/>
    <s v="Dairy"/>
    <n v="593"/>
    <n v="523"/>
    <n v="42"/>
    <x v="2"/>
    <n v="4138.95"/>
  </r>
  <r>
    <d v="2024-03-18T00:00:00"/>
    <s v="D002"/>
    <s v="Fresh Coast Foods"/>
    <x v="1"/>
    <s v="P003"/>
    <x v="2"/>
    <s v="Meat"/>
    <n v="535"/>
    <n v="482"/>
    <n v="19"/>
    <x v="22"/>
    <n v="1665.82"/>
  </r>
  <r>
    <d v="2024-03-18T00:00:00"/>
    <s v="D002"/>
    <s v="Fresh Coast Foods"/>
    <x v="1"/>
    <s v="P004"/>
    <x v="3"/>
    <s v="Produce"/>
    <n v="727"/>
    <n v="564"/>
    <n v="57"/>
    <x v="51"/>
    <n v="1714.73"/>
  </r>
  <r>
    <d v="2024-03-18T00:00:00"/>
    <s v="D002"/>
    <s v="Fresh Coast Foods"/>
    <x v="1"/>
    <s v="P005"/>
    <x v="4"/>
    <s v="Dairy"/>
    <n v="602"/>
    <n v="473"/>
    <n v="40"/>
    <x v="31"/>
    <n v="2184.02"/>
  </r>
  <r>
    <d v="2024-03-18T00:00:00"/>
    <s v="D002"/>
    <s v="Fresh Coast Foods"/>
    <x v="1"/>
    <s v="P006"/>
    <x v="5"/>
    <s v="Meat"/>
    <n v="251"/>
    <n v="182"/>
    <n v="23"/>
    <x v="3"/>
    <n v="1189.3900000000001"/>
  </r>
  <r>
    <d v="2024-03-18T00:00:00"/>
    <s v="D003"/>
    <s v="Heartland Meats"/>
    <x v="2"/>
    <s v="P001"/>
    <x v="0"/>
    <s v="Produce"/>
    <n v="492"/>
    <n v="391"/>
    <n v="34"/>
    <x v="9"/>
    <n v="3047.74"/>
  </r>
  <r>
    <d v="2024-03-18T00:00:00"/>
    <s v="D003"/>
    <s v="Heartland Meats"/>
    <x v="2"/>
    <s v="P002"/>
    <x v="1"/>
    <s v="Dairy"/>
    <n v="574"/>
    <n v="491"/>
    <n v="26"/>
    <x v="28"/>
    <n v="2907.55"/>
  </r>
  <r>
    <d v="2024-03-18T00:00:00"/>
    <s v="D003"/>
    <s v="Heartland Meats"/>
    <x v="2"/>
    <s v="P003"/>
    <x v="2"/>
    <s v="Meat"/>
    <n v="399"/>
    <n v="298"/>
    <n v="20"/>
    <x v="60"/>
    <n v="1550.23"/>
  </r>
  <r>
    <d v="2024-03-18T00:00:00"/>
    <s v="D003"/>
    <s v="Heartland Meats"/>
    <x v="2"/>
    <s v="P004"/>
    <x v="3"/>
    <s v="Produce"/>
    <n v="763"/>
    <n v="553"/>
    <n v="79"/>
    <x v="84"/>
    <n v="1776.71"/>
  </r>
  <r>
    <d v="2024-03-18T00:00:00"/>
    <s v="D003"/>
    <s v="Heartland Meats"/>
    <x v="2"/>
    <s v="P005"/>
    <x v="4"/>
    <s v="Dairy"/>
    <n v="299"/>
    <n v="226"/>
    <n v="21"/>
    <x v="63"/>
    <n v="1838.21"/>
  </r>
  <r>
    <d v="2024-03-18T00:00:00"/>
    <s v="D003"/>
    <s v="Heartland Meats"/>
    <x v="2"/>
    <s v="P006"/>
    <x v="5"/>
    <s v="Meat"/>
    <n v="347"/>
    <n v="244"/>
    <n v="25"/>
    <x v="7"/>
    <n v="676.32"/>
  </r>
  <r>
    <d v="2024-03-18T00:00:00"/>
    <s v="D004"/>
    <s v="Southwest Organics"/>
    <x v="3"/>
    <s v="P001"/>
    <x v="0"/>
    <s v="Produce"/>
    <n v="340"/>
    <n v="286"/>
    <n v="22"/>
    <x v="24"/>
    <n v="970.58"/>
  </r>
  <r>
    <d v="2024-03-18T00:00:00"/>
    <s v="D004"/>
    <s v="Southwest Organics"/>
    <x v="3"/>
    <s v="P002"/>
    <x v="1"/>
    <s v="Dairy"/>
    <n v="727"/>
    <n v="499"/>
    <n v="66"/>
    <x v="40"/>
    <n v="2424.0100000000002"/>
  </r>
  <r>
    <d v="2024-03-18T00:00:00"/>
    <s v="D004"/>
    <s v="Southwest Organics"/>
    <x v="3"/>
    <s v="P003"/>
    <x v="2"/>
    <s v="Meat"/>
    <n v="506"/>
    <n v="410"/>
    <n v="30"/>
    <x v="34"/>
    <n v="2230.02"/>
  </r>
  <r>
    <d v="2024-03-18T00:00:00"/>
    <s v="D004"/>
    <s v="Southwest Organics"/>
    <x v="3"/>
    <s v="P004"/>
    <x v="3"/>
    <s v="Produce"/>
    <n v="776"/>
    <n v="567"/>
    <n v="61"/>
    <x v="36"/>
    <n v="3709.79"/>
  </r>
  <r>
    <d v="2024-03-18T00:00:00"/>
    <s v="D004"/>
    <s v="Southwest Organics"/>
    <x v="3"/>
    <s v="P005"/>
    <x v="4"/>
    <s v="Dairy"/>
    <n v="626"/>
    <n v="505"/>
    <n v="51"/>
    <x v="29"/>
    <n v="3347.27"/>
  </r>
  <r>
    <d v="2024-03-18T00:00:00"/>
    <s v="D004"/>
    <s v="Southwest Organics"/>
    <x v="3"/>
    <s v="P006"/>
    <x v="5"/>
    <s v="Meat"/>
    <n v="227"/>
    <n v="184"/>
    <n v="13"/>
    <x v="67"/>
    <n v="1533.15"/>
  </r>
  <r>
    <d v="2024-03-18T00:00:00"/>
    <s v="D005"/>
    <s v="Great Lakes Dairy"/>
    <x v="0"/>
    <s v="P001"/>
    <x v="0"/>
    <s v="Produce"/>
    <n v="792"/>
    <n v="638"/>
    <n v="57"/>
    <x v="7"/>
    <n v="2247.7199999999998"/>
  </r>
  <r>
    <d v="2024-03-18T00:00:00"/>
    <s v="D005"/>
    <s v="Great Lakes Dairy"/>
    <x v="0"/>
    <s v="P002"/>
    <x v="1"/>
    <s v="Dairy"/>
    <n v="589"/>
    <n v="406"/>
    <n v="36"/>
    <x v="17"/>
    <n v="3324.83"/>
  </r>
  <r>
    <d v="2024-03-18T00:00:00"/>
    <s v="D005"/>
    <s v="Great Lakes Dairy"/>
    <x v="0"/>
    <s v="P003"/>
    <x v="2"/>
    <s v="Meat"/>
    <n v="312"/>
    <n v="218"/>
    <n v="20"/>
    <x v="53"/>
    <n v="1085.1500000000001"/>
  </r>
  <r>
    <d v="2024-03-18T00:00:00"/>
    <s v="D005"/>
    <s v="Great Lakes Dairy"/>
    <x v="0"/>
    <s v="P004"/>
    <x v="3"/>
    <s v="Produce"/>
    <n v="408"/>
    <n v="310"/>
    <n v="40"/>
    <x v="87"/>
    <n v="2398.44"/>
  </r>
  <r>
    <d v="2024-03-18T00:00:00"/>
    <s v="D005"/>
    <s v="Great Lakes Dairy"/>
    <x v="0"/>
    <s v="P005"/>
    <x v="4"/>
    <s v="Dairy"/>
    <n v="263"/>
    <n v="221"/>
    <n v="15"/>
    <x v="67"/>
    <n v="1876.01"/>
  </r>
  <r>
    <d v="2024-03-18T00:00:00"/>
    <s v="D005"/>
    <s v="Great Lakes Dairy"/>
    <x v="0"/>
    <s v="P006"/>
    <x v="5"/>
    <s v="Meat"/>
    <n v="689"/>
    <n v="545"/>
    <n v="26"/>
    <x v="11"/>
    <n v="4345.1499999999996"/>
  </r>
  <r>
    <d v="2024-03-25T00:00:00"/>
    <s v="D001"/>
    <s v="Green Valley Produce"/>
    <x v="0"/>
    <s v="P001"/>
    <x v="0"/>
    <s v="Produce"/>
    <n v="550"/>
    <n v="438"/>
    <n v="47"/>
    <x v="61"/>
    <n v="2884"/>
  </r>
  <r>
    <d v="2024-03-25T00:00:00"/>
    <s v="D001"/>
    <s v="Green Valley Produce"/>
    <x v="0"/>
    <s v="P002"/>
    <x v="1"/>
    <s v="Dairy"/>
    <n v="470"/>
    <n v="382"/>
    <n v="17"/>
    <x v="22"/>
    <n v="2234.13"/>
  </r>
  <r>
    <d v="2024-03-25T00:00:00"/>
    <s v="D001"/>
    <s v="Green Valley Produce"/>
    <x v="0"/>
    <s v="P003"/>
    <x v="2"/>
    <s v="Meat"/>
    <n v="430"/>
    <n v="388"/>
    <n v="29"/>
    <x v="16"/>
    <n v="2611.0100000000002"/>
  </r>
  <r>
    <d v="2024-03-25T00:00:00"/>
    <s v="D001"/>
    <s v="Green Valley Produce"/>
    <x v="0"/>
    <s v="P004"/>
    <x v="3"/>
    <s v="Produce"/>
    <n v="700"/>
    <n v="514"/>
    <n v="58"/>
    <x v="71"/>
    <n v="3738.03"/>
  </r>
  <r>
    <d v="2024-03-25T00:00:00"/>
    <s v="D001"/>
    <s v="Green Valley Produce"/>
    <x v="0"/>
    <s v="P005"/>
    <x v="4"/>
    <s v="Dairy"/>
    <n v="480"/>
    <n v="349"/>
    <n v="36"/>
    <x v="45"/>
    <n v="2748.22"/>
  </r>
  <r>
    <d v="2024-03-25T00:00:00"/>
    <s v="D001"/>
    <s v="Green Valley Produce"/>
    <x v="0"/>
    <s v="P006"/>
    <x v="5"/>
    <s v="Meat"/>
    <n v="604"/>
    <n v="526"/>
    <n v="46"/>
    <x v="56"/>
    <n v="2231.67"/>
  </r>
  <r>
    <d v="2024-03-25T00:00:00"/>
    <s v="D002"/>
    <s v="Fresh Coast Foods"/>
    <x v="1"/>
    <s v="P001"/>
    <x v="0"/>
    <s v="Produce"/>
    <n v="494"/>
    <n v="448"/>
    <n v="30"/>
    <x v="17"/>
    <n v="2883.25"/>
  </r>
  <r>
    <d v="2024-03-25T00:00:00"/>
    <s v="D002"/>
    <s v="Fresh Coast Foods"/>
    <x v="1"/>
    <s v="P002"/>
    <x v="1"/>
    <s v="Dairy"/>
    <n v="690"/>
    <n v="488"/>
    <n v="54"/>
    <x v="51"/>
    <n v="2865.59"/>
  </r>
  <r>
    <d v="2024-03-25T00:00:00"/>
    <s v="D002"/>
    <s v="Fresh Coast Foods"/>
    <x v="1"/>
    <s v="P003"/>
    <x v="2"/>
    <s v="Meat"/>
    <n v="478"/>
    <n v="328"/>
    <n v="41"/>
    <x v="35"/>
    <n v="1297.1600000000001"/>
  </r>
  <r>
    <d v="2024-03-25T00:00:00"/>
    <s v="D002"/>
    <s v="Fresh Coast Foods"/>
    <x v="1"/>
    <s v="P004"/>
    <x v="3"/>
    <s v="Produce"/>
    <n v="743"/>
    <n v="528"/>
    <n v="28"/>
    <x v="11"/>
    <n v="2366.37"/>
  </r>
  <r>
    <d v="2024-03-25T00:00:00"/>
    <s v="D002"/>
    <s v="Fresh Coast Foods"/>
    <x v="1"/>
    <s v="P005"/>
    <x v="4"/>
    <s v="Dairy"/>
    <n v="683"/>
    <n v="462"/>
    <n v="46"/>
    <x v="16"/>
    <n v="2680.58"/>
  </r>
  <r>
    <d v="2024-03-25T00:00:00"/>
    <s v="D002"/>
    <s v="Fresh Coast Foods"/>
    <x v="1"/>
    <s v="P006"/>
    <x v="5"/>
    <s v="Meat"/>
    <n v="361"/>
    <n v="274"/>
    <n v="37"/>
    <x v="77"/>
    <n v="1469.93"/>
  </r>
  <r>
    <d v="2024-03-25T00:00:00"/>
    <s v="D003"/>
    <s v="Heartland Meats"/>
    <x v="2"/>
    <s v="P001"/>
    <x v="0"/>
    <s v="Produce"/>
    <n v="404"/>
    <n v="345"/>
    <n v="15"/>
    <x v="58"/>
    <n v="984.97"/>
  </r>
  <r>
    <d v="2024-03-25T00:00:00"/>
    <s v="D003"/>
    <s v="Heartland Meats"/>
    <x v="2"/>
    <s v="P002"/>
    <x v="1"/>
    <s v="Dairy"/>
    <n v="291"/>
    <n v="240"/>
    <n v="17"/>
    <x v="66"/>
    <n v="1824.48"/>
  </r>
  <r>
    <d v="2024-03-25T00:00:00"/>
    <s v="D003"/>
    <s v="Heartland Meats"/>
    <x v="2"/>
    <s v="P003"/>
    <x v="2"/>
    <s v="Meat"/>
    <n v="238"/>
    <n v="213"/>
    <n v="14"/>
    <x v="34"/>
    <n v="757.16"/>
  </r>
  <r>
    <d v="2024-03-25T00:00:00"/>
    <s v="D003"/>
    <s v="Heartland Meats"/>
    <x v="2"/>
    <s v="P004"/>
    <x v="3"/>
    <s v="Produce"/>
    <n v="237"/>
    <n v="217"/>
    <n v="10"/>
    <x v="25"/>
    <n v="1761.96"/>
  </r>
  <r>
    <d v="2024-03-25T00:00:00"/>
    <s v="D003"/>
    <s v="Heartland Meats"/>
    <x v="2"/>
    <s v="P005"/>
    <x v="4"/>
    <s v="Dairy"/>
    <n v="496"/>
    <n v="439"/>
    <n v="21"/>
    <x v="25"/>
    <n v="1380.13"/>
  </r>
  <r>
    <d v="2024-03-25T00:00:00"/>
    <s v="D003"/>
    <s v="Heartland Meats"/>
    <x v="2"/>
    <s v="P006"/>
    <x v="5"/>
    <s v="Meat"/>
    <n v="543"/>
    <n v="394"/>
    <n v="52"/>
    <x v="88"/>
    <n v="2152.61"/>
  </r>
  <r>
    <d v="2024-03-25T00:00:00"/>
    <s v="D004"/>
    <s v="Southwest Organics"/>
    <x v="3"/>
    <s v="P001"/>
    <x v="0"/>
    <s v="Produce"/>
    <n v="337"/>
    <n v="296"/>
    <n v="11"/>
    <x v="4"/>
    <n v="940.06"/>
  </r>
  <r>
    <d v="2024-03-25T00:00:00"/>
    <s v="D004"/>
    <s v="Southwest Organics"/>
    <x v="3"/>
    <s v="P002"/>
    <x v="1"/>
    <s v="Dairy"/>
    <n v="366"/>
    <n v="310"/>
    <n v="25"/>
    <x v="57"/>
    <n v="801.2"/>
  </r>
  <r>
    <d v="2024-03-25T00:00:00"/>
    <s v="D004"/>
    <s v="Southwest Organics"/>
    <x v="3"/>
    <s v="P003"/>
    <x v="2"/>
    <s v="Meat"/>
    <n v="545"/>
    <n v="470"/>
    <n v="36"/>
    <x v="31"/>
    <n v="1669.9"/>
  </r>
  <r>
    <d v="2024-03-25T00:00:00"/>
    <s v="D004"/>
    <s v="Southwest Organics"/>
    <x v="3"/>
    <s v="P004"/>
    <x v="3"/>
    <s v="Produce"/>
    <n v="615"/>
    <n v="537"/>
    <n v="19"/>
    <x v="80"/>
    <n v="3498.84"/>
  </r>
  <r>
    <d v="2024-03-25T00:00:00"/>
    <s v="D004"/>
    <s v="Southwest Organics"/>
    <x v="3"/>
    <s v="P005"/>
    <x v="4"/>
    <s v="Dairy"/>
    <n v="389"/>
    <n v="355"/>
    <n v="26"/>
    <x v="16"/>
    <n v="902.05"/>
  </r>
  <r>
    <d v="2024-03-25T00:00:00"/>
    <s v="D004"/>
    <s v="Southwest Organics"/>
    <x v="3"/>
    <s v="P006"/>
    <x v="5"/>
    <s v="Meat"/>
    <n v="592"/>
    <n v="422"/>
    <n v="64"/>
    <x v="86"/>
    <n v="1819.53"/>
  </r>
  <r>
    <d v="2024-03-25T00:00:00"/>
    <s v="D005"/>
    <s v="Great Lakes Dairy"/>
    <x v="0"/>
    <s v="P001"/>
    <x v="0"/>
    <s v="Produce"/>
    <n v="786"/>
    <n v="513"/>
    <n v="78"/>
    <x v="89"/>
    <n v="1473.72"/>
  </r>
  <r>
    <d v="2024-03-25T00:00:00"/>
    <s v="D005"/>
    <s v="Great Lakes Dairy"/>
    <x v="0"/>
    <s v="P002"/>
    <x v="1"/>
    <s v="Dairy"/>
    <n v="321"/>
    <n v="248"/>
    <n v="19"/>
    <x v="34"/>
    <n v="1993.58"/>
  </r>
  <r>
    <d v="2024-03-25T00:00:00"/>
    <s v="D005"/>
    <s v="Great Lakes Dairy"/>
    <x v="0"/>
    <s v="P003"/>
    <x v="2"/>
    <s v="Meat"/>
    <n v="518"/>
    <n v="433"/>
    <n v="42"/>
    <x v="29"/>
    <n v="2037.38"/>
  </r>
  <r>
    <d v="2024-03-25T00:00:00"/>
    <s v="D005"/>
    <s v="Great Lakes Dairy"/>
    <x v="0"/>
    <s v="P004"/>
    <x v="3"/>
    <s v="Produce"/>
    <n v="426"/>
    <n v="302"/>
    <n v="15"/>
    <x v="64"/>
    <n v="2109.9"/>
  </r>
  <r>
    <d v="2024-03-25T00:00:00"/>
    <s v="D005"/>
    <s v="Great Lakes Dairy"/>
    <x v="0"/>
    <s v="P005"/>
    <x v="4"/>
    <s v="Dairy"/>
    <n v="582"/>
    <n v="443"/>
    <n v="38"/>
    <x v="24"/>
    <n v="2536.2199999999998"/>
  </r>
  <r>
    <d v="2024-03-25T00:00:00"/>
    <s v="D005"/>
    <s v="Great Lakes Dairy"/>
    <x v="0"/>
    <s v="P006"/>
    <x v="5"/>
    <s v="Meat"/>
    <n v="423"/>
    <n v="361"/>
    <n v="26"/>
    <x v="17"/>
    <n v="2607.94"/>
  </r>
  <r>
    <d v="2024-04-01T00:00:00"/>
    <s v="D001"/>
    <s v="Green Valley Produce"/>
    <x v="0"/>
    <s v="P001"/>
    <x v="0"/>
    <s v="Produce"/>
    <n v="738"/>
    <n v="568"/>
    <n v="38"/>
    <x v="0"/>
    <n v="3342.69"/>
  </r>
  <r>
    <d v="2024-04-01T00:00:00"/>
    <s v="D001"/>
    <s v="Green Valley Produce"/>
    <x v="0"/>
    <s v="P002"/>
    <x v="1"/>
    <s v="Dairy"/>
    <n v="263"/>
    <n v="229"/>
    <n v="12"/>
    <x v="70"/>
    <n v="1309.8699999999999"/>
  </r>
  <r>
    <d v="2024-04-01T00:00:00"/>
    <s v="D001"/>
    <s v="Green Valley Produce"/>
    <x v="0"/>
    <s v="P003"/>
    <x v="2"/>
    <s v="Meat"/>
    <n v="368"/>
    <n v="271"/>
    <n v="18"/>
    <x v="1"/>
    <n v="1011.48"/>
  </r>
  <r>
    <d v="2024-04-01T00:00:00"/>
    <s v="D001"/>
    <s v="Green Valley Produce"/>
    <x v="0"/>
    <s v="P004"/>
    <x v="3"/>
    <s v="Produce"/>
    <n v="797"/>
    <n v="623"/>
    <n v="60"/>
    <x v="45"/>
    <n v="1765.47"/>
  </r>
  <r>
    <d v="2024-04-01T00:00:00"/>
    <s v="D001"/>
    <s v="Green Valley Produce"/>
    <x v="0"/>
    <s v="P005"/>
    <x v="4"/>
    <s v="Dairy"/>
    <n v="335"/>
    <n v="264"/>
    <n v="12"/>
    <x v="22"/>
    <n v="1392.41"/>
  </r>
  <r>
    <d v="2024-04-01T00:00:00"/>
    <s v="D001"/>
    <s v="Green Valley Produce"/>
    <x v="0"/>
    <s v="P006"/>
    <x v="5"/>
    <s v="Meat"/>
    <n v="515"/>
    <n v="435"/>
    <n v="35"/>
    <x v="57"/>
    <n v="3034.05"/>
  </r>
  <r>
    <d v="2024-04-01T00:00:00"/>
    <s v="D002"/>
    <s v="Fresh Coast Foods"/>
    <x v="1"/>
    <s v="P001"/>
    <x v="0"/>
    <s v="Produce"/>
    <n v="792"/>
    <n v="530"/>
    <n v="66"/>
    <x v="71"/>
    <n v="3045.9"/>
  </r>
  <r>
    <d v="2024-04-01T00:00:00"/>
    <s v="D002"/>
    <s v="Fresh Coast Foods"/>
    <x v="1"/>
    <s v="P002"/>
    <x v="1"/>
    <s v="Dairy"/>
    <n v="261"/>
    <n v="235"/>
    <n v="16"/>
    <x v="17"/>
    <n v="632.25"/>
  </r>
  <r>
    <d v="2024-04-01T00:00:00"/>
    <s v="D002"/>
    <s v="Fresh Coast Foods"/>
    <x v="1"/>
    <s v="P003"/>
    <x v="2"/>
    <s v="Meat"/>
    <n v="618"/>
    <n v="431"/>
    <n v="38"/>
    <x v="17"/>
    <n v="2963.44"/>
  </r>
  <r>
    <d v="2024-04-01T00:00:00"/>
    <s v="D002"/>
    <s v="Fresh Coast Foods"/>
    <x v="1"/>
    <s v="P004"/>
    <x v="3"/>
    <s v="Produce"/>
    <n v="630"/>
    <n v="473"/>
    <n v="51"/>
    <x v="29"/>
    <n v="3785.27"/>
  </r>
  <r>
    <d v="2024-04-01T00:00:00"/>
    <s v="D002"/>
    <s v="Fresh Coast Foods"/>
    <x v="1"/>
    <s v="P005"/>
    <x v="4"/>
    <s v="Dairy"/>
    <n v="586"/>
    <n v="440"/>
    <n v="49"/>
    <x v="54"/>
    <n v="2523.75"/>
  </r>
  <r>
    <d v="2024-04-01T00:00:00"/>
    <s v="D002"/>
    <s v="Fresh Coast Foods"/>
    <x v="1"/>
    <s v="P006"/>
    <x v="5"/>
    <s v="Meat"/>
    <n v="556"/>
    <n v="379"/>
    <n v="55"/>
    <x v="89"/>
    <n v="1237.0899999999999"/>
  </r>
  <r>
    <d v="2024-04-01T00:00:00"/>
    <s v="D003"/>
    <s v="Heartland Meats"/>
    <x v="2"/>
    <s v="P001"/>
    <x v="0"/>
    <s v="Produce"/>
    <n v="428"/>
    <n v="374"/>
    <n v="34"/>
    <x v="36"/>
    <n v="1973.98"/>
  </r>
  <r>
    <d v="2024-04-01T00:00:00"/>
    <s v="D003"/>
    <s v="Heartland Meats"/>
    <x v="2"/>
    <s v="P002"/>
    <x v="1"/>
    <s v="Dairy"/>
    <n v="757"/>
    <n v="578"/>
    <n v="35"/>
    <x v="70"/>
    <n v="3042.45"/>
  </r>
  <r>
    <d v="2024-04-01T00:00:00"/>
    <s v="D003"/>
    <s v="Heartland Meats"/>
    <x v="2"/>
    <s v="P003"/>
    <x v="2"/>
    <s v="Meat"/>
    <n v="358"/>
    <n v="259"/>
    <n v="37"/>
    <x v="78"/>
    <n v="822.86"/>
  </r>
  <r>
    <d v="2024-04-01T00:00:00"/>
    <s v="D003"/>
    <s v="Heartland Meats"/>
    <x v="2"/>
    <s v="P004"/>
    <x v="3"/>
    <s v="Produce"/>
    <n v="629"/>
    <n v="513"/>
    <n v="58"/>
    <x v="3"/>
    <n v="2023.27"/>
  </r>
  <r>
    <d v="2024-04-01T00:00:00"/>
    <s v="D003"/>
    <s v="Heartland Meats"/>
    <x v="2"/>
    <s v="P005"/>
    <x v="4"/>
    <s v="Dairy"/>
    <n v="268"/>
    <n v="181"/>
    <n v="14"/>
    <x v="81"/>
    <n v="1216.27"/>
  </r>
  <r>
    <d v="2024-04-01T00:00:00"/>
    <s v="D003"/>
    <s v="Heartland Meats"/>
    <x v="2"/>
    <s v="P006"/>
    <x v="5"/>
    <s v="Meat"/>
    <n v="249"/>
    <n v="178"/>
    <n v="11"/>
    <x v="8"/>
    <n v="1021.46"/>
  </r>
  <r>
    <d v="2024-04-01T00:00:00"/>
    <s v="D004"/>
    <s v="Southwest Organics"/>
    <x v="3"/>
    <s v="P001"/>
    <x v="0"/>
    <s v="Produce"/>
    <n v="257"/>
    <n v="176"/>
    <n v="23"/>
    <x v="41"/>
    <n v="1407.72"/>
  </r>
  <r>
    <d v="2024-04-01T00:00:00"/>
    <s v="D004"/>
    <s v="Southwest Organics"/>
    <x v="3"/>
    <s v="P002"/>
    <x v="1"/>
    <s v="Dairy"/>
    <n v="789"/>
    <n v="580"/>
    <n v="65"/>
    <x v="68"/>
    <n v="2565.91"/>
  </r>
  <r>
    <d v="2024-04-01T00:00:00"/>
    <s v="D004"/>
    <s v="Southwest Organics"/>
    <x v="3"/>
    <s v="P003"/>
    <x v="2"/>
    <s v="Meat"/>
    <n v="509"/>
    <n v="451"/>
    <n v="30"/>
    <x v="34"/>
    <n v="2246.59"/>
  </r>
  <r>
    <d v="2024-04-01T00:00:00"/>
    <s v="D004"/>
    <s v="Southwest Organics"/>
    <x v="3"/>
    <s v="P004"/>
    <x v="3"/>
    <s v="Produce"/>
    <n v="481"/>
    <n v="320"/>
    <n v="59"/>
    <x v="33"/>
    <n v="2550.23"/>
  </r>
  <r>
    <d v="2024-04-01T00:00:00"/>
    <s v="D004"/>
    <s v="Southwest Organics"/>
    <x v="3"/>
    <s v="P005"/>
    <x v="4"/>
    <s v="Dairy"/>
    <n v="637"/>
    <n v="509"/>
    <n v="23"/>
    <x v="22"/>
    <n v="3237.19"/>
  </r>
  <r>
    <d v="2024-04-01T00:00:00"/>
    <s v="D004"/>
    <s v="Southwest Organics"/>
    <x v="3"/>
    <s v="P006"/>
    <x v="5"/>
    <s v="Meat"/>
    <n v="590"/>
    <n v="508"/>
    <n v="26"/>
    <x v="8"/>
    <n v="1724.82"/>
  </r>
  <r>
    <d v="2024-04-01T00:00:00"/>
    <s v="D005"/>
    <s v="Great Lakes Dairy"/>
    <x v="0"/>
    <s v="P001"/>
    <x v="0"/>
    <s v="Produce"/>
    <n v="585"/>
    <n v="409"/>
    <n v="36"/>
    <x v="5"/>
    <n v="1575.5"/>
  </r>
  <r>
    <d v="2024-04-01T00:00:00"/>
    <s v="D005"/>
    <s v="Great Lakes Dairy"/>
    <x v="0"/>
    <s v="P002"/>
    <x v="1"/>
    <s v="Dairy"/>
    <n v="347"/>
    <n v="301"/>
    <n v="22"/>
    <x v="39"/>
    <n v="2500.3200000000002"/>
  </r>
  <r>
    <d v="2024-04-01T00:00:00"/>
    <s v="D005"/>
    <s v="Great Lakes Dairy"/>
    <x v="0"/>
    <s v="P003"/>
    <x v="2"/>
    <s v="Meat"/>
    <n v="770"/>
    <n v="610"/>
    <n v="35"/>
    <x v="28"/>
    <n v="2733.76"/>
  </r>
  <r>
    <d v="2024-04-01T00:00:00"/>
    <s v="D005"/>
    <s v="Great Lakes Dairy"/>
    <x v="0"/>
    <s v="P004"/>
    <x v="3"/>
    <s v="Produce"/>
    <n v="280"/>
    <n v="251"/>
    <n v="9"/>
    <x v="43"/>
    <n v="1718.72"/>
  </r>
  <r>
    <d v="2024-04-01T00:00:00"/>
    <s v="D005"/>
    <s v="Great Lakes Dairy"/>
    <x v="0"/>
    <s v="P005"/>
    <x v="4"/>
    <s v="Dairy"/>
    <n v="395"/>
    <n v="262"/>
    <n v="30"/>
    <x v="56"/>
    <n v="717.17"/>
  </r>
  <r>
    <d v="2024-04-01T00:00:00"/>
    <s v="D005"/>
    <s v="Great Lakes Dairy"/>
    <x v="0"/>
    <s v="P006"/>
    <x v="5"/>
    <s v="Meat"/>
    <n v="274"/>
    <n v="192"/>
    <n v="27"/>
    <x v="89"/>
    <n v="1123.8"/>
  </r>
  <r>
    <d v="2024-04-08T00:00:00"/>
    <s v="D001"/>
    <s v="Green Valley Produce"/>
    <x v="0"/>
    <s v="P001"/>
    <x v="0"/>
    <s v="Produce"/>
    <n v="690"/>
    <n v="487"/>
    <n v="58"/>
    <x v="54"/>
    <n v="3873.58"/>
  </r>
  <r>
    <d v="2024-04-08T00:00:00"/>
    <s v="D001"/>
    <s v="Green Valley Produce"/>
    <x v="0"/>
    <s v="P002"/>
    <x v="1"/>
    <s v="Dairy"/>
    <n v="416"/>
    <n v="375"/>
    <n v="15"/>
    <x v="22"/>
    <n v="3186.54"/>
  </r>
  <r>
    <d v="2024-04-08T00:00:00"/>
    <s v="D001"/>
    <s v="Green Valley Produce"/>
    <x v="0"/>
    <s v="P003"/>
    <x v="2"/>
    <s v="Meat"/>
    <n v="690"/>
    <n v="618"/>
    <n v="43"/>
    <x v="5"/>
    <n v="3015.71"/>
  </r>
  <r>
    <d v="2024-04-08T00:00:00"/>
    <s v="D001"/>
    <s v="Green Valley Produce"/>
    <x v="0"/>
    <s v="P004"/>
    <x v="3"/>
    <s v="Produce"/>
    <n v="445"/>
    <n v="355"/>
    <n v="29"/>
    <x v="24"/>
    <n v="2024.17"/>
  </r>
  <r>
    <d v="2024-04-08T00:00:00"/>
    <s v="D001"/>
    <s v="Green Valley Produce"/>
    <x v="0"/>
    <s v="P005"/>
    <x v="4"/>
    <s v="Dairy"/>
    <n v="567"/>
    <n v="415"/>
    <n v="46"/>
    <x v="29"/>
    <n v="2197.85"/>
  </r>
  <r>
    <d v="2024-04-08T00:00:00"/>
    <s v="D001"/>
    <s v="Green Valley Produce"/>
    <x v="0"/>
    <s v="P006"/>
    <x v="5"/>
    <s v="Meat"/>
    <n v="680"/>
    <n v="581"/>
    <n v="23"/>
    <x v="72"/>
    <n v="2543.35"/>
  </r>
  <r>
    <d v="2024-04-08T00:00:00"/>
    <s v="D002"/>
    <s v="Fresh Coast Foods"/>
    <x v="1"/>
    <s v="P001"/>
    <x v="0"/>
    <s v="Produce"/>
    <n v="246"/>
    <n v="197"/>
    <n v="8"/>
    <x v="4"/>
    <n v="800.73"/>
  </r>
  <r>
    <d v="2024-04-08T00:00:00"/>
    <s v="D002"/>
    <s v="Fresh Coast Foods"/>
    <x v="1"/>
    <s v="P002"/>
    <x v="1"/>
    <s v="Dairy"/>
    <n v="798"/>
    <n v="643"/>
    <n v="31"/>
    <x v="12"/>
    <n v="2880.12"/>
  </r>
  <r>
    <d v="2024-04-08T00:00:00"/>
    <s v="D002"/>
    <s v="Fresh Coast Foods"/>
    <x v="1"/>
    <s v="P003"/>
    <x v="2"/>
    <s v="Meat"/>
    <n v="588"/>
    <n v="472"/>
    <n v="31"/>
    <x v="15"/>
    <n v="3851.89"/>
  </r>
  <r>
    <d v="2024-04-08T00:00:00"/>
    <s v="D002"/>
    <s v="Fresh Coast Foods"/>
    <x v="1"/>
    <s v="P004"/>
    <x v="3"/>
    <s v="Produce"/>
    <n v="545"/>
    <n v="392"/>
    <n v="60"/>
    <x v="90"/>
    <n v="2489.27"/>
  </r>
  <r>
    <d v="2024-04-08T00:00:00"/>
    <s v="D002"/>
    <s v="Fresh Coast Foods"/>
    <x v="1"/>
    <s v="P005"/>
    <x v="4"/>
    <s v="Dairy"/>
    <n v="702"/>
    <n v="543"/>
    <n v="46"/>
    <x v="31"/>
    <n v="1813.48"/>
  </r>
  <r>
    <d v="2024-04-08T00:00:00"/>
    <s v="D002"/>
    <s v="Fresh Coast Foods"/>
    <x v="1"/>
    <s v="P006"/>
    <x v="5"/>
    <s v="Meat"/>
    <n v="759"/>
    <n v="593"/>
    <n v="62"/>
    <x v="68"/>
    <n v="3766.06"/>
  </r>
  <r>
    <d v="2024-04-08T00:00:00"/>
    <s v="D003"/>
    <s v="Heartland Meats"/>
    <x v="2"/>
    <s v="P001"/>
    <x v="0"/>
    <s v="Produce"/>
    <n v="260"/>
    <n v="205"/>
    <n v="14"/>
    <x v="75"/>
    <n v="1518.63"/>
  </r>
  <r>
    <d v="2024-04-08T00:00:00"/>
    <s v="D003"/>
    <s v="Heartland Meats"/>
    <x v="2"/>
    <s v="P002"/>
    <x v="1"/>
    <s v="Dairy"/>
    <n v="249"/>
    <n v="213"/>
    <n v="17"/>
    <x v="57"/>
    <n v="828.27"/>
  </r>
  <r>
    <d v="2024-04-08T00:00:00"/>
    <s v="D003"/>
    <s v="Heartland Meats"/>
    <x v="2"/>
    <s v="P003"/>
    <x v="2"/>
    <s v="Meat"/>
    <n v="354"/>
    <n v="230"/>
    <n v="26"/>
    <x v="69"/>
    <n v="1427.61"/>
  </r>
  <r>
    <d v="2024-04-08T00:00:00"/>
    <s v="D003"/>
    <s v="Heartland Meats"/>
    <x v="2"/>
    <s v="P004"/>
    <x v="3"/>
    <s v="Produce"/>
    <n v="694"/>
    <n v="574"/>
    <n v="30"/>
    <x v="79"/>
    <n v="2851.65"/>
  </r>
  <r>
    <d v="2024-04-08T00:00:00"/>
    <s v="D003"/>
    <s v="Heartland Meats"/>
    <x v="2"/>
    <s v="P005"/>
    <x v="4"/>
    <s v="Dairy"/>
    <n v="217"/>
    <n v="172"/>
    <n v="16"/>
    <x v="48"/>
    <n v="447.69"/>
  </r>
  <r>
    <d v="2024-04-08T00:00:00"/>
    <s v="D003"/>
    <s v="Heartland Meats"/>
    <x v="2"/>
    <s v="P006"/>
    <x v="5"/>
    <s v="Meat"/>
    <n v="640"/>
    <n v="555"/>
    <n v="27"/>
    <x v="25"/>
    <n v="1708.23"/>
  </r>
  <r>
    <d v="2024-04-08T00:00:00"/>
    <s v="D004"/>
    <s v="Southwest Organics"/>
    <x v="3"/>
    <s v="P001"/>
    <x v="0"/>
    <s v="Produce"/>
    <n v="352"/>
    <n v="251"/>
    <n v="23"/>
    <x v="24"/>
    <n v="1161.29"/>
  </r>
  <r>
    <d v="2024-04-08T00:00:00"/>
    <s v="D004"/>
    <s v="Southwest Organics"/>
    <x v="3"/>
    <s v="P002"/>
    <x v="1"/>
    <s v="Dairy"/>
    <n v="606"/>
    <n v="406"/>
    <n v="62"/>
    <x v="77"/>
    <n v="1607.45"/>
  </r>
  <r>
    <d v="2024-04-08T00:00:00"/>
    <s v="D004"/>
    <s v="Southwest Organics"/>
    <x v="3"/>
    <s v="P003"/>
    <x v="2"/>
    <s v="Meat"/>
    <n v="431"/>
    <n v="315"/>
    <n v="27"/>
    <x v="39"/>
    <n v="2661.77"/>
  </r>
  <r>
    <d v="2024-04-08T00:00:00"/>
    <s v="D004"/>
    <s v="Southwest Organics"/>
    <x v="3"/>
    <s v="P004"/>
    <x v="3"/>
    <s v="Produce"/>
    <n v="232"/>
    <n v="156"/>
    <n v="16"/>
    <x v="9"/>
    <n v="442.52"/>
  </r>
  <r>
    <d v="2024-04-08T00:00:00"/>
    <s v="D004"/>
    <s v="Southwest Organics"/>
    <x v="3"/>
    <s v="P005"/>
    <x v="4"/>
    <s v="Dairy"/>
    <n v="209"/>
    <n v="175"/>
    <n v="12"/>
    <x v="67"/>
    <n v="1114.6500000000001"/>
  </r>
  <r>
    <d v="2024-04-08T00:00:00"/>
    <s v="D004"/>
    <s v="Southwest Organics"/>
    <x v="3"/>
    <s v="P006"/>
    <x v="5"/>
    <s v="Meat"/>
    <n v="539"/>
    <n v="432"/>
    <n v="28"/>
    <x v="81"/>
    <n v="2448.9899999999998"/>
  </r>
  <r>
    <d v="2024-04-08T00:00:00"/>
    <s v="D005"/>
    <s v="Great Lakes Dairy"/>
    <x v="0"/>
    <s v="P001"/>
    <x v="0"/>
    <s v="Produce"/>
    <n v="243"/>
    <n v="173"/>
    <n v="24"/>
    <x v="89"/>
    <n v="1020.82"/>
  </r>
  <r>
    <d v="2024-04-08T00:00:00"/>
    <s v="D005"/>
    <s v="Great Lakes Dairy"/>
    <x v="0"/>
    <s v="P002"/>
    <x v="1"/>
    <s v="Dairy"/>
    <n v="477"/>
    <n v="316"/>
    <n v="35"/>
    <x v="69"/>
    <n v="2495.09"/>
  </r>
  <r>
    <d v="2024-04-08T00:00:00"/>
    <s v="D005"/>
    <s v="Great Lakes Dairy"/>
    <x v="0"/>
    <s v="P003"/>
    <x v="2"/>
    <s v="Meat"/>
    <n v="777"/>
    <n v="643"/>
    <n v="50"/>
    <x v="53"/>
    <n v="1667.91"/>
  </r>
  <r>
    <d v="2024-04-08T00:00:00"/>
    <s v="D005"/>
    <s v="Great Lakes Dairy"/>
    <x v="0"/>
    <s v="P004"/>
    <x v="3"/>
    <s v="Produce"/>
    <n v="412"/>
    <n v="333"/>
    <n v="32"/>
    <x v="51"/>
    <n v="1628.3"/>
  </r>
  <r>
    <d v="2024-04-08T00:00:00"/>
    <s v="D005"/>
    <s v="Great Lakes Dairy"/>
    <x v="0"/>
    <s v="P005"/>
    <x v="4"/>
    <s v="Dairy"/>
    <n v="278"/>
    <n v="203"/>
    <n v="21"/>
    <x v="56"/>
    <n v="1542.12"/>
  </r>
  <r>
    <d v="2024-04-08T00:00:00"/>
    <s v="D005"/>
    <s v="Great Lakes Dairy"/>
    <x v="0"/>
    <s v="P006"/>
    <x v="5"/>
    <s v="Meat"/>
    <n v="753"/>
    <n v="556"/>
    <n v="47"/>
    <x v="5"/>
    <n v="4687.5600000000004"/>
  </r>
  <r>
    <d v="2024-04-15T00:00:00"/>
    <s v="D001"/>
    <s v="Green Valley Produce"/>
    <x v="0"/>
    <s v="P001"/>
    <x v="0"/>
    <s v="Produce"/>
    <n v="280"/>
    <n v="219"/>
    <n v="16"/>
    <x v="67"/>
    <n v="1121.83"/>
  </r>
  <r>
    <d v="2024-04-15T00:00:00"/>
    <s v="D001"/>
    <s v="Green Valley Produce"/>
    <x v="0"/>
    <s v="P002"/>
    <x v="1"/>
    <s v="Dairy"/>
    <n v="277"/>
    <n v="205"/>
    <n v="28"/>
    <x v="42"/>
    <n v="1000.44"/>
  </r>
  <r>
    <d v="2024-04-15T00:00:00"/>
    <s v="D001"/>
    <s v="Green Valley Produce"/>
    <x v="0"/>
    <s v="P003"/>
    <x v="2"/>
    <s v="Meat"/>
    <n v="534"/>
    <n v="351"/>
    <n v="48"/>
    <x v="82"/>
    <n v="1910.71"/>
  </r>
  <r>
    <d v="2024-04-15T00:00:00"/>
    <s v="D001"/>
    <s v="Green Valley Produce"/>
    <x v="0"/>
    <s v="P004"/>
    <x v="3"/>
    <s v="Produce"/>
    <n v="564"/>
    <n v="450"/>
    <n v="23"/>
    <x v="52"/>
    <n v="2706.86"/>
  </r>
  <r>
    <d v="2024-04-15T00:00:00"/>
    <s v="D001"/>
    <s v="Green Valley Produce"/>
    <x v="0"/>
    <s v="P005"/>
    <x v="4"/>
    <s v="Dairy"/>
    <n v="589"/>
    <n v="396"/>
    <n v="58"/>
    <x v="87"/>
    <n v="2684.35"/>
  </r>
  <r>
    <d v="2024-04-15T00:00:00"/>
    <s v="D001"/>
    <s v="Green Valley Produce"/>
    <x v="0"/>
    <s v="P006"/>
    <x v="5"/>
    <s v="Meat"/>
    <n v="284"/>
    <n v="205"/>
    <n v="22"/>
    <x v="13"/>
    <n v="702.26"/>
  </r>
  <r>
    <d v="2024-04-15T00:00:00"/>
    <s v="D002"/>
    <s v="Fresh Coast Foods"/>
    <x v="1"/>
    <s v="P001"/>
    <x v="0"/>
    <s v="Produce"/>
    <n v="598"/>
    <n v="439"/>
    <n v="15"/>
    <x v="26"/>
    <n v="1909.48"/>
  </r>
  <r>
    <d v="2024-04-15T00:00:00"/>
    <s v="D002"/>
    <s v="Fresh Coast Foods"/>
    <x v="1"/>
    <s v="P002"/>
    <x v="1"/>
    <s v="Dairy"/>
    <n v="568"/>
    <n v="485"/>
    <n v="13"/>
    <x v="18"/>
    <n v="2466.65"/>
  </r>
  <r>
    <d v="2024-04-15T00:00:00"/>
    <s v="D002"/>
    <s v="Fresh Coast Foods"/>
    <x v="1"/>
    <s v="P003"/>
    <x v="2"/>
    <s v="Meat"/>
    <n v="770"/>
    <n v="615"/>
    <n v="26"/>
    <x v="72"/>
    <n v="2843.44"/>
  </r>
  <r>
    <d v="2024-04-15T00:00:00"/>
    <s v="D002"/>
    <s v="Fresh Coast Foods"/>
    <x v="1"/>
    <s v="P004"/>
    <x v="3"/>
    <s v="Produce"/>
    <n v="295"/>
    <n v="239"/>
    <n v="25"/>
    <x v="61"/>
    <n v="615.20000000000005"/>
  </r>
  <r>
    <d v="2024-04-15T00:00:00"/>
    <s v="D002"/>
    <s v="Fresh Coast Foods"/>
    <x v="1"/>
    <s v="P005"/>
    <x v="4"/>
    <s v="Dairy"/>
    <n v="623"/>
    <n v="470"/>
    <n v="42"/>
    <x v="16"/>
    <n v="3727.69"/>
  </r>
  <r>
    <d v="2024-04-15T00:00:00"/>
    <s v="D002"/>
    <s v="Fresh Coast Foods"/>
    <x v="1"/>
    <s v="P006"/>
    <x v="5"/>
    <s v="Meat"/>
    <n v="448"/>
    <n v="360"/>
    <n v="19"/>
    <x v="25"/>
    <n v="1199.8900000000001"/>
  </r>
  <r>
    <d v="2024-04-15T00:00:00"/>
    <s v="D003"/>
    <s v="Heartland Meats"/>
    <x v="2"/>
    <s v="P001"/>
    <x v="0"/>
    <s v="Produce"/>
    <n v="508"/>
    <n v="367"/>
    <n v="18"/>
    <x v="64"/>
    <n v="1525.17"/>
  </r>
  <r>
    <d v="2024-04-15T00:00:00"/>
    <s v="D003"/>
    <s v="Heartland Meats"/>
    <x v="2"/>
    <s v="P002"/>
    <x v="1"/>
    <s v="Dairy"/>
    <n v="506"/>
    <n v="395"/>
    <n v="17"/>
    <x v="72"/>
    <n v="1571.92"/>
  </r>
  <r>
    <d v="2024-04-15T00:00:00"/>
    <s v="D003"/>
    <s v="Heartland Meats"/>
    <x v="2"/>
    <s v="P003"/>
    <x v="2"/>
    <s v="Meat"/>
    <n v="707"/>
    <n v="572"/>
    <n v="21"/>
    <x v="37"/>
    <n v="2475.59"/>
  </r>
  <r>
    <d v="2024-04-15T00:00:00"/>
    <s v="D003"/>
    <s v="Heartland Meats"/>
    <x v="2"/>
    <s v="P004"/>
    <x v="3"/>
    <s v="Produce"/>
    <n v="605"/>
    <n v="447"/>
    <n v="54"/>
    <x v="41"/>
    <n v="2001.33"/>
  </r>
  <r>
    <d v="2024-04-15T00:00:00"/>
    <s v="D003"/>
    <s v="Heartland Meats"/>
    <x v="2"/>
    <s v="P005"/>
    <x v="4"/>
    <s v="Dairy"/>
    <n v="542"/>
    <n v="415"/>
    <n v="46"/>
    <x v="61"/>
    <n v="2517.54"/>
  </r>
  <r>
    <d v="2024-04-15T00:00:00"/>
    <s v="D003"/>
    <s v="Heartland Meats"/>
    <x v="2"/>
    <s v="P006"/>
    <x v="5"/>
    <s v="Meat"/>
    <n v="507"/>
    <n v="373"/>
    <n v="38"/>
    <x v="45"/>
    <n v="1635.64"/>
  </r>
  <r>
    <d v="2024-04-15T00:00:00"/>
    <s v="D004"/>
    <s v="Southwest Organics"/>
    <x v="3"/>
    <s v="P001"/>
    <x v="0"/>
    <s v="Produce"/>
    <n v="607"/>
    <n v="553"/>
    <n v="32"/>
    <x v="15"/>
    <n v="3011.66"/>
  </r>
  <r>
    <d v="2024-04-15T00:00:00"/>
    <s v="D004"/>
    <s v="Southwest Organics"/>
    <x v="3"/>
    <s v="P002"/>
    <x v="1"/>
    <s v="Dairy"/>
    <n v="789"/>
    <n v="679"/>
    <n v="29"/>
    <x v="58"/>
    <n v="4899.12"/>
  </r>
  <r>
    <d v="2024-04-15T00:00:00"/>
    <s v="D004"/>
    <s v="Southwest Organics"/>
    <x v="3"/>
    <s v="P003"/>
    <x v="2"/>
    <s v="Meat"/>
    <n v="573"/>
    <n v="390"/>
    <n v="48"/>
    <x v="54"/>
    <n v="2251.77"/>
  </r>
  <r>
    <d v="2024-04-15T00:00:00"/>
    <s v="D004"/>
    <s v="Southwest Organics"/>
    <x v="3"/>
    <s v="P004"/>
    <x v="3"/>
    <s v="Produce"/>
    <n v="763"/>
    <n v="501"/>
    <n v="88"/>
    <x v="91"/>
    <n v="1882.7"/>
  </r>
  <r>
    <d v="2024-04-15T00:00:00"/>
    <s v="D004"/>
    <s v="Southwest Organics"/>
    <x v="3"/>
    <s v="P005"/>
    <x v="4"/>
    <s v="Dairy"/>
    <n v="498"/>
    <n v="435"/>
    <n v="29"/>
    <x v="66"/>
    <n v="3162.57"/>
  </r>
  <r>
    <d v="2024-04-15T00:00:00"/>
    <s v="D004"/>
    <s v="Southwest Organics"/>
    <x v="3"/>
    <s v="P006"/>
    <x v="5"/>
    <s v="Meat"/>
    <n v="711"/>
    <n v="488"/>
    <n v="37"/>
    <x v="81"/>
    <n v="1671.33"/>
  </r>
  <r>
    <d v="2024-04-15T00:00:00"/>
    <s v="D005"/>
    <s v="Great Lakes Dairy"/>
    <x v="0"/>
    <s v="P001"/>
    <x v="0"/>
    <s v="Produce"/>
    <n v="633"/>
    <n v="546"/>
    <n v="42"/>
    <x v="31"/>
    <n v="2934.97"/>
  </r>
  <r>
    <d v="2024-04-15T00:00:00"/>
    <s v="D005"/>
    <s v="Great Lakes Dairy"/>
    <x v="0"/>
    <s v="P002"/>
    <x v="1"/>
    <s v="Dairy"/>
    <n v="610"/>
    <n v="484"/>
    <n v="58"/>
    <x v="92"/>
    <n v="2424.75"/>
  </r>
  <r>
    <d v="2024-04-15T00:00:00"/>
    <s v="D005"/>
    <s v="Great Lakes Dairy"/>
    <x v="0"/>
    <s v="P003"/>
    <x v="2"/>
    <s v="Meat"/>
    <n v="237"/>
    <n v="204"/>
    <n v="16"/>
    <x v="57"/>
    <n v="1167.17"/>
  </r>
  <r>
    <d v="2024-04-15T00:00:00"/>
    <s v="D005"/>
    <s v="Great Lakes Dairy"/>
    <x v="0"/>
    <s v="P004"/>
    <x v="3"/>
    <s v="Produce"/>
    <n v="287"/>
    <n v="195"/>
    <n v="20"/>
    <x v="63"/>
    <n v="682.12"/>
  </r>
  <r>
    <d v="2024-04-15T00:00:00"/>
    <s v="D005"/>
    <s v="Great Lakes Dairy"/>
    <x v="0"/>
    <s v="P005"/>
    <x v="4"/>
    <s v="Dairy"/>
    <n v="245"/>
    <n v="196"/>
    <n v="18"/>
    <x v="69"/>
    <n v="1626.97"/>
  </r>
  <r>
    <d v="2024-04-15T00:00:00"/>
    <s v="D005"/>
    <s v="Great Lakes Dairy"/>
    <x v="0"/>
    <s v="P006"/>
    <x v="5"/>
    <s v="Meat"/>
    <n v="539"/>
    <n v="490"/>
    <n v="11"/>
    <x v="85"/>
    <n v="1985.69"/>
  </r>
  <r>
    <d v="2024-04-22T00:00:00"/>
    <s v="D001"/>
    <s v="Green Valley Produce"/>
    <x v="0"/>
    <s v="P001"/>
    <x v="0"/>
    <s v="Produce"/>
    <n v="722"/>
    <n v="614"/>
    <n v="47"/>
    <x v="24"/>
    <n v="2349.2800000000002"/>
  </r>
  <r>
    <d v="2024-04-22T00:00:00"/>
    <s v="D001"/>
    <s v="Green Valley Produce"/>
    <x v="0"/>
    <s v="P002"/>
    <x v="1"/>
    <s v="Dairy"/>
    <n v="583"/>
    <n v="440"/>
    <n v="48"/>
    <x v="68"/>
    <n v="2421.23"/>
  </r>
  <r>
    <d v="2024-04-22T00:00:00"/>
    <s v="D001"/>
    <s v="Green Valley Produce"/>
    <x v="0"/>
    <s v="P003"/>
    <x v="2"/>
    <s v="Meat"/>
    <n v="553"/>
    <n v="508"/>
    <n v="19"/>
    <x v="72"/>
    <n v="4075.83"/>
  </r>
  <r>
    <d v="2024-04-22T00:00:00"/>
    <s v="D001"/>
    <s v="Green Valley Produce"/>
    <x v="0"/>
    <s v="P004"/>
    <x v="3"/>
    <s v="Produce"/>
    <n v="287"/>
    <n v="195"/>
    <n v="24"/>
    <x v="54"/>
    <n v="852.41"/>
  </r>
  <r>
    <d v="2024-04-22T00:00:00"/>
    <s v="D001"/>
    <s v="Green Valley Produce"/>
    <x v="0"/>
    <s v="P005"/>
    <x v="4"/>
    <s v="Dairy"/>
    <n v="666"/>
    <n v="573"/>
    <n v="30"/>
    <x v="28"/>
    <n v="1768.13"/>
  </r>
  <r>
    <d v="2024-04-22T00:00:00"/>
    <s v="D001"/>
    <s v="Green Valley Produce"/>
    <x v="0"/>
    <s v="P006"/>
    <x v="5"/>
    <s v="Meat"/>
    <n v="663"/>
    <n v="488"/>
    <n v="49"/>
    <x v="48"/>
    <n v="1556.97"/>
  </r>
  <r>
    <d v="2024-04-22T00:00:00"/>
    <s v="D002"/>
    <s v="Fresh Coast Foods"/>
    <x v="1"/>
    <s v="P001"/>
    <x v="0"/>
    <s v="Produce"/>
    <n v="551"/>
    <n v="454"/>
    <n v="25"/>
    <x v="28"/>
    <n v="3815.14"/>
  </r>
  <r>
    <d v="2024-04-22T00:00:00"/>
    <s v="D002"/>
    <s v="Fresh Coast Foods"/>
    <x v="1"/>
    <s v="P002"/>
    <x v="1"/>
    <s v="Dairy"/>
    <n v="449"/>
    <n v="354"/>
    <n v="25"/>
    <x v="50"/>
    <n v="1790.61"/>
  </r>
  <r>
    <d v="2024-04-22T00:00:00"/>
    <s v="D002"/>
    <s v="Fresh Coast Foods"/>
    <x v="1"/>
    <s v="P003"/>
    <x v="2"/>
    <s v="Meat"/>
    <n v="673"/>
    <n v="479"/>
    <n v="34"/>
    <x v="0"/>
    <n v="3038.24"/>
  </r>
  <r>
    <d v="2024-04-22T00:00:00"/>
    <s v="D002"/>
    <s v="Fresh Coast Foods"/>
    <x v="1"/>
    <s v="P004"/>
    <x v="3"/>
    <s v="Produce"/>
    <n v="642"/>
    <n v="485"/>
    <n v="61"/>
    <x v="92"/>
    <n v="2520.7600000000002"/>
  </r>
  <r>
    <d v="2024-04-22T00:00:00"/>
    <s v="D002"/>
    <s v="Fresh Coast Foods"/>
    <x v="1"/>
    <s v="P005"/>
    <x v="4"/>
    <s v="Dairy"/>
    <n v="639"/>
    <n v="482"/>
    <n v="39"/>
    <x v="17"/>
    <n v="3380.73"/>
  </r>
  <r>
    <d v="2024-04-22T00:00:00"/>
    <s v="D002"/>
    <s v="Fresh Coast Foods"/>
    <x v="1"/>
    <s v="P006"/>
    <x v="5"/>
    <s v="Meat"/>
    <n v="264"/>
    <n v="212"/>
    <n v="19"/>
    <x v="7"/>
    <n v="995.29"/>
  </r>
  <r>
    <d v="2024-04-22T00:00:00"/>
    <s v="D003"/>
    <s v="Heartland Meats"/>
    <x v="2"/>
    <s v="P001"/>
    <x v="0"/>
    <s v="Produce"/>
    <n v="401"/>
    <n v="310"/>
    <n v="29"/>
    <x v="7"/>
    <n v="1756.55"/>
  </r>
  <r>
    <d v="2024-04-22T00:00:00"/>
    <s v="D003"/>
    <s v="Heartland Meats"/>
    <x v="2"/>
    <s v="P002"/>
    <x v="1"/>
    <s v="Dairy"/>
    <n v="520"/>
    <n v="421"/>
    <n v="35"/>
    <x v="16"/>
    <n v="1931.36"/>
  </r>
  <r>
    <d v="2024-04-22T00:00:00"/>
    <s v="D003"/>
    <s v="Heartland Meats"/>
    <x v="2"/>
    <s v="P003"/>
    <x v="2"/>
    <s v="Meat"/>
    <n v="668"/>
    <n v="545"/>
    <n v="53"/>
    <x v="36"/>
    <n v="2335.14"/>
  </r>
  <r>
    <d v="2024-04-22T00:00:00"/>
    <s v="D003"/>
    <s v="Heartland Meats"/>
    <x v="2"/>
    <s v="P004"/>
    <x v="3"/>
    <s v="Produce"/>
    <n v="286"/>
    <n v="237"/>
    <n v="10"/>
    <x v="64"/>
    <n v="758.8"/>
  </r>
  <r>
    <d v="2024-04-22T00:00:00"/>
    <s v="D003"/>
    <s v="Heartland Meats"/>
    <x v="2"/>
    <s v="P005"/>
    <x v="4"/>
    <s v="Dairy"/>
    <n v="582"/>
    <n v="487"/>
    <n v="30"/>
    <x v="81"/>
    <n v="1620.35"/>
  </r>
  <r>
    <d v="2024-04-22T00:00:00"/>
    <s v="D003"/>
    <s v="Heartland Meats"/>
    <x v="2"/>
    <s v="P006"/>
    <x v="5"/>
    <s v="Meat"/>
    <n v="592"/>
    <n v="452"/>
    <n v="39"/>
    <x v="31"/>
    <n v="3622.76"/>
  </r>
  <r>
    <d v="2024-04-22T00:00:00"/>
    <s v="D004"/>
    <s v="Southwest Organics"/>
    <x v="3"/>
    <s v="P001"/>
    <x v="0"/>
    <s v="Produce"/>
    <n v="377"/>
    <n v="301"/>
    <n v="16"/>
    <x v="25"/>
    <n v="1320.63"/>
  </r>
  <r>
    <d v="2024-04-22T00:00:00"/>
    <s v="D004"/>
    <s v="Southwest Organics"/>
    <x v="3"/>
    <s v="P002"/>
    <x v="1"/>
    <s v="Dairy"/>
    <n v="661"/>
    <n v="540"/>
    <n v="61"/>
    <x v="3"/>
    <n v="2920.13"/>
  </r>
  <r>
    <d v="2024-04-22T00:00:00"/>
    <s v="D004"/>
    <s v="Southwest Organics"/>
    <x v="3"/>
    <s v="P003"/>
    <x v="2"/>
    <s v="Meat"/>
    <n v="399"/>
    <n v="347"/>
    <n v="25"/>
    <x v="39"/>
    <n v="1898.03"/>
  </r>
  <r>
    <d v="2024-04-22T00:00:00"/>
    <s v="D004"/>
    <s v="Southwest Organics"/>
    <x v="3"/>
    <s v="P004"/>
    <x v="3"/>
    <s v="Produce"/>
    <n v="703"/>
    <n v="535"/>
    <n v="56"/>
    <x v="55"/>
    <n v="1602.87"/>
  </r>
  <r>
    <d v="2024-04-22T00:00:00"/>
    <s v="D004"/>
    <s v="Southwest Organics"/>
    <x v="3"/>
    <s v="P005"/>
    <x v="4"/>
    <s v="Dairy"/>
    <n v="231"/>
    <n v="199"/>
    <n v="5"/>
    <x v="38"/>
    <n v="765.96"/>
  </r>
  <r>
    <d v="2024-04-22T00:00:00"/>
    <s v="D004"/>
    <s v="Southwest Organics"/>
    <x v="3"/>
    <s v="P006"/>
    <x v="5"/>
    <s v="Meat"/>
    <n v="495"/>
    <n v="344"/>
    <n v="41"/>
    <x v="71"/>
    <n v="2440.86"/>
  </r>
  <r>
    <d v="2024-04-22T00:00:00"/>
    <s v="D005"/>
    <s v="Great Lakes Dairy"/>
    <x v="0"/>
    <s v="P001"/>
    <x v="0"/>
    <s v="Produce"/>
    <n v="762"/>
    <n v="600"/>
    <n v="41"/>
    <x v="75"/>
    <n v="3455.18"/>
  </r>
  <r>
    <d v="2024-04-22T00:00:00"/>
    <s v="D005"/>
    <s v="Great Lakes Dairy"/>
    <x v="0"/>
    <s v="P002"/>
    <x v="1"/>
    <s v="Dairy"/>
    <n v="575"/>
    <n v="457"/>
    <n v="48"/>
    <x v="71"/>
    <n v="2352.73"/>
  </r>
  <r>
    <d v="2024-04-22T00:00:00"/>
    <s v="D005"/>
    <s v="Great Lakes Dairy"/>
    <x v="0"/>
    <s v="P003"/>
    <x v="2"/>
    <s v="Meat"/>
    <n v="423"/>
    <n v="387"/>
    <n v="23"/>
    <x v="75"/>
    <n v="2712.12"/>
  </r>
  <r>
    <d v="2024-04-22T00:00:00"/>
    <s v="D005"/>
    <s v="Great Lakes Dairy"/>
    <x v="0"/>
    <s v="P004"/>
    <x v="3"/>
    <s v="Produce"/>
    <n v="504"/>
    <n v="446"/>
    <n v="14"/>
    <x v="19"/>
    <n v="3422.25"/>
  </r>
  <r>
    <d v="2024-04-22T00:00:00"/>
    <s v="D005"/>
    <s v="Great Lakes Dairy"/>
    <x v="0"/>
    <s v="P005"/>
    <x v="4"/>
    <s v="Dairy"/>
    <n v="289"/>
    <n v="222"/>
    <n v="28"/>
    <x v="20"/>
    <n v="870.61"/>
  </r>
  <r>
    <d v="2024-04-22T00:00:00"/>
    <s v="D005"/>
    <s v="Great Lakes Dairy"/>
    <x v="0"/>
    <s v="P006"/>
    <x v="5"/>
    <s v="Meat"/>
    <n v="559"/>
    <n v="493"/>
    <n v="27"/>
    <x v="49"/>
    <n v="3055.08"/>
  </r>
  <r>
    <d v="2024-04-29T00:00:00"/>
    <s v="D001"/>
    <s v="Green Valley Produce"/>
    <x v="0"/>
    <s v="P001"/>
    <x v="0"/>
    <s v="Produce"/>
    <n v="411"/>
    <n v="357"/>
    <n v="25"/>
    <x v="17"/>
    <n v="2032.65"/>
  </r>
  <r>
    <d v="2024-04-29T00:00:00"/>
    <s v="D001"/>
    <s v="Green Valley Produce"/>
    <x v="0"/>
    <s v="P002"/>
    <x v="1"/>
    <s v="Dairy"/>
    <n v="751"/>
    <n v="522"/>
    <n v="68"/>
    <x v="40"/>
    <n v="3098.81"/>
  </r>
  <r>
    <d v="2024-04-29T00:00:00"/>
    <s v="D001"/>
    <s v="Green Valley Produce"/>
    <x v="0"/>
    <s v="P003"/>
    <x v="2"/>
    <s v="Meat"/>
    <n v="726"/>
    <n v="665"/>
    <n v="20"/>
    <x v="19"/>
    <n v="5503.96"/>
  </r>
  <r>
    <d v="2024-04-29T00:00:00"/>
    <s v="D001"/>
    <s v="Green Valley Produce"/>
    <x v="0"/>
    <s v="P004"/>
    <x v="3"/>
    <s v="Produce"/>
    <n v="621"/>
    <n v="557"/>
    <n v="47"/>
    <x v="56"/>
    <n v="1816.56"/>
  </r>
  <r>
    <d v="2024-04-29T00:00:00"/>
    <s v="D001"/>
    <s v="Green Valley Produce"/>
    <x v="0"/>
    <s v="P005"/>
    <x v="4"/>
    <s v="Dairy"/>
    <n v="335"/>
    <n v="240"/>
    <n v="33"/>
    <x v="89"/>
    <n v="1696.52"/>
  </r>
  <r>
    <d v="2024-04-29T00:00:00"/>
    <s v="D001"/>
    <s v="Green Valley Produce"/>
    <x v="0"/>
    <s v="P006"/>
    <x v="5"/>
    <s v="Meat"/>
    <n v="602"/>
    <n v="470"/>
    <n v="33"/>
    <x v="32"/>
    <n v="2343.11"/>
  </r>
  <r>
    <d v="2024-04-29T00:00:00"/>
    <s v="D002"/>
    <s v="Fresh Coast Foods"/>
    <x v="1"/>
    <s v="P001"/>
    <x v="0"/>
    <s v="Produce"/>
    <n v="662"/>
    <n v="443"/>
    <n v="72"/>
    <x v="76"/>
    <n v="2178.2800000000002"/>
  </r>
  <r>
    <d v="2024-04-29T00:00:00"/>
    <s v="D002"/>
    <s v="Fresh Coast Foods"/>
    <x v="1"/>
    <s v="P002"/>
    <x v="1"/>
    <s v="Dairy"/>
    <n v="484"/>
    <n v="405"/>
    <n v="31"/>
    <x v="53"/>
    <n v="2198.4499999999998"/>
  </r>
  <r>
    <d v="2024-04-29T00:00:00"/>
    <s v="D002"/>
    <s v="Fresh Coast Foods"/>
    <x v="1"/>
    <s v="P003"/>
    <x v="2"/>
    <s v="Meat"/>
    <n v="795"/>
    <n v="517"/>
    <n v="86"/>
    <x v="86"/>
    <n v="3559.85"/>
  </r>
  <r>
    <d v="2024-04-29T00:00:00"/>
    <s v="D002"/>
    <s v="Fresh Coast Foods"/>
    <x v="1"/>
    <s v="P004"/>
    <x v="3"/>
    <s v="Produce"/>
    <n v="669"/>
    <n v="549"/>
    <n v="54"/>
    <x v="29"/>
    <n v="3993.46"/>
  </r>
  <r>
    <d v="2024-04-29T00:00:00"/>
    <s v="D002"/>
    <s v="Fresh Coast Foods"/>
    <x v="1"/>
    <s v="P005"/>
    <x v="4"/>
    <s v="Dairy"/>
    <n v="607"/>
    <n v="430"/>
    <n v="33"/>
    <x v="75"/>
    <n v="1767.83"/>
  </r>
  <r>
    <d v="2024-04-29T00:00:00"/>
    <s v="D002"/>
    <s v="Fresh Coast Foods"/>
    <x v="1"/>
    <s v="P006"/>
    <x v="5"/>
    <s v="Meat"/>
    <n v="490"/>
    <n v="363"/>
    <n v="37"/>
    <x v="56"/>
    <n v="1964.57"/>
  </r>
  <r>
    <d v="2024-04-29T00:00:00"/>
    <s v="D003"/>
    <s v="Heartland Meats"/>
    <x v="2"/>
    <s v="P001"/>
    <x v="0"/>
    <s v="Produce"/>
    <n v="551"/>
    <n v="491"/>
    <n v="17"/>
    <x v="80"/>
    <n v="3072.22"/>
  </r>
  <r>
    <d v="2024-04-29T00:00:00"/>
    <s v="D003"/>
    <s v="Heartland Meats"/>
    <x v="2"/>
    <s v="P002"/>
    <x v="1"/>
    <s v="Dairy"/>
    <n v="670"/>
    <n v="438"/>
    <n v="60"/>
    <x v="82"/>
    <n v="2294.73"/>
  </r>
  <r>
    <d v="2024-04-29T00:00:00"/>
    <s v="D003"/>
    <s v="Heartland Meats"/>
    <x v="2"/>
    <s v="P003"/>
    <x v="2"/>
    <s v="Meat"/>
    <n v="638"/>
    <n v="449"/>
    <n v="41"/>
    <x v="53"/>
    <n v="2873.59"/>
  </r>
  <r>
    <d v="2024-04-29T00:00:00"/>
    <s v="D003"/>
    <s v="Heartland Meats"/>
    <x v="2"/>
    <s v="P004"/>
    <x v="3"/>
    <s v="Produce"/>
    <n v="362"/>
    <n v="320"/>
    <n v="13"/>
    <x v="22"/>
    <n v="1492.04"/>
  </r>
  <r>
    <d v="2024-04-29T00:00:00"/>
    <s v="D003"/>
    <s v="Heartland Meats"/>
    <x v="2"/>
    <s v="P005"/>
    <x v="4"/>
    <s v="Dairy"/>
    <n v="284"/>
    <n v="213"/>
    <n v="19"/>
    <x v="16"/>
    <n v="1039.02"/>
  </r>
  <r>
    <d v="2024-04-29T00:00:00"/>
    <s v="D003"/>
    <s v="Heartland Meats"/>
    <x v="2"/>
    <s v="P006"/>
    <x v="5"/>
    <s v="Meat"/>
    <n v="512"/>
    <n v="433"/>
    <n v="30"/>
    <x v="34"/>
    <n v="1319.44"/>
  </r>
  <r>
    <d v="2024-04-29T00:00:00"/>
    <s v="D004"/>
    <s v="Southwest Organics"/>
    <x v="3"/>
    <s v="P001"/>
    <x v="0"/>
    <s v="Produce"/>
    <n v="297"/>
    <n v="193"/>
    <n v="18"/>
    <x v="17"/>
    <n v="744.43"/>
  </r>
  <r>
    <d v="2024-04-29T00:00:00"/>
    <s v="D004"/>
    <s v="Southwest Organics"/>
    <x v="3"/>
    <s v="P002"/>
    <x v="1"/>
    <s v="Dairy"/>
    <n v="655"/>
    <n v="427"/>
    <n v="70"/>
    <x v="30"/>
    <n v="3599.15"/>
  </r>
  <r>
    <d v="2024-04-29T00:00:00"/>
    <s v="D004"/>
    <s v="Southwest Organics"/>
    <x v="3"/>
    <s v="P003"/>
    <x v="2"/>
    <s v="Meat"/>
    <n v="632"/>
    <n v="529"/>
    <n v="26"/>
    <x v="52"/>
    <n v="1606.04"/>
  </r>
  <r>
    <d v="2024-04-29T00:00:00"/>
    <s v="D004"/>
    <s v="Southwest Organics"/>
    <x v="3"/>
    <s v="P004"/>
    <x v="3"/>
    <s v="Produce"/>
    <n v="304"/>
    <n v="206"/>
    <n v="17"/>
    <x v="50"/>
    <n v="988.04"/>
  </r>
  <r>
    <d v="2024-04-29T00:00:00"/>
    <s v="D004"/>
    <s v="Southwest Organics"/>
    <x v="3"/>
    <s v="P005"/>
    <x v="4"/>
    <s v="Dairy"/>
    <n v="336"/>
    <n v="276"/>
    <n v="14"/>
    <x v="25"/>
    <n v="1622.81"/>
  </r>
  <r>
    <d v="2024-04-29T00:00:00"/>
    <s v="D004"/>
    <s v="Southwest Organics"/>
    <x v="3"/>
    <s v="P006"/>
    <x v="5"/>
    <s v="Meat"/>
    <n v="368"/>
    <n v="282"/>
    <n v="29"/>
    <x v="36"/>
    <n v="961.13"/>
  </r>
  <r>
    <d v="2024-04-29T00:00:00"/>
    <s v="D005"/>
    <s v="Great Lakes Dairy"/>
    <x v="0"/>
    <s v="P001"/>
    <x v="0"/>
    <s v="Produce"/>
    <n v="621"/>
    <n v="506"/>
    <n v="26"/>
    <x v="25"/>
    <n v="3987.06"/>
  </r>
  <r>
    <d v="2024-04-29T00:00:00"/>
    <s v="D005"/>
    <s v="Great Lakes Dairy"/>
    <x v="0"/>
    <s v="P002"/>
    <x v="1"/>
    <s v="Dairy"/>
    <n v="343"/>
    <n v="292"/>
    <n v="17"/>
    <x v="60"/>
    <n v="2417.61"/>
  </r>
  <r>
    <d v="2024-04-29T00:00:00"/>
    <s v="D005"/>
    <s v="Great Lakes Dairy"/>
    <x v="0"/>
    <s v="P003"/>
    <x v="2"/>
    <s v="Meat"/>
    <n v="522"/>
    <n v="450"/>
    <n v="28"/>
    <x v="75"/>
    <n v="1795.05"/>
  </r>
  <r>
    <d v="2024-04-29T00:00:00"/>
    <s v="D005"/>
    <s v="Great Lakes Dairy"/>
    <x v="0"/>
    <s v="P004"/>
    <x v="3"/>
    <s v="Produce"/>
    <n v="491"/>
    <n v="422"/>
    <n v="37"/>
    <x v="45"/>
    <n v="2722.08"/>
  </r>
  <r>
    <d v="2024-04-29T00:00:00"/>
    <s v="D005"/>
    <s v="Great Lakes Dairy"/>
    <x v="0"/>
    <s v="P005"/>
    <x v="4"/>
    <s v="Dairy"/>
    <n v="508"/>
    <n v="358"/>
    <n v="32"/>
    <x v="39"/>
    <n v="1736.48"/>
  </r>
  <r>
    <d v="2024-04-29T00:00:00"/>
    <s v="D005"/>
    <s v="Great Lakes Dairy"/>
    <x v="0"/>
    <s v="P006"/>
    <x v="5"/>
    <s v="Meat"/>
    <n v="255"/>
    <n v="219"/>
    <n v="12"/>
    <x v="10"/>
    <n v="1054.55"/>
  </r>
  <r>
    <d v="2024-05-06T00:00:00"/>
    <s v="D001"/>
    <s v="Green Valley Produce"/>
    <x v="0"/>
    <s v="P001"/>
    <x v="0"/>
    <s v="Produce"/>
    <n v="446"/>
    <n v="350"/>
    <n v="30"/>
    <x v="16"/>
    <n v="2928.16"/>
  </r>
  <r>
    <d v="2024-05-06T00:00:00"/>
    <s v="D001"/>
    <s v="Green Valley Produce"/>
    <x v="0"/>
    <s v="P002"/>
    <x v="1"/>
    <s v="Dairy"/>
    <n v="569"/>
    <n v="513"/>
    <n v="33"/>
    <x v="66"/>
    <n v="3031.97"/>
  </r>
  <r>
    <d v="2024-05-06T00:00:00"/>
    <s v="D001"/>
    <s v="Green Valley Produce"/>
    <x v="0"/>
    <s v="P003"/>
    <x v="2"/>
    <s v="Meat"/>
    <n v="574"/>
    <n v="457"/>
    <n v="27"/>
    <x v="10"/>
    <n v="3849.86"/>
  </r>
  <r>
    <d v="2024-05-06T00:00:00"/>
    <s v="D001"/>
    <s v="Green Valley Produce"/>
    <x v="0"/>
    <s v="P004"/>
    <x v="3"/>
    <s v="Produce"/>
    <n v="274"/>
    <n v="179"/>
    <n v="11"/>
    <x v="23"/>
    <n v="490.27"/>
  </r>
  <r>
    <d v="2024-05-06T00:00:00"/>
    <s v="D001"/>
    <s v="Green Valley Produce"/>
    <x v="0"/>
    <s v="P005"/>
    <x v="4"/>
    <s v="Dairy"/>
    <n v="261"/>
    <n v="236"/>
    <n v="9"/>
    <x v="72"/>
    <n v="1599.08"/>
  </r>
  <r>
    <d v="2024-05-06T00:00:00"/>
    <s v="D001"/>
    <s v="Green Valley Produce"/>
    <x v="0"/>
    <s v="P006"/>
    <x v="5"/>
    <s v="Meat"/>
    <n v="625"/>
    <n v="477"/>
    <n v="42"/>
    <x v="16"/>
    <n v="2731.27"/>
  </r>
  <r>
    <d v="2024-05-06T00:00:00"/>
    <s v="D002"/>
    <s v="Fresh Coast Foods"/>
    <x v="1"/>
    <s v="P001"/>
    <x v="0"/>
    <s v="Produce"/>
    <n v="356"/>
    <n v="258"/>
    <n v="22"/>
    <x v="5"/>
    <n v="959.55"/>
  </r>
  <r>
    <d v="2024-05-06T00:00:00"/>
    <s v="D002"/>
    <s v="Fresh Coast Foods"/>
    <x v="1"/>
    <s v="P002"/>
    <x v="1"/>
    <s v="Dairy"/>
    <n v="359"/>
    <n v="285"/>
    <n v="23"/>
    <x v="53"/>
    <n v="2139.54"/>
  </r>
  <r>
    <d v="2024-05-06T00:00:00"/>
    <s v="D002"/>
    <s v="Fresh Coast Foods"/>
    <x v="1"/>
    <s v="P003"/>
    <x v="2"/>
    <s v="Meat"/>
    <n v="267"/>
    <n v="195"/>
    <n v="23"/>
    <x v="35"/>
    <n v="766.71"/>
  </r>
  <r>
    <d v="2024-05-06T00:00:00"/>
    <s v="D002"/>
    <s v="Fresh Coast Foods"/>
    <x v="1"/>
    <s v="P004"/>
    <x v="3"/>
    <s v="Produce"/>
    <n v="450"/>
    <n v="302"/>
    <n v="32"/>
    <x v="2"/>
    <n v="1858.2"/>
  </r>
  <r>
    <d v="2024-05-06T00:00:00"/>
    <s v="D002"/>
    <s v="Fresh Coast Foods"/>
    <x v="1"/>
    <s v="P005"/>
    <x v="4"/>
    <s v="Dairy"/>
    <n v="516"/>
    <n v="428"/>
    <n v="23"/>
    <x v="28"/>
    <n v="1102.52"/>
  </r>
  <r>
    <d v="2024-05-06T00:00:00"/>
    <s v="D002"/>
    <s v="Fresh Coast Foods"/>
    <x v="1"/>
    <s v="P006"/>
    <x v="5"/>
    <s v="Meat"/>
    <n v="340"/>
    <n v="285"/>
    <n v="23"/>
    <x v="57"/>
    <n v="1606.84"/>
  </r>
  <r>
    <d v="2024-05-06T00:00:00"/>
    <s v="D003"/>
    <s v="Heartland Meats"/>
    <x v="2"/>
    <s v="P001"/>
    <x v="0"/>
    <s v="Produce"/>
    <n v="465"/>
    <n v="323"/>
    <n v="31"/>
    <x v="16"/>
    <n v="1328.37"/>
  </r>
  <r>
    <d v="2024-05-06T00:00:00"/>
    <s v="D003"/>
    <s v="Heartland Meats"/>
    <x v="2"/>
    <s v="P002"/>
    <x v="1"/>
    <s v="Dairy"/>
    <n v="320"/>
    <n v="274"/>
    <n v="18"/>
    <x v="50"/>
    <n v="1132.1400000000001"/>
  </r>
  <r>
    <d v="2024-05-06T00:00:00"/>
    <s v="D003"/>
    <s v="Heartland Meats"/>
    <x v="2"/>
    <s v="P003"/>
    <x v="2"/>
    <s v="Meat"/>
    <n v="265"/>
    <n v="191"/>
    <n v="26"/>
    <x v="87"/>
    <n v="1046.0899999999999"/>
  </r>
  <r>
    <d v="2024-05-06T00:00:00"/>
    <s v="D003"/>
    <s v="Heartland Meats"/>
    <x v="2"/>
    <s v="P004"/>
    <x v="3"/>
    <s v="Produce"/>
    <n v="723"/>
    <n v="540"/>
    <n v="51"/>
    <x v="2"/>
    <n v="2541.31"/>
  </r>
  <r>
    <d v="2024-05-06T00:00:00"/>
    <s v="D003"/>
    <s v="Heartland Meats"/>
    <x v="2"/>
    <s v="P005"/>
    <x v="4"/>
    <s v="Dairy"/>
    <n v="461"/>
    <n v="395"/>
    <n v="33"/>
    <x v="7"/>
    <n v="1260.8399999999999"/>
  </r>
  <r>
    <d v="2024-05-06T00:00:00"/>
    <s v="D003"/>
    <s v="Heartland Meats"/>
    <x v="2"/>
    <s v="P006"/>
    <x v="5"/>
    <s v="Meat"/>
    <n v="721"/>
    <n v="469"/>
    <n v="56"/>
    <x v="51"/>
    <n v="1301.8900000000001"/>
  </r>
  <r>
    <d v="2024-05-06T00:00:00"/>
    <s v="D004"/>
    <s v="Southwest Organics"/>
    <x v="3"/>
    <s v="P001"/>
    <x v="0"/>
    <s v="Produce"/>
    <n v="572"/>
    <n v="430"/>
    <n v="41"/>
    <x v="7"/>
    <n v="3287.31"/>
  </r>
  <r>
    <d v="2024-05-06T00:00:00"/>
    <s v="D004"/>
    <s v="Southwest Organics"/>
    <x v="3"/>
    <s v="P002"/>
    <x v="1"/>
    <s v="Dairy"/>
    <n v="766"/>
    <n v="664"/>
    <n v="49"/>
    <x v="53"/>
    <n v="2554.4699999999998"/>
  </r>
  <r>
    <d v="2024-05-06T00:00:00"/>
    <s v="D004"/>
    <s v="Southwest Organics"/>
    <x v="3"/>
    <s v="P003"/>
    <x v="2"/>
    <s v="Meat"/>
    <n v="454"/>
    <n v="346"/>
    <n v="29"/>
    <x v="53"/>
    <n v="1026.69"/>
  </r>
  <r>
    <d v="2024-05-06T00:00:00"/>
    <s v="D004"/>
    <s v="Southwest Organics"/>
    <x v="3"/>
    <s v="P004"/>
    <x v="3"/>
    <s v="Produce"/>
    <n v="581"/>
    <n v="396"/>
    <n v="37"/>
    <x v="53"/>
    <n v="1520.29"/>
  </r>
  <r>
    <d v="2024-05-06T00:00:00"/>
    <s v="D004"/>
    <s v="Southwest Organics"/>
    <x v="3"/>
    <s v="P005"/>
    <x v="4"/>
    <s v="Dairy"/>
    <n v="728"/>
    <n v="666"/>
    <n v="22"/>
    <x v="37"/>
    <n v="3523.52"/>
  </r>
  <r>
    <d v="2024-05-06T00:00:00"/>
    <s v="D004"/>
    <s v="Southwest Organics"/>
    <x v="3"/>
    <s v="P006"/>
    <x v="5"/>
    <s v="Meat"/>
    <n v="489"/>
    <n v="419"/>
    <n v="13"/>
    <x v="73"/>
    <n v="2195.7600000000002"/>
  </r>
  <r>
    <d v="2024-05-06T00:00:00"/>
    <s v="D005"/>
    <s v="Great Lakes Dairy"/>
    <x v="0"/>
    <s v="P001"/>
    <x v="0"/>
    <s v="Produce"/>
    <n v="577"/>
    <n v="406"/>
    <n v="38"/>
    <x v="31"/>
    <n v="2531.94"/>
  </r>
  <r>
    <d v="2024-05-06T00:00:00"/>
    <s v="D005"/>
    <s v="Great Lakes Dairy"/>
    <x v="0"/>
    <s v="P002"/>
    <x v="1"/>
    <s v="Dairy"/>
    <n v="675"/>
    <n v="505"/>
    <n v="76"/>
    <x v="93"/>
    <n v="3613.43"/>
  </r>
  <r>
    <d v="2024-05-06T00:00:00"/>
    <s v="D005"/>
    <s v="Great Lakes Dairy"/>
    <x v="0"/>
    <s v="P003"/>
    <x v="2"/>
    <s v="Meat"/>
    <n v="759"/>
    <n v="649"/>
    <n v="17"/>
    <x v="38"/>
    <n v="3219.18"/>
  </r>
  <r>
    <d v="2024-05-06T00:00:00"/>
    <s v="D005"/>
    <s v="Great Lakes Dairy"/>
    <x v="0"/>
    <s v="P004"/>
    <x v="3"/>
    <s v="Produce"/>
    <n v="438"/>
    <n v="348"/>
    <n v="33"/>
    <x v="45"/>
    <n v="890.03"/>
  </r>
  <r>
    <d v="2024-05-06T00:00:00"/>
    <s v="D005"/>
    <s v="Great Lakes Dairy"/>
    <x v="0"/>
    <s v="P005"/>
    <x v="4"/>
    <s v="Dairy"/>
    <n v="543"/>
    <n v="353"/>
    <n v="58"/>
    <x v="30"/>
    <n v="2422.7399999999998"/>
  </r>
  <r>
    <d v="2024-05-06T00:00:00"/>
    <s v="D005"/>
    <s v="Great Lakes Dairy"/>
    <x v="0"/>
    <s v="P006"/>
    <x v="5"/>
    <s v="Meat"/>
    <n v="306"/>
    <n v="215"/>
    <n v="29"/>
    <x v="92"/>
    <n v="1777.43"/>
  </r>
  <r>
    <d v="2024-05-13T00:00:00"/>
    <s v="D001"/>
    <s v="Green Valley Produce"/>
    <x v="0"/>
    <s v="P001"/>
    <x v="0"/>
    <s v="Produce"/>
    <n v="345"/>
    <n v="290"/>
    <n v="22"/>
    <x v="53"/>
    <n v="2286.2800000000002"/>
  </r>
  <r>
    <d v="2024-05-13T00:00:00"/>
    <s v="D001"/>
    <s v="Green Valley Produce"/>
    <x v="0"/>
    <s v="P002"/>
    <x v="1"/>
    <s v="Dairy"/>
    <n v="732"/>
    <n v="557"/>
    <n v="59"/>
    <x v="29"/>
    <n v="3891.98"/>
  </r>
  <r>
    <d v="2024-05-13T00:00:00"/>
    <s v="D001"/>
    <s v="Green Valley Produce"/>
    <x v="0"/>
    <s v="P003"/>
    <x v="2"/>
    <s v="Meat"/>
    <n v="794"/>
    <n v="536"/>
    <n v="57"/>
    <x v="7"/>
    <n v="1580.65"/>
  </r>
  <r>
    <d v="2024-05-13T00:00:00"/>
    <s v="D001"/>
    <s v="Green Valley Produce"/>
    <x v="0"/>
    <s v="P004"/>
    <x v="3"/>
    <s v="Produce"/>
    <n v="781"/>
    <n v="520"/>
    <n v="54"/>
    <x v="9"/>
    <n v="2210.0300000000002"/>
  </r>
  <r>
    <d v="2024-05-13T00:00:00"/>
    <s v="D001"/>
    <s v="Green Valley Produce"/>
    <x v="0"/>
    <s v="P005"/>
    <x v="4"/>
    <s v="Dairy"/>
    <n v="522"/>
    <n v="469"/>
    <n v="32"/>
    <x v="17"/>
    <n v="2090.5700000000002"/>
  </r>
  <r>
    <d v="2024-05-13T00:00:00"/>
    <s v="D001"/>
    <s v="Green Valley Produce"/>
    <x v="0"/>
    <s v="P006"/>
    <x v="5"/>
    <s v="Meat"/>
    <n v="663"/>
    <n v="479"/>
    <n v="23"/>
    <x v="64"/>
    <n v="3439.04"/>
  </r>
  <r>
    <d v="2024-05-13T00:00:00"/>
    <s v="D002"/>
    <s v="Fresh Coast Foods"/>
    <x v="1"/>
    <s v="P001"/>
    <x v="0"/>
    <s v="Produce"/>
    <n v="798"/>
    <n v="542"/>
    <n v="41"/>
    <x v="0"/>
    <n v="2376.2399999999998"/>
  </r>
  <r>
    <d v="2024-05-13T00:00:00"/>
    <s v="D002"/>
    <s v="Fresh Coast Foods"/>
    <x v="1"/>
    <s v="P002"/>
    <x v="1"/>
    <s v="Dairy"/>
    <n v="323"/>
    <n v="256"/>
    <n v="20"/>
    <x v="5"/>
    <n v="1113.56"/>
  </r>
  <r>
    <d v="2024-05-13T00:00:00"/>
    <s v="D002"/>
    <s v="Fresh Coast Foods"/>
    <x v="1"/>
    <s v="P003"/>
    <x v="2"/>
    <s v="Meat"/>
    <n v="471"/>
    <n v="414"/>
    <n v="26"/>
    <x v="32"/>
    <n v="1790.67"/>
  </r>
  <r>
    <d v="2024-05-13T00:00:00"/>
    <s v="D002"/>
    <s v="Fresh Coast Foods"/>
    <x v="1"/>
    <s v="P004"/>
    <x v="3"/>
    <s v="Produce"/>
    <n v="241"/>
    <n v="170"/>
    <n v="17"/>
    <x v="2"/>
    <n v="1150.3800000000001"/>
  </r>
  <r>
    <d v="2024-05-13T00:00:00"/>
    <s v="D002"/>
    <s v="Fresh Coast Foods"/>
    <x v="1"/>
    <s v="P005"/>
    <x v="4"/>
    <s v="Dairy"/>
    <n v="564"/>
    <n v="426"/>
    <n v="20"/>
    <x v="64"/>
    <n v="3161.15"/>
  </r>
  <r>
    <d v="2024-05-13T00:00:00"/>
    <s v="D002"/>
    <s v="Fresh Coast Foods"/>
    <x v="1"/>
    <s v="P006"/>
    <x v="5"/>
    <s v="Meat"/>
    <n v="378"/>
    <n v="248"/>
    <n v="26"/>
    <x v="9"/>
    <n v="1733.14"/>
  </r>
  <r>
    <d v="2024-05-13T00:00:00"/>
    <s v="D003"/>
    <s v="Heartland Meats"/>
    <x v="2"/>
    <s v="P001"/>
    <x v="0"/>
    <s v="Produce"/>
    <n v="455"/>
    <n v="307"/>
    <n v="31"/>
    <x v="57"/>
    <n v="991.22"/>
  </r>
  <r>
    <d v="2024-05-13T00:00:00"/>
    <s v="D003"/>
    <s v="Heartland Meats"/>
    <x v="2"/>
    <s v="P002"/>
    <x v="1"/>
    <s v="Dairy"/>
    <n v="263"/>
    <n v="229"/>
    <n v="11"/>
    <x v="25"/>
    <n v="1704.23"/>
  </r>
  <r>
    <d v="2024-05-13T00:00:00"/>
    <s v="D003"/>
    <s v="Heartland Meats"/>
    <x v="2"/>
    <s v="P003"/>
    <x v="2"/>
    <s v="Meat"/>
    <n v="581"/>
    <n v="485"/>
    <n v="28"/>
    <x v="49"/>
    <n v="2918.11"/>
  </r>
  <r>
    <d v="2024-05-13T00:00:00"/>
    <s v="D003"/>
    <s v="Heartland Meats"/>
    <x v="2"/>
    <s v="P004"/>
    <x v="3"/>
    <s v="Produce"/>
    <n v="276"/>
    <n v="181"/>
    <n v="20"/>
    <x v="7"/>
    <n v="934.07"/>
  </r>
  <r>
    <d v="2024-05-13T00:00:00"/>
    <s v="D003"/>
    <s v="Heartland Meats"/>
    <x v="2"/>
    <s v="P005"/>
    <x v="4"/>
    <s v="Dairy"/>
    <n v="331"/>
    <n v="223"/>
    <n v="37"/>
    <x v="94"/>
    <n v="721.44"/>
  </r>
  <r>
    <d v="2024-05-13T00:00:00"/>
    <s v="D003"/>
    <s v="Heartland Meats"/>
    <x v="2"/>
    <s v="P006"/>
    <x v="5"/>
    <s v="Meat"/>
    <n v="672"/>
    <n v="445"/>
    <n v="68"/>
    <x v="42"/>
    <n v="3046.73"/>
  </r>
  <r>
    <d v="2024-05-13T00:00:00"/>
    <s v="D004"/>
    <s v="Southwest Organics"/>
    <x v="3"/>
    <s v="P001"/>
    <x v="0"/>
    <s v="Produce"/>
    <n v="708"/>
    <n v="465"/>
    <n v="52"/>
    <x v="69"/>
    <n v="1761.56"/>
  </r>
  <r>
    <d v="2024-05-13T00:00:00"/>
    <s v="D004"/>
    <s v="Southwest Organics"/>
    <x v="3"/>
    <s v="P002"/>
    <x v="1"/>
    <s v="Dairy"/>
    <n v="391"/>
    <n v="283"/>
    <n v="19"/>
    <x v="1"/>
    <n v="1750.25"/>
  </r>
  <r>
    <d v="2024-05-13T00:00:00"/>
    <s v="D004"/>
    <s v="Southwest Organics"/>
    <x v="3"/>
    <s v="P003"/>
    <x v="2"/>
    <s v="Meat"/>
    <n v="451"/>
    <n v="371"/>
    <n v="34"/>
    <x v="45"/>
    <n v="1993.82"/>
  </r>
  <r>
    <d v="2024-05-13T00:00:00"/>
    <s v="D004"/>
    <s v="Southwest Organics"/>
    <x v="3"/>
    <s v="P004"/>
    <x v="3"/>
    <s v="Produce"/>
    <n v="289"/>
    <n v="209"/>
    <n v="10"/>
    <x v="64"/>
    <n v="1631.85"/>
  </r>
  <r>
    <d v="2024-05-13T00:00:00"/>
    <s v="D004"/>
    <s v="Southwest Organics"/>
    <x v="3"/>
    <s v="P005"/>
    <x v="4"/>
    <s v="Dairy"/>
    <n v="738"/>
    <n v="529"/>
    <n v="73"/>
    <x v="89"/>
    <n v="1384.49"/>
  </r>
  <r>
    <d v="2024-05-13T00:00:00"/>
    <s v="D004"/>
    <s v="Southwest Organics"/>
    <x v="3"/>
    <s v="P006"/>
    <x v="5"/>
    <s v="Meat"/>
    <n v="591"/>
    <n v="508"/>
    <n v="30"/>
    <x v="0"/>
    <n v="2747.3"/>
  </r>
  <r>
    <d v="2024-05-13T00:00:00"/>
    <s v="D005"/>
    <s v="Great Lakes Dairy"/>
    <x v="0"/>
    <s v="P001"/>
    <x v="0"/>
    <s v="Produce"/>
    <n v="779"/>
    <n v="612"/>
    <n v="33"/>
    <x v="25"/>
    <n v="2700.92"/>
  </r>
  <r>
    <d v="2024-05-13T00:00:00"/>
    <s v="D005"/>
    <s v="Great Lakes Dairy"/>
    <x v="0"/>
    <s v="P002"/>
    <x v="1"/>
    <s v="Dairy"/>
    <n v="424"/>
    <n v="278"/>
    <n v="37"/>
    <x v="47"/>
    <n v="2043.83"/>
  </r>
  <r>
    <d v="2024-05-13T00:00:00"/>
    <s v="D005"/>
    <s v="Great Lakes Dairy"/>
    <x v="0"/>
    <s v="P003"/>
    <x v="2"/>
    <s v="Meat"/>
    <n v="683"/>
    <n v="541"/>
    <n v="66"/>
    <x v="20"/>
    <n v="4514.04"/>
  </r>
  <r>
    <d v="2024-05-13T00:00:00"/>
    <s v="D005"/>
    <s v="Great Lakes Dairy"/>
    <x v="0"/>
    <s v="P004"/>
    <x v="3"/>
    <s v="Produce"/>
    <n v="302"/>
    <n v="216"/>
    <n v="18"/>
    <x v="6"/>
    <n v="1565.44"/>
  </r>
  <r>
    <d v="2024-05-13T00:00:00"/>
    <s v="D005"/>
    <s v="Great Lakes Dairy"/>
    <x v="0"/>
    <s v="P005"/>
    <x v="4"/>
    <s v="Dairy"/>
    <n v="257"/>
    <n v="220"/>
    <n v="17"/>
    <x v="31"/>
    <n v="1847.12"/>
  </r>
  <r>
    <d v="2024-05-13T00:00:00"/>
    <s v="D005"/>
    <s v="Great Lakes Dairy"/>
    <x v="0"/>
    <s v="P006"/>
    <x v="5"/>
    <s v="Meat"/>
    <n v="597"/>
    <n v="445"/>
    <n v="60"/>
    <x v="42"/>
    <n v="1582.69"/>
  </r>
  <r>
    <d v="2024-05-20T00:00:00"/>
    <s v="D001"/>
    <s v="Green Valley Produce"/>
    <x v="0"/>
    <s v="P001"/>
    <x v="0"/>
    <s v="Produce"/>
    <n v="525"/>
    <n v="455"/>
    <n v="40"/>
    <x v="56"/>
    <n v="1214.5"/>
  </r>
  <r>
    <d v="2024-05-20T00:00:00"/>
    <s v="D001"/>
    <s v="Green Valley Produce"/>
    <x v="0"/>
    <s v="P002"/>
    <x v="1"/>
    <s v="Dairy"/>
    <n v="560"/>
    <n v="507"/>
    <n v="28"/>
    <x v="60"/>
    <n v="1840.11"/>
  </r>
  <r>
    <d v="2024-05-20T00:00:00"/>
    <s v="D001"/>
    <s v="Green Valley Produce"/>
    <x v="0"/>
    <s v="P003"/>
    <x v="2"/>
    <s v="Meat"/>
    <n v="704"/>
    <n v="560"/>
    <n v="18"/>
    <x v="14"/>
    <n v="1588.72"/>
  </r>
  <r>
    <d v="2024-05-20T00:00:00"/>
    <s v="D001"/>
    <s v="Green Valley Produce"/>
    <x v="0"/>
    <s v="P004"/>
    <x v="3"/>
    <s v="Produce"/>
    <n v="424"/>
    <n v="277"/>
    <n v="29"/>
    <x v="57"/>
    <n v="1713.19"/>
  </r>
  <r>
    <d v="2024-05-20T00:00:00"/>
    <s v="D001"/>
    <s v="Green Valley Produce"/>
    <x v="0"/>
    <s v="P005"/>
    <x v="4"/>
    <s v="Dairy"/>
    <n v="333"/>
    <n v="247"/>
    <n v="22"/>
    <x v="31"/>
    <n v="1904.2"/>
  </r>
  <r>
    <d v="2024-05-20T00:00:00"/>
    <s v="D001"/>
    <s v="Green Valley Produce"/>
    <x v="0"/>
    <s v="P006"/>
    <x v="5"/>
    <s v="Meat"/>
    <n v="260"/>
    <n v="170"/>
    <n v="27"/>
    <x v="84"/>
    <n v="1214.8499999999999"/>
  </r>
  <r>
    <d v="2024-05-20T00:00:00"/>
    <s v="D002"/>
    <s v="Fresh Coast Foods"/>
    <x v="1"/>
    <s v="P001"/>
    <x v="0"/>
    <s v="Produce"/>
    <n v="738"/>
    <n v="651"/>
    <n v="39"/>
    <x v="15"/>
    <n v="5306.65"/>
  </r>
  <r>
    <d v="2024-05-20T00:00:00"/>
    <s v="D002"/>
    <s v="Fresh Coast Foods"/>
    <x v="1"/>
    <s v="P002"/>
    <x v="1"/>
    <s v="Dairy"/>
    <n v="605"/>
    <n v="488"/>
    <n v="27"/>
    <x v="28"/>
    <n v="4077.32"/>
  </r>
  <r>
    <d v="2024-05-20T00:00:00"/>
    <s v="D002"/>
    <s v="Fresh Coast Foods"/>
    <x v="1"/>
    <s v="P003"/>
    <x v="2"/>
    <s v="Meat"/>
    <n v="647"/>
    <n v="558"/>
    <n v="46"/>
    <x v="2"/>
    <n v="1978.23"/>
  </r>
  <r>
    <d v="2024-05-20T00:00:00"/>
    <s v="D002"/>
    <s v="Fresh Coast Foods"/>
    <x v="1"/>
    <s v="P004"/>
    <x v="3"/>
    <s v="Produce"/>
    <n v="775"/>
    <n v="648"/>
    <n v="64"/>
    <x v="71"/>
    <n v="2487.9499999999998"/>
  </r>
  <r>
    <d v="2024-05-20T00:00:00"/>
    <s v="D002"/>
    <s v="Fresh Coast Foods"/>
    <x v="1"/>
    <s v="P005"/>
    <x v="4"/>
    <s v="Dairy"/>
    <n v="379"/>
    <n v="285"/>
    <n v="25"/>
    <x v="31"/>
    <n v="1016.38"/>
  </r>
  <r>
    <d v="2024-05-20T00:00:00"/>
    <s v="D002"/>
    <s v="Fresh Coast Foods"/>
    <x v="1"/>
    <s v="P006"/>
    <x v="5"/>
    <s v="Meat"/>
    <n v="201"/>
    <n v="182"/>
    <n v="9"/>
    <x v="28"/>
    <n v="1540.76"/>
  </r>
  <r>
    <d v="2024-05-20T00:00:00"/>
    <s v="D003"/>
    <s v="Heartland Meats"/>
    <x v="2"/>
    <s v="P001"/>
    <x v="0"/>
    <s v="Produce"/>
    <n v="781"/>
    <n v="514"/>
    <n v="83"/>
    <x v="95"/>
    <n v="4268.87"/>
  </r>
  <r>
    <d v="2024-05-20T00:00:00"/>
    <s v="D003"/>
    <s v="Heartland Meats"/>
    <x v="2"/>
    <s v="P002"/>
    <x v="1"/>
    <s v="Dairy"/>
    <n v="426"/>
    <n v="350"/>
    <n v="19"/>
    <x v="28"/>
    <n v="1570.45"/>
  </r>
  <r>
    <d v="2024-05-20T00:00:00"/>
    <s v="D003"/>
    <s v="Heartland Meats"/>
    <x v="2"/>
    <s v="P003"/>
    <x v="2"/>
    <s v="Meat"/>
    <n v="279"/>
    <n v="199"/>
    <n v="22"/>
    <x v="36"/>
    <n v="1554.57"/>
  </r>
  <r>
    <d v="2024-05-20T00:00:00"/>
    <s v="D003"/>
    <s v="Heartland Meats"/>
    <x v="2"/>
    <s v="P004"/>
    <x v="3"/>
    <s v="Produce"/>
    <n v="290"/>
    <n v="252"/>
    <n v="19"/>
    <x v="31"/>
    <n v="1137.6500000000001"/>
  </r>
  <r>
    <d v="2024-05-20T00:00:00"/>
    <s v="D003"/>
    <s v="Heartland Meats"/>
    <x v="2"/>
    <s v="P005"/>
    <x v="4"/>
    <s v="Dairy"/>
    <n v="211"/>
    <n v="152"/>
    <n v="7"/>
    <x v="4"/>
    <n v="614.07000000000005"/>
  </r>
  <r>
    <d v="2024-05-20T00:00:00"/>
    <s v="D003"/>
    <s v="Heartland Meats"/>
    <x v="2"/>
    <s v="P006"/>
    <x v="5"/>
    <s v="Meat"/>
    <n v="310"/>
    <n v="261"/>
    <n v="12"/>
    <x v="12"/>
    <n v="1309.68"/>
  </r>
  <r>
    <d v="2024-05-20T00:00:00"/>
    <s v="D004"/>
    <s v="Southwest Organics"/>
    <x v="3"/>
    <s v="P001"/>
    <x v="0"/>
    <s v="Produce"/>
    <n v="370"/>
    <n v="328"/>
    <n v="16"/>
    <x v="79"/>
    <n v="1894.58"/>
  </r>
  <r>
    <d v="2024-05-20T00:00:00"/>
    <s v="D004"/>
    <s v="Southwest Organics"/>
    <x v="3"/>
    <s v="P002"/>
    <x v="1"/>
    <s v="Dairy"/>
    <n v="303"/>
    <n v="264"/>
    <n v="18"/>
    <x v="34"/>
    <n v="1861.06"/>
  </r>
  <r>
    <d v="2024-05-20T00:00:00"/>
    <s v="D004"/>
    <s v="Southwest Organics"/>
    <x v="3"/>
    <s v="P003"/>
    <x v="2"/>
    <s v="Meat"/>
    <n v="430"/>
    <n v="298"/>
    <n v="29"/>
    <x v="16"/>
    <n v="1272.3"/>
  </r>
  <r>
    <d v="2024-05-20T00:00:00"/>
    <s v="D004"/>
    <s v="Southwest Organics"/>
    <x v="3"/>
    <s v="P004"/>
    <x v="3"/>
    <s v="Produce"/>
    <n v="526"/>
    <n v="378"/>
    <n v="22"/>
    <x v="25"/>
    <n v="2958.83"/>
  </r>
  <r>
    <d v="2024-05-20T00:00:00"/>
    <s v="D004"/>
    <s v="Southwest Organics"/>
    <x v="3"/>
    <s v="P005"/>
    <x v="4"/>
    <s v="Dairy"/>
    <n v="364"/>
    <n v="308"/>
    <n v="27"/>
    <x v="48"/>
    <n v="942.06"/>
  </r>
  <r>
    <d v="2024-05-20T00:00:00"/>
    <s v="D004"/>
    <s v="Southwest Organics"/>
    <x v="3"/>
    <s v="P006"/>
    <x v="5"/>
    <s v="Meat"/>
    <n v="694"/>
    <n v="583"/>
    <n v="42"/>
    <x v="17"/>
    <n v="3581.9"/>
  </r>
  <r>
    <d v="2024-05-20T00:00:00"/>
    <s v="D005"/>
    <s v="Great Lakes Dairy"/>
    <x v="0"/>
    <s v="P001"/>
    <x v="0"/>
    <s v="Produce"/>
    <n v="644"/>
    <n v="445"/>
    <n v="24"/>
    <x v="58"/>
    <n v="1619.76"/>
  </r>
  <r>
    <d v="2024-05-20T00:00:00"/>
    <s v="D005"/>
    <s v="Great Lakes Dairy"/>
    <x v="0"/>
    <s v="P002"/>
    <x v="1"/>
    <s v="Dairy"/>
    <n v="767"/>
    <n v="648"/>
    <n v="38"/>
    <x v="60"/>
    <n v="2714.56"/>
  </r>
  <r>
    <d v="2024-05-20T00:00:00"/>
    <s v="D005"/>
    <s v="Great Lakes Dairy"/>
    <x v="0"/>
    <s v="P003"/>
    <x v="2"/>
    <s v="Meat"/>
    <n v="443"/>
    <n v="299"/>
    <n v="32"/>
    <x v="7"/>
    <n v="1628.26"/>
  </r>
  <r>
    <d v="2024-05-20T00:00:00"/>
    <s v="D005"/>
    <s v="Great Lakes Dairy"/>
    <x v="0"/>
    <s v="P004"/>
    <x v="3"/>
    <s v="Produce"/>
    <n v="255"/>
    <n v="190"/>
    <n v="13"/>
    <x v="0"/>
    <n v="1229.7"/>
  </r>
  <r>
    <d v="2024-05-20T00:00:00"/>
    <s v="D005"/>
    <s v="Great Lakes Dairy"/>
    <x v="0"/>
    <s v="P005"/>
    <x v="4"/>
    <s v="Dairy"/>
    <n v="691"/>
    <n v="486"/>
    <n v="21"/>
    <x v="37"/>
    <n v="2065.92"/>
  </r>
  <r>
    <d v="2024-05-20T00:00:00"/>
    <s v="D005"/>
    <s v="Great Lakes Dairy"/>
    <x v="0"/>
    <s v="P006"/>
    <x v="5"/>
    <s v="Meat"/>
    <n v="283"/>
    <n v="220"/>
    <n v="17"/>
    <x v="6"/>
    <n v="1171.6500000000001"/>
  </r>
  <r>
    <d v="2024-05-27T00:00:00"/>
    <s v="D001"/>
    <s v="Green Valley Produce"/>
    <x v="0"/>
    <s v="P001"/>
    <x v="0"/>
    <s v="Produce"/>
    <n v="471"/>
    <n v="317"/>
    <n v="30"/>
    <x v="53"/>
    <n v="2476.71"/>
  </r>
  <r>
    <d v="2024-05-27T00:00:00"/>
    <s v="D001"/>
    <s v="Green Valley Produce"/>
    <x v="0"/>
    <s v="P002"/>
    <x v="1"/>
    <s v="Dairy"/>
    <n v="578"/>
    <n v="404"/>
    <n v="26"/>
    <x v="28"/>
    <n v="1648.48"/>
  </r>
  <r>
    <d v="2024-05-27T00:00:00"/>
    <s v="D001"/>
    <s v="Green Valley Produce"/>
    <x v="0"/>
    <s v="P003"/>
    <x v="2"/>
    <s v="Meat"/>
    <n v="475"/>
    <n v="381"/>
    <n v="27"/>
    <x v="67"/>
    <n v="1173.56"/>
  </r>
  <r>
    <d v="2024-05-27T00:00:00"/>
    <s v="D001"/>
    <s v="Green Valley Produce"/>
    <x v="0"/>
    <s v="P004"/>
    <x v="3"/>
    <s v="Produce"/>
    <n v="552"/>
    <n v="479"/>
    <n v="34"/>
    <x v="5"/>
    <n v="1851.37"/>
  </r>
  <r>
    <d v="2024-05-27T00:00:00"/>
    <s v="D001"/>
    <s v="Green Valley Produce"/>
    <x v="0"/>
    <s v="P005"/>
    <x v="4"/>
    <s v="Dairy"/>
    <n v="262"/>
    <n v="229"/>
    <n v="14"/>
    <x v="15"/>
    <n v="1308.3"/>
  </r>
  <r>
    <d v="2024-05-27T00:00:00"/>
    <s v="D001"/>
    <s v="Green Valley Produce"/>
    <x v="0"/>
    <s v="P006"/>
    <x v="5"/>
    <s v="Meat"/>
    <n v="686"/>
    <n v="551"/>
    <n v="28"/>
    <x v="52"/>
    <n v="2682.72"/>
  </r>
  <r>
    <d v="2024-05-27T00:00:00"/>
    <s v="D002"/>
    <s v="Fresh Coast Foods"/>
    <x v="1"/>
    <s v="P001"/>
    <x v="0"/>
    <s v="Produce"/>
    <n v="235"/>
    <n v="184"/>
    <n v="22"/>
    <x v="65"/>
    <n v="1208"/>
  </r>
  <r>
    <d v="2024-05-27T00:00:00"/>
    <s v="D002"/>
    <s v="Fresh Coast Foods"/>
    <x v="1"/>
    <s v="P002"/>
    <x v="1"/>
    <s v="Dairy"/>
    <n v="350"/>
    <n v="238"/>
    <n v="26"/>
    <x v="48"/>
    <n v="2000.68"/>
  </r>
  <r>
    <d v="2024-05-27T00:00:00"/>
    <s v="D002"/>
    <s v="Fresh Coast Foods"/>
    <x v="1"/>
    <s v="P003"/>
    <x v="2"/>
    <s v="Meat"/>
    <n v="416"/>
    <n v="361"/>
    <n v="16"/>
    <x v="11"/>
    <n v="3043.11"/>
  </r>
  <r>
    <d v="2024-05-27T00:00:00"/>
    <s v="D002"/>
    <s v="Fresh Coast Foods"/>
    <x v="1"/>
    <s v="P004"/>
    <x v="3"/>
    <s v="Produce"/>
    <n v="645"/>
    <n v="454"/>
    <n v="47"/>
    <x v="69"/>
    <n v="2755.91"/>
  </r>
  <r>
    <d v="2024-05-27T00:00:00"/>
    <s v="D002"/>
    <s v="Fresh Coast Foods"/>
    <x v="1"/>
    <s v="P005"/>
    <x v="4"/>
    <s v="Dairy"/>
    <n v="527"/>
    <n v="472"/>
    <n v="18"/>
    <x v="72"/>
    <n v="2279.1"/>
  </r>
  <r>
    <d v="2024-05-27T00:00:00"/>
    <s v="D002"/>
    <s v="Fresh Coast Foods"/>
    <x v="1"/>
    <s v="P006"/>
    <x v="5"/>
    <s v="Meat"/>
    <n v="606"/>
    <n v="484"/>
    <n v="45"/>
    <x v="48"/>
    <n v="3873.44"/>
  </r>
  <r>
    <d v="2024-05-27T00:00:00"/>
    <s v="D003"/>
    <s v="Heartland Meats"/>
    <x v="2"/>
    <s v="P001"/>
    <x v="0"/>
    <s v="Produce"/>
    <n v="212"/>
    <n v="182"/>
    <n v="12"/>
    <x v="67"/>
    <n v="913.2"/>
  </r>
  <r>
    <d v="2024-05-27T00:00:00"/>
    <s v="D003"/>
    <s v="Heartland Meats"/>
    <x v="2"/>
    <s v="P002"/>
    <x v="1"/>
    <s v="Dairy"/>
    <n v="624"/>
    <n v="430"/>
    <n v="51"/>
    <x v="68"/>
    <n v="3564.27"/>
  </r>
  <r>
    <d v="2024-05-27T00:00:00"/>
    <s v="D003"/>
    <s v="Heartland Meats"/>
    <x v="2"/>
    <s v="P003"/>
    <x v="2"/>
    <s v="Meat"/>
    <n v="302"/>
    <n v="271"/>
    <n v="8"/>
    <x v="14"/>
    <n v="1142.69"/>
  </r>
  <r>
    <d v="2024-05-27T00:00:00"/>
    <s v="D003"/>
    <s v="Heartland Meats"/>
    <x v="2"/>
    <s v="P004"/>
    <x v="3"/>
    <s v="Produce"/>
    <n v="748"/>
    <n v="663"/>
    <n v="34"/>
    <x v="28"/>
    <n v="4262.25"/>
  </r>
  <r>
    <d v="2024-05-27T00:00:00"/>
    <s v="D003"/>
    <s v="Heartland Meats"/>
    <x v="2"/>
    <s v="P005"/>
    <x v="4"/>
    <s v="Dairy"/>
    <n v="785"/>
    <n v="639"/>
    <n v="25"/>
    <x v="43"/>
    <n v="2149.0300000000002"/>
  </r>
  <r>
    <d v="2024-05-27T00:00:00"/>
    <s v="D003"/>
    <s v="Heartland Meats"/>
    <x v="2"/>
    <s v="P006"/>
    <x v="5"/>
    <s v="Meat"/>
    <n v="611"/>
    <n v="403"/>
    <n v="57"/>
    <x v="59"/>
    <n v="1581.97"/>
  </r>
  <r>
    <d v="2024-05-27T00:00:00"/>
    <s v="D004"/>
    <s v="Southwest Organics"/>
    <x v="3"/>
    <s v="P001"/>
    <x v="0"/>
    <s v="Produce"/>
    <n v="686"/>
    <n v="616"/>
    <n v="21"/>
    <x v="80"/>
    <n v="4561.0600000000004"/>
  </r>
  <r>
    <d v="2024-05-27T00:00:00"/>
    <s v="D004"/>
    <s v="Southwest Organics"/>
    <x v="3"/>
    <s v="P002"/>
    <x v="1"/>
    <s v="Dairy"/>
    <n v="510"/>
    <n v="374"/>
    <n v="53"/>
    <x v="84"/>
    <n v="2471.81"/>
  </r>
  <r>
    <d v="2024-05-27T00:00:00"/>
    <s v="D004"/>
    <s v="Southwest Organics"/>
    <x v="3"/>
    <s v="P003"/>
    <x v="2"/>
    <s v="Meat"/>
    <n v="433"/>
    <n v="297"/>
    <n v="43"/>
    <x v="89"/>
    <n v="2214.12"/>
  </r>
  <r>
    <d v="2024-05-27T00:00:00"/>
    <s v="D004"/>
    <s v="Southwest Organics"/>
    <x v="3"/>
    <s v="P004"/>
    <x v="3"/>
    <s v="Produce"/>
    <n v="475"/>
    <n v="402"/>
    <n v="17"/>
    <x v="22"/>
    <n v="2070.42"/>
  </r>
  <r>
    <d v="2024-05-27T00:00:00"/>
    <s v="D004"/>
    <s v="Southwest Organics"/>
    <x v="3"/>
    <s v="P005"/>
    <x v="4"/>
    <s v="Dairy"/>
    <n v="616"/>
    <n v="523"/>
    <n v="49"/>
    <x v="55"/>
    <n v="3883.85"/>
  </r>
  <r>
    <d v="2024-05-27T00:00:00"/>
    <s v="D004"/>
    <s v="Southwest Organics"/>
    <x v="3"/>
    <s v="P006"/>
    <x v="5"/>
    <s v="Meat"/>
    <n v="727"/>
    <n v="627"/>
    <n v="38"/>
    <x v="81"/>
    <n v="3085.03"/>
  </r>
  <r>
    <d v="2024-05-27T00:00:00"/>
    <s v="D005"/>
    <s v="Great Lakes Dairy"/>
    <x v="0"/>
    <s v="P001"/>
    <x v="0"/>
    <s v="Produce"/>
    <n v="736"/>
    <n v="653"/>
    <n v="18"/>
    <x v="96"/>
    <n v="4895.92"/>
  </r>
  <r>
    <d v="2024-05-27T00:00:00"/>
    <s v="D005"/>
    <s v="Great Lakes Dairy"/>
    <x v="0"/>
    <s v="P002"/>
    <x v="1"/>
    <s v="Dairy"/>
    <n v="259"/>
    <n v="185"/>
    <n v="23"/>
    <x v="41"/>
    <n v="1244.6400000000001"/>
  </r>
  <r>
    <d v="2024-05-27T00:00:00"/>
    <s v="D005"/>
    <s v="Great Lakes Dairy"/>
    <x v="0"/>
    <s v="P003"/>
    <x v="2"/>
    <s v="Meat"/>
    <n v="480"/>
    <n v="359"/>
    <n v="29"/>
    <x v="6"/>
    <n v="2885.8"/>
  </r>
  <r>
    <d v="2024-05-27T00:00:00"/>
    <s v="D005"/>
    <s v="Great Lakes Dairy"/>
    <x v="0"/>
    <s v="P004"/>
    <x v="3"/>
    <s v="Produce"/>
    <n v="231"/>
    <n v="165"/>
    <n v="15"/>
    <x v="24"/>
    <n v="1363.42"/>
  </r>
  <r>
    <d v="2024-05-27T00:00:00"/>
    <s v="D005"/>
    <s v="Great Lakes Dairy"/>
    <x v="0"/>
    <s v="P005"/>
    <x v="4"/>
    <s v="Dairy"/>
    <n v="685"/>
    <n v="553"/>
    <n v="26"/>
    <x v="11"/>
    <n v="4350.42"/>
  </r>
  <r>
    <d v="2024-05-27T00:00:00"/>
    <s v="D005"/>
    <s v="Great Lakes Dairy"/>
    <x v="0"/>
    <s v="P006"/>
    <x v="5"/>
    <s v="Meat"/>
    <n v="292"/>
    <n v="212"/>
    <n v="14"/>
    <x v="49"/>
    <n v="1257.9100000000001"/>
  </r>
  <r>
    <d v="2024-06-03T00:00:00"/>
    <s v="D001"/>
    <s v="Green Valley Produce"/>
    <x v="0"/>
    <s v="P001"/>
    <x v="0"/>
    <s v="Produce"/>
    <n v="419"/>
    <n v="369"/>
    <n v="26"/>
    <x v="5"/>
    <n v="1518.25"/>
  </r>
  <r>
    <d v="2024-06-03T00:00:00"/>
    <s v="D001"/>
    <s v="Green Valley Produce"/>
    <x v="0"/>
    <s v="P002"/>
    <x v="1"/>
    <s v="Dairy"/>
    <n v="619"/>
    <n v="488"/>
    <n v="61"/>
    <x v="89"/>
    <n v="3217.48"/>
  </r>
  <r>
    <d v="2024-06-03T00:00:00"/>
    <s v="D001"/>
    <s v="Green Valley Produce"/>
    <x v="0"/>
    <s v="P003"/>
    <x v="2"/>
    <s v="Meat"/>
    <n v="685"/>
    <n v="613"/>
    <n v="38"/>
    <x v="32"/>
    <n v="1563.63"/>
  </r>
  <r>
    <d v="2024-06-03T00:00:00"/>
    <s v="D001"/>
    <s v="Green Valley Produce"/>
    <x v="0"/>
    <s v="P004"/>
    <x v="3"/>
    <s v="Produce"/>
    <n v="458"/>
    <n v="372"/>
    <n v="38"/>
    <x v="71"/>
    <n v="2513.31"/>
  </r>
  <r>
    <d v="2024-06-03T00:00:00"/>
    <s v="D001"/>
    <s v="Green Valley Produce"/>
    <x v="0"/>
    <s v="P005"/>
    <x v="4"/>
    <s v="Dairy"/>
    <n v="481"/>
    <n v="367"/>
    <n v="25"/>
    <x v="81"/>
    <n v="1472.4"/>
  </r>
  <r>
    <d v="2024-06-03T00:00:00"/>
    <s v="D001"/>
    <s v="Green Valley Produce"/>
    <x v="0"/>
    <s v="P006"/>
    <x v="5"/>
    <s v="Meat"/>
    <n v="677"/>
    <n v="495"/>
    <n v="52"/>
    <x v="13"/>
    <n v="2973.43"/>
  </r>
  <r>
    <d v="2024-06-03T00:00:00"/>
    <s v="D002"/>
    <s v="Fresh Coast Foods"/>
    <x v="1"/>
    <s v="P001"/>
    <x v="0"/>
    <s v="Produce"/>
    <n v="207"/>
    <n v="163"/>
    <n v="17"/>
    <x v="68"/>
    <n v="773.5"/>
  </r>
  <r>
    <d v="2024-06-03T00:00:00"/>
    <s v="D002"/>
    <s v="Fresh Coast Foods"/>
    <x v="1"/>
    <s v="P002"/>
    <x v="1"/>
    <s v="Dairy"/>
    <n v="489"/>
    <n v="357"/>
    <n v="14"/>
    <x v="21"/>
    <n v="3009.57"/>
  </r>
  <r>
    <d v="2024-06-03T00:00:00"/>
    <s v="D002"/>
    <s v="Fresh Coast Foods"/>
    <x v="1"/>
    <s v="P003"/>
    <x v="2"/>
    <s v="Meat"/>
    <n v="532"/>
    <n v="469"/>
    <n v="29"/>
    <x v="32"/>
    <n v="3683.64"/>
  </r>
  <r>
    <d v="2024-06-03T00:00:00"/>
    <s v="D002"/>
    <s v="Fresh Coast Foods"/>
    <x v="1"/>
    <s v="P004"/>
    <x v="3"/>
    <s v="Produce"/>
    <n v="505"/>
    <n v="353"/>
    <n v="31"/>
    <x v="17"/>
    <n v="1002.75"/>
  </r>
  <r>
    <d v="2024-06-03T00:00:00"/>
    <s v="D002"/>
    <s v="Fresh Coast Foods"/>
    <x v="1"/>
    <s v="P005"/>
    <x v="4"/>
    <s v="Dairy"/>
    <n v="613"/>
    <n v="507"/>
    <n v="45"/>
    <x v="69"/>
    <n v="3261.23"/>
  </r>
  <r>
    <d v="2024-06-03T00:00:00"/>
    <s v="D002"/>
    <s v="Fresh Coast Foods"/>
    <x v="1"/>
    <s v="P006"/>
    <x v="5"/>
    <s v="Meat"/>
    <n v="502"/>
    <n v="361"/>
    <n v="31"/>
    <x v="5"/>
    <n v="979"/>
  </r>
  <r>
    <d v="2024-06-03T00:00:00"/>
    <s v="D003"/>
    <s v="Heartland Meats"/>
    <x v="2"/>
    <s v="P001"/>
    <x v="0"/>
    <s v="Produce"/>
    <n v="785"/>
    <n v="683"/>
    <n v="46"/>
    <x v="34"/>
    <n v="4520.03"/>
  </r>
  <r>
    <d v="2024-06-03T00:00:00"/>
    <s v="D003"/>
    <s v="Heartland Meats"/>
    <x v="2"/>
    <s v="P002"/>
    <x v="1"/>
    <s v="Dairy"/>
    <n v="687"/>
    <n v="614"/>
    <n v="36"/>
    <x v="81"/>
    <n v="4649.5200000000004"/>
  </r>
  <r>
    <d v="2024-06-03T00:00:00"/>
    <s v="D003"/>
    <s v="Heartland Meats"/>
    <x v="2"/>
    <s v="P003"/>
    <x v="2"/>
    <s v="Meat"/>
    <n v="771"/>
    <n v="538"/>
    <n v="26"/>
    <x v="72"/>
    <n v="2179.9299999999998"/>
  </r>
  <r>
    <d v="2024-06-03T00:00:00"/>
    <s v="D003"/>
    <s v="Heartland Meats"/>
    <x v="2"/>
    <s v="P004"/>
    <x v="3"/>
    <s v="Produce"/>
    <n v="772"/>
    <n v="660"/>
    <n v="42"/>
    <x v="75"/>
    <n v="2979.1"/>
  </r>
  <r>
    <d v="2024-06-03T00:00:00"/>
    <s v="D003"/>
    <s v="Heartland Meats"/>
    <x v="2"/>
    <s v="P005"/>
    <x v="4"/>
    <s v="Dairy"/>
    <n v="291"/>
    <n v="206"/>
    <n v="22"/>
    <x v="56"/>
    <n v="1034.7"/>
  </r>
  <r>
    <d v="2024-06-03T00:00:00"/>
    <s v="D003"/>
    <s v="Heartland Meats"/>
    <x v="2"/>
    <s v="P006"/>
    <x v="5"/>
    <s v="Meat"/>
    <n v="539"/>
    <n v="404"/>
    <n v="37"/>
    <x v="9"/>
    <n v="1295.5"/>
  </r>
  <r>
    <d v="2024-06-03T00:00:00"/>
    <s v="D004"/>
    <s v="Southwest Organics"/>
    <x v="3"/>
    <s v="P001"/>
    <x v="0"/>
    <s v="Produce"/>
    <n v="254"/>
    <n v="224"/>
    <n v="18"/>
    <x v="2"/>
    <n v="655.71"/>
  </r>
  <r>
    <d v="2024-06-03T00:00:00"/>
    <s v="D004"/>
    <s v="Southwest Organics"/>
    <x v="3"/>
    <s v="P002"/>
    <x v="1"/>
    <s v="Dairy"/>
    <n v="399"/>
    <n v="313"/>
    <n v="28"/>
    <x v="63"/>
    <n v="1342.81"/>
  </r>
  <r>
    <d v="2024-06-03T00:00:00"/>
    <s v="D004"/>
    <s v="Southwest Organics"/>
    <x v="3"/>
    <s v="P003"/>
    <x v="2"/>
    <s v="Meat"/>
    <n v="255"/>
    <n v="225"/>
    <n v="17"/>
    <x v="16"/>
    <n v="1025.0999999999999"/>
  </r>
  <r>
    <d v="2024-06-03T00:00:00"/>
    <s v="D004"/>
    <s v="Southwest Organics"/>
    <x v="3"/>
    <s v="P004"/>
    <x v="3"/>
    <s v="Produce"/>
    <n v="783"/>
    <n v="697"/>
    <n v="32"/>
    <x v="52"/>
    <n v="5349.03"/>
  </r>
  <r>
    <d v="2024-06-03T00:00:00"/>
    <s v="D004"/>
    <s v="Southwest Organics"/>
    <x v="3"/>
    <s v="P005"/>
    <x v="4"/>
    <s v="Dairy"/>
    <n v="384"/>
    <n v="330"/>
    <n v="22"/>
    <x v="67"/>
    <n v="1175.1099999999999"/>
  </r>
  <r>
    <d v="2024-06-03T00:00:00"/>
    <s v="D004"/>
    <s v="Southwest Organics"/>
    <x v="3"/>
    <s v="P006"/>
    <x v="5"/>
    <s v="Meat"/>
    <n v="259"/>
    <n v="168"/>
    <n v="20"/>
    <x v="13"/>
    <n v="589.95000000000005"/>
  </r>
  <r>
    <d v="2024-06-03T00:00:00"/>
    <s v="D005"/>
    <s v="Great Lakes Dairy"/>
    <x v="0"/>
    <s v="P001"/>
    <x v="0"/>
    <s v="Produce"/>
    <n v="362"/>
    <n v="283"/>
    <n v="19"/>
    <x v="81"/>
    <n v="1750.89"/>
  </r>
  <r>
    <d v="2024-06-03T00:00:00"/>
    <s v="D005"/>
    <s v="Great Lakes Dairy"/>
    <x v="0"/>
    <s v="P002"/>
    <x v="1"/>
    <s v="Dairy"/>
    <n v="639"/>
    <n v="484"/>
    <n v="51"/>
    <x v="55"/>
    <n v="1319.55"/>
  </r>
  <r>
    <d v="2024-06-03T00:00:00"/>
    <s v="D005"/>
    <s v="Great Lakes Dairy"/>
    <x v="0"/>
    <s v="P003"/>
    <x v="2"/>
    <s v="Meat"/>
    <n v="404"/>
    <n v="342"/>
    <n v="35"/>
    <x v="47"/>
    <n v="2408.0500000000002"/>
  </r>
  <r>
    <d v="2024-06-03T00:00:00"/>
    <s v="D005"/>
    <s v="Great Lakes Dairy"/>
    <x v="0"/>
    <s v="P004"/>
    <x v="3"/>
    <s v="Produce"/>
    <n v="743"/>
    <n v="521"/>
    <n v="66"/>
    <x v="41"/>
    <n v="2080.3200000000002"/>
  </r>
  <r>
    <d v="2024-06-03T00:00:00"/>
    <s v="D005"/>
    <s v="Great Lakes Dairy"/>
    <x v="0"/>
    <s v="P005"/>
    <x v="4"/>
    <s v="Dairy"/>
    <n v="552"/>
    <n v="405"/>
    <n v="28"/>
    <x v="0"/>
    <n v="1756.36"/>
  </r>
  <r>
    <d v="2024-06-03T00:00:00"/>
    <s v="D005"/>
    <s v="Great Lakes Dairy"/>
    <x v="0"/>
    <s v="P006"/>
    <x v="5"/>
    <s v="Meat"/>
    <n v="266"/>
    <n v="232"/>
    <n v="9"/>
    <x v="72"/>
    <n v="1593.14"/>
  </r>
  <r>
    <d v="2024-06-10T00:00:00"/>
    <s v="D001"/>
    <s v="Green Valley Produce"/>
    <x v="0"/>
    <s v="P001"/>
    <x v="0"/>
    <s v="Produce"/>
    <n v="736"/>
    <n v="545"/>
    <n v="82"/>
    <x v="46"/>
    <n v="2483.2399999999998"/>
  </r>
  <r>
    <d v="2024-06-10T00:00:00"/>
    <s v="D001"/>
    <s v="Green Valley Produce"/>
    <x v="0"/>
    <s v="P002"/>
    <x v="1"/>
    <s v="Dairy"/>
    <n v="701"/>
    <n v="523"/>
    <n v="53"/>
    <x v="56"/>
    <n v="4188.83"/>
  </r>
  <r>
    <d v="2024-06-10T00:00:00"/>
    <s v="D001"/>
    <s v="Green Valley Produce"/>
    <x v="0"/>
    <s v="P003"/>
    <x v="2"/>
    <s v="Meat"/>
    <n v="613"/>
    <n v="401"/>
    <n v="53"/>
    <x v="35"/>
    <n v="1510.62"/>
  </r>
  <r>
    <d v="2024-06-10T00:00:00"/>
    <s v="D001"/>
    <s v="Green Valley Produce"/>
    <x v="0"/>
    <s v="P004"/>
    <x v="3"/>
    <s v="Produce"/>
    <n v="222"/>
    <n v="179"/>
    <n v="9"/>
    <x v="52"/>
    <n v="1146.18"/>
  </r>
  <r>
    <d v="2024-06-10T00:00:00"/>
    <s v="D001"/>
    <s v="Green Valley Produce"/>
    <x v="0"/>
    <s v="P005"/>
    <x v="4"/>
    <s v="Dairy"/>
    <n v="238"/>
    <n v="178"/>
    <n v="20"/>
    <x v="54"/>
    <n v="1110.51"/>
  </r>
  <r>
    <d v="2024-06-10T00:00:00"/>
    <s v="D001"/>
    <s v="Green Valley Produce"/>
    <x v="0"/>
    <s v="P006"/>
    <x v="5"/>
    <s v="Meat"/>
    <n v="249"/>
    <n v="206"/>
    <n v="9"/>
    <x v="22"/>
    <n v="1367.53"/>
  </r>
  <r>
    <d v="2024-06-10T00:00:00"/>
    <s v="D002"/>
    <s v="Fresh Coast Foods"/>
    <x v="1"/>
    <s v="P001"/>
    <x v="0"/>
    <s v="Produce"/>
    <n v="626"/>
    <n v="481"/>
    <n v="23"/>
    <x v="58"/>
    <n v="3228.09"/>
  </r>
  <r>
    <d v="2024-06-10T00:00:00"/>
    <s v="D002"/>
    <s v="Fresh Coast Foods"/>
    <x v="1"/>
    <s v="P002"/>
    <x v="1"/>
    <s v="Dairy"/>
    <n v="410"/>
    <n v="343"/>
    <n v="20"/>
    <x v="1"/>
    <n v="2219.21"/>
  </r>
  <r>
    <d v="2024-06-10T00:00:00"/>
    <s v="D002"/>
    <s v="Fresh Coast Foods"/>
    <x v="1"/>
    <s v="P003"/>
    <x v="2"/>
    <s v="Meat"/>
    <n v="732"/>
    <n v="529"/>
    <n v="42"/>
    <x v="67"/>
    <n v="3958.99"/>
  </r>
  <r>
    <d v="2024-06-10T00:00:00"/>
    <s v="D002"/>
    <s v="Fresh Coast Foods"/>
    <x v="1"/>
    <s v="P004"/>
    <x v="3"/>
    <s v="Produce"/>
    <n v="307"/>
    <n v="241"/>
    <n v="17"/>
    <x v="32"/>
    <n v="1737.26"/>
  </r>
  <r>
    <d v="2024-06-10T00:00:00"/>
    <s v="D002"/>
    <s v="Fresh Coast Foods"/>
    <x v="1"/>
    <s v="P005"/>
    <x v="4"/>
    <s v="Dairy"/>
    <n v="709"/>
    <n v="498"/>
    <n v="32"/>
    <x v="28"/>
    <n v="2808.16"/>
  </r>
  <r>
    <d v="2024-06-10T00:00:00"/>
    <s v="D002"/>
    <s v="Fresh Coast Foods"/>
    <x v="1"/>
    <s v="P006"/>
    <x v="5"/>
    <s v="Meat"/>
    <n v="406"/>
    <n v="303"/>
    <n v="19"/>
    <x v="10"/>
    <n v="1754.02"/>
  </r>
  <r>
    <d v="2024-06-10T00:00:00"/>
    <s v="D003"/>
    <s v="Heartland Meats"/>
    <x v="2"/>
    <s v="P001"/>
    <x v="0"/>
    <s v="Produce"/>
    <n v="412"/>
    <n v="344"/>
    <n v="17"/>
    <x v="52"/>
    <n v="886.31"/>
  </r>
  <r>
    <d v="2024-06-10T00:00:00"/>
    <s v="D003"/>
    <s v="Heartland Meats"/>
    <x v="2"/>
    <s v="P002"/>
    <x v="1"/>
    <s v="Dairy"/>
    <n v="291"/>
    <n v="260"/>
    <n v="18"/>
    <x v="5"/>
    <n v="882.67"/>
  </r>
  <r>
    <d v="2024-06-10T00:00:00"/>
    <s v="D003"/>
    <s v="Heartland Meats"/>
    <x v="2"/>
    <s v="P003"/>
    <x v="2"/>
    <s v="Meat"/>
    <n v="292"/>
    <n v="251"/>
    <n v="15"/>
    <x v="0"/>
    <n v="1990.1"/>
  </r>
  <r>
    <d v="2024-06-10T00:00:00"/>
    <s v="D003"/>
    <s v="Heartland Meats"/>
    <x v="2"/>
    <s v="P004"/>
    <x v="3"/>
    <s v="Produce"/>
    <n v="436"/>
    <n v="337"/>
    <n v="31"/>
    <x v="2"/>
    <n v="943.76"/>
  </r>
  <r>
    <d v="2024-06-10T00:00:00"/>
    <s v="D003"/>
    <s v="Heartland Meats"/>
    <x v="2"/>
    <s v="P005"/>
    <x v="4"/>
    <s v="Dairy"/>
    <n v="378"/>
    <n v="334"/>
    <n v="19"/>
    <x v="60"/>
    <n v="2191.2399999999998"/>
  </r>
  <r>
    <d v="2024-06-10T00:00:00"/>
    <s v="D003"/>
    <s v="Heartland Meats"/>
    <x v="2"/>
    <s v="P006"/>
    <x v="5"/>
    <s v="Meat"/>
    <n v="636"/>
    <n v="540"/>
    <n v="35"/>
    <x v="32"/>
    <n v="1498.68"/>
  </r>
  <r>
    <d v="2024-06-10T00:00:00"/>
    <s v="D004"/>
    <s v="Southwest Organics"/>
    <x v="3"/>
    <s v="P001"/>
    <x v="0"/>
    <s v="Produce"/>
    <n v="341"/>
    <n v="282"/>
    <n v="13"/>
    <x v="11"/>
    <n v="1445.61"/>
  </r>
  <r>
    <d v="2024-06-10T00:00:00"/>
    <s v="D004"/>
    <s v="Southwest Organics"/>
    <x v="3"/>
    <s v="P002"/>
    <x v="1"/>
    <s v="Dairy"/>
    <n v="474"/>
    <n v="420"/>
    <n v="27"/>
    <x v="67"/>
    <n v="1510.83"/>
  </r>
  <r>
    <d v="2024-06-10T00:00:00"/>
    <s v="D004"/>
    <s v="Southwest Organics"/>
    <x v="3"/>
    <s v="P003"/>
    <x v="2"/>
    <s v="Meat"/>
    <n v="610"/>
    <n v="462"/>
    <n v="49"/>
    <x v="55"/>
    <n v="3067.41"/>
  </r>
  <r>
    <d v="2024-06-10T00:00:00"/>
    <s v="D004"/>
    <s v="Southwest Organics"/>
    <x v="3"/>
    <s v="P004"/>
    <x v="3"/>
    <s v="Produce"/>
    <n v="689"/>
    <n v="596"/>
    <n v="48"/>
    <x v="63"/>
    <n v="1894.29"/>
  </r>
  <r>
    <d v="2024-06-10T00:00:00"/>
    <s v="D004"/>
    <s v="Southwest Organics"/>
    <x v="3"/>
    <s v="P005"/>
    <x v="4"/>
    <s v="Dairy"/>
    <n v="260"/>
    <n v="237"/>
    <n v="8"/>
    <x v="80"/>
    <n v="1888.26"/>
  </r>
  <r>
    <d v="2024-06-10T00:00:00"/>
    <s v="D004"/>
    <s v="Southwest Organics"/>
    <x v="3"/>
    <s v="P006"/>
    <x v="5"/>
    <s v="Meat"/>
    <n v="694"/>
    <n v="601"/>
    <n v="28"/>
    <x v="23"/>
    <n v="2871.88"/>
  </r>
  <r>
    <d v="2024-06-10T00:00:00"/>
    <s v="D005"/>
    <s v="Great Lakes Dairy"/>
    <x v="0"/>
    <s v="P001"/>
    <x v="0"/>
    <s v="Produce"/>
    <n v="567"/>
    <n v="462"/>
    <n v="51"/>
    <x v="82"/>
    <n v="3171.02"/>
  </r>
  <r>
    <d v="2024-06-10T00:00:00"/>
    <s v="D005"/>
    <s v="Great Lakes Dairy"/>
    <x v="0"/>
    <s v="P002"/>
    <x v="1"/>
    <s v="Dairy"/>
    <n v="333"/>
    <n v="259"/>
    <n v="27"/>
    <x v="29"/>
    <n v="1332.33"/>
  </r>
  <r>
    <d v="2024-06-10T00:00:00"/>
    <s v="D005"/>
    <s v="Great Lakes Dairy"/>
    <x v="0"/>
    <s v="P003"/>
    <x v="2"/>
    <s v="Meat"/>
    <n v="264"/>
    <n v="190"/>
    <n v="19"/>
    <x v="7"/>
    <n v="1247.8399999999999"/>
  </r>
  <r>
    <d v="2024-06-10T00:00:00"/>
    <s v="D005"/>
    <s v="Great Lakes Dairy"/>
    <x v="0"/>
    <s v="P004"/>
    <x v="3"/>
    <s v="Produce"/>
    <n v="790"/>
    <n v="667"/>
    <n v="55"/>
    <x v="63"/>
    <n v="5161.82"/>
  </r>
  <r>
    <d v="2024-06-10T00:00:00"/>
    <s v="D005"/>
    <s v="Great Lakes Dairy"/>
    <x v="0"/>
    <s v="P005"/>
    <x v="4"/>
    <s v="Dairy"/>
    <n v="731"/>
    <n v="578"/>
    <n v="36"/>
    <x v="1"/>
    <n v="3739.82"/>
  </r>
  <r>
    <d v="2024-06-10T00:00:00"/>
    <s v="D005"/>
    <s v="Great Lakes Dairy"/>
    <x v="0"/>
    <s v="P006"/>
    <x v="5"/>
    <s v="Meat"/>
    <n v="454"/>
    <n v="354"/>
    <n v="35"/>
    <x v="13"/>
    <n v="1200.74"/>
  </r>
  <r>
    <d v="2024-06-17T00:00:00"/>
    <s v="D001"/>
    <s v="Green Valley Produce"/>
    <x v="0"/>
    <s v="P001"/>
    <x v="0"/>
    <s v="Produce"/>
    <n v="771"/>
    <n v="686"/>
    <n v="20"/>
    <x v="14"/>
    <n v="5560.87"/>
  </r>
  <r>
    <d v="2024-06-17T00:00:00"/>
    <s v="D001"/>
    <s v="Green Valley Produce"/>
    <x v="0"/>
    <s v="P002"/>
    <x v="1"/>
    <s v="Dairy"/>
    <n v="717"/>
    <n v="630"/>
    <n v="55"/>
    <x v="13"/>
    <n v="1857.99"/>
  </r>
  <r>
    <d v="2024-06-17T00:00:00"/>
    <s v="D001"/>
    <s v="Green Valley Produce"/>
    <x v="0"/>
    <s v="P003"/>
    <x v="2"/>
    <s v="Meat"/>
    <n v="703"/>
    <n v="517"/>
    <n v="35"/>
    <x v="60"/>
    <n v="2864.99"/>
  </r>
  <r>
    <d v="2024-06-17T00:00:00"/>
    <s v="D001"/>
    <s v="Green Valley Produce"/>
    <x v="0"/>
    <s v="P004"/>
    <x v="3"/>
    <s v="Produce"/>
    <n v="763"/>
    <n v="628"/>
    <n v="31"/>
    <x v="52"/>
    <n v="3299.87"/>
  </r>
  <r>
    <d v="2024-06-17T00:00:00"/>
    <s v="D001"/>
    <s v="Green Valley Produce"/>
    <x v="0"/>
    <s v="P005"/>
    <x v="4"/>
    <s v="Dairy"/>
    <n v="786"/>
    <n v="605"/>
    <n v="60"/>
    <x v="56"/>
    <n v="1943.41"/>
  </r>
  <r>
    <d v="2024-06-17T00:00:00"/>
    <s v="D001"/>
    <s v="Green Valley Produce"/>
    <x v="0"/>
    <s v="P006"/>
    <x v="5"/>
    <s v="Meat"/>
    <n v="709"/>
    <n v="603"/>
    <n v="25"/>
    <x v="64"/>
    <n v="1637.14"/>
  </r>
  <r>
    <d v="2024-06-17T00:00:00"/>
    <s v="D002"/>
    <s v="Fresh Coast Foods"/>
    <x v="1"/>
    <s v="P001"/>
    <x v="0"/>
    <s v="Produce"/>
    <n v="762"/>
    <n v="495"/>
    <n v="45"/>
    <x v="34"/>
    <n v="3076.13"/>
  </r>
  <r>
    <d v="2024-06-17T00:00:00"/>
    <s v="D002"/>
    <s v="Fresh Coast Foods"/>
    <x v="1"/>
    <s v="P002"/>
    <x v="1"/>
    <s v="Dairy"/>
    <n v="511"/>
    <n v="454"/>
    <n v="29"/>
    <x v="67"/>
    <n v="2377.71"/>
  </r>
  <r>
    <d v="2024-06-17T00:00:00"/>
    <s v="D002"/>
    <s v="Fresh Coast Foods"/>
    <x v="1"/>
    <s v="P003"/>
    <x v="2"/>
    <s v="Meat"/>
    <n v="549"/>
    <n v="410"/>
    <n v="18"/>
    <x v="4"/>
    <n v="2142.9699999999998"/>
  </r>
  <r>
    <d v="2024-06-17T00:00:00"/>
    <s v="D002"/>
    <s v="Fresh Coast Foods"/>
    <x v="1"/>
    <s v="P004"/>
    <x v="3"/>
    <s v="Produce"/>
    <n v="773"/>
    <n v="662"/>
    <n v="51"/>
    <x v="31"/>
    <n v="3098.01"/>
  </r>
  <r>
    <d v="2024-06-17T00:00:00"/>
    <s v="D002"/>
    <s v="Fresh Coast Foods"/>
    <x v="1"/>
    <s v="P005"/>
    <x v="4"/>
    <s v="Dairy"/>
    <n v="663"/>
    <n v="451"/>
    <n v="51"/>
    <x v="13"/>
    <n v="2051.21"/>
  </r>
  <r>
    <d v="2024-06-17T00:00:00"/>
    <s v="D002"/>
    <s v="Fresh Coast Foods"/>
    <x v="1"/>
    <s v="P006"/>
    <x v="5"/>
    <s v="Meat"/>
    <n v="498"/>
    <n v="397"/>
    <n v="18"/>
    <x v="22"/>
    <n v="3128.86"/>
  </r>
  <r>
    <d v="2024-06-17T00:00:00"/>
    <s v="D003"/>
    <s v="Heartland Meats"/>
    <x v="2"/>
    <s v="P001"/>
    <x v="0"/>
    <s v="Produce"/>
    <n v="704"/>
    <n v="484"/>
    <n v="69"/>
    <x v="87"/>
    <n v="1520.62"/>
  </r>
  <r>
    <d v="2024-06-17T00:00:00"/>
    <s v="D003"/>
    <s v="Heartland Meats"/>
    <x v="2"/>
    <s v="P002"/>
    <x v="1"/>
    <s v="Dairy"/>
    <n v="400"/>
    <n v="280"/>
    <n v="36"/>
    <x v="82"/>
    <n v="1467.84"/>
  </r>
  <r>
    <d v="2024-06-17T00:00:00"/>
    <s v="D003"/>
    <s v="Heartland Meats"/>
    <x v="2"/>
    <s v="P003"/>
    <x v="2"/>
    <s v="Meat"/>
    <n v="395"/>
    <n v="333"/>
    <n v="15"/>
    <x v="11"/>
    <n v="2683.9"/>
  </r>
  <r>
    <d v="2024-06-17T00:00:00"/>
    <s v="D003"/>
    <s v="Heartland Meats"/>
    <x v="2"/>
    <s v="P004"/>
    <x v="3"/>
    <s v="Produce"/>
    <n v="326"/>
    <n v="279"/>
    <n v="19"/>
    <x v="66"/>
    <n v="2298.16"/>
  </r>
  <r>
    <d v="2024-06-17T00:00:00"/>
    <s v="D003"/>
    <s v="Heartland Meats"/>
    <x v="2"/>
    <s v="P005"/>
    <x v="4"/>
    <s v="Dairy"/>
    <n v="337"/>
    <n v="306"/>
    <n v="17"/>
    <x v="60"/>
    <n v="1780.72"/>
  </r>
  <r>
    <d v="2024-06-17T00:00:00"/>
    <s v="D003"/>
    <s v="Heartland Meats"/>
    <x v="2"/>
    <s v="P006"/>
    <x v="5"/>
    <s v="Meat"/>
    <n v="643"/>
    <n v="563"/>
    <n v="32"/>
    <x v="60"/>
    <n v="4519.1899999999996"/>
  </r>
  <r>
    <d v="2024-06-17T00:00:00"/>
    <s v="D004"/>
    <s v="Southwest Organics"/>
    <x v="3"/>
    <s v="P001"/>
    <x v="0"/>
    <s v="Produce"/>
    <n v="381"/>
    <n v="318"/>
    <n v="23"/>
    <x v="6"/>
    <n v="992.58"/>
  </r>
  <r>
    <d v="2024-06-17T00:00:00"/>
    <s v="D004"/>
    <s v="Southwest Organics"/>
    <x v="3"/>
    <s v="P002"/>
    <x v="1"/>
    <s v="Dairy"/>
    <n v="529"/>
    <n v="415"/>
    <n v="43"/>
    <x v="29"/>
    <n v="3318.12"/>
  </r>
  <r>
    <d v="2024-06-17T00:00:00"/>
    <s v="D004"/>
    <s v="Southwest Organics"/>
    <x v="3"/>
    <s v="P003"/>
    <x v="2"/>
    <s v="Meat"/>
    <n v="454"/>
    <n v="328"/>
    <n v="53"/>
    <x v="97"/>
    <n v="1711.2"/>
  </r>
  <r>
    <d v="2024-06-17T00:00:00"/>
    <s v="D004"/>
    <s v="Southwest Organics"/>
    <x v="3"/>
    <s v="P004"/>
    <x v="3"/>
    <s v="Produce"/>
    <n v="336"/>
    <n v="230"/>
    <n v="33"/>
    <x v="87"/>
    <n v="1281.97"/>
  </r>
  <r>
    <d v="2024-06-17T00:00:00"/>
    <s v="D004"/>
    <s v="Southwest Organics"/>
    <x v="3"/>
    <s v="P005"/>
    <x v="4"/>
    <s v="Dairy"/>
    <n v="760"/>
    <n v="670"/>
    <n v="58"/>
    <x v="56"/>
    <n v="4217.9799999999996"/>
  </r>
  <r>
    <d v="2024-06-17T00:00:00"/>
    <s v="D004"/>
    <s v="Southwest Organics"/>
    <x v="3"/>
    <s v="P006"/>
    <x v="5"/>
    <s v="Meat"/>
    <n v="405"/>
    <n v="286"/>
    <n v="38"/>
    <x v="65"/>
    <n v="2295.77"/>
  </r>
  <r>
    <d v="2024-06-17T00:00:00"/>
    <s v="D005"/>
    <s v="Great Lakes Dairy"/>
    <x v="0"/>
    <s v="P001"/>
    <x v="0"/>
    <s v="Produce"/>
    <n v="335"/>
    <n v="306"/>
    <n v="23"/>
    <x v="9"/>
    <n v="1690.15"/>
  </r>
  <r>
    <d v="2024-06-17T00:00:00"/>
    <s v="D005"/>
    <s v="Great Lakes Dairy"/>
    <x v="0"/>
    <s v="P002"/>
    <x v="1"/>
    <s v="Dairy"/>
    <n v="530"/>
    <n v="446"/>
    <n v="35"/>
    <x v="31"/>
    <n v="2674.59"/>
  </r>
  <r>
    <d v="2024-06-17T00:00:00"/>
    <s v="D005"/>
    <s v="Great Lakes Dairy"/>
    <x v="0"/>
    <s v="P003"/>
    <x v="2"/>
    <s v="Meat"/>
    <n v="627"/>
    <n v="521"/>
    <n v="44"/>
    <x v="63"/>
    <n v="4045.49"/>
  </r>
  <r>
    <d v="2024-06-17T00:00:00"/>
    <s v="D005"/>
    <s v="Great Lakes Dairy"/>
    <x v="0"/>
    <s v="P004"/>
    <x v="3"/>
    <s v="Produce"/>
    <n v="632"/>
    <n v="548"/>
    <n v="18"/>
    <x v="19"/>
    <n v="1847.83"/>
  </r>
  <r>
    <d v="2024-06-17T00:00:00"/>
    <s v="D005"/>
    <s v="Great Lakes Dairy"/>
    <x v="0"/>
    <s v="P005"/>
    <x v="4"/>
    <s v="Dairy"/>
    <n v="257"/>
    <n v="180"/>
    <n v="18"/>
    <x v="63"/>
    <n v="759.54"/>
  </r>
  <r>
    <d v="2024-06-17T00:00:00"/>
    <s v="D005"/>
    <s v="Great Lakes Dairy"/>
    <x v="0"/>
    <s v="P006"/>
    <x v="5"/>
    <s v="Meat"/>
    <n v="456"/>
    <n v="314"/>
    <n v="29"/>
    <x v="53"/>
    <n v="1169.3399999999999"/>
  </r>
  <r>
    <d v="2024-06-24T00:00:00"/>
    <s v="D001"/>
    <s v="Green Valley Produce"/>
    <x v="0"/>
    <s v="P001"/>
    <x v="0"/>
    <s v="Produce"/>
    <n v="754"/>
    <n v="496"/>
    <n v="59"/>
    <x v="51"/>
    <n v="3823.27"/>
  </r>
  <r>
    <d v="2024-06-24T00:00:00"/>
    <s v="D001"/>
    <s v="Green Valley Produce"/>
    <x v="0"/>
    <s v="P002"/>
    <x v="1"/>
    <s v="Dairy"/>
    <n v="775"/>
    <n v="684"/>
    <n v="45"/>
    <x v="66"/>
    <n v="2685.09"/>
  </r>
  <r>
    <d v="2024-06-24T00:00:00"/>
    <s v="D001"/>
    <s v="Green Valley Produce"/>
    <x v="0"/>
    <s v="P003"/>
    <x v="2"/>
    <s v="Meat"/>
    <n v="494"/>
    <n v="413"/>
    <n v="18"/>
    <x v="22"/>
    <n v="2064.75"/>
  </r>
  <r>
    <d v="2024-06-24T00:00:00"/>
    <s v="D001"/>
    <s v="Green Valley Produce"/>
    <x v="0"/>
    <s v="P004"/>
    <x v="3"/>
    <s v="Produce"/>
    <n v="520"/>
    <n v="473"/>
    <n v="26"/>
    <x v="60"/>
    <n v="1758.86"/>
  </r>
  <r>
    <d v="2024-06-24T00:00:00"/>
    <s v="D001"/>
    <s v="Green Valley Produce"/>
    <x v="0"/>
    <s v="P005"/>
    <x v="4"/>
    <s v="Dairy"/>
    <n v="653"/>
    <n v="570"/>
    <n v="46"/>
    <x v="63"/>
    <n v="3639.9"/>
  </r>
  <r>
    <d v="2024-06-24T00:00:00"/>
    <s v="D001"/>
    <s v="Green Valley Produce"/>
    <x v="0"/>
    <s v="P006"/>
    <x v="5"/>
    <s v="Meat"/>
    <n v="759"/>
    <n v="644"/>
    <n v="43"/>
    <x v="67"/>
    <n v="2357.6799999999998"/>
  </r>
  <r>
    <d v="2024-06-24T00:00:00"/>
    <s v="D002"/>
    <s v="Fresh Coast Foods"/>
    <x v="1"/>
    <s v="P001"/>
    <x v="0"/>
    <s v="Produce"/>
    <n v="659"/>
    <n v="459"/>
    <n v="45"/>
    <x v="57"/>
    <n v="1626.13"/>
  </r>
  <r>
    <d v="2024-06-24T00:00:00"/>
    <s v="D002"/>
    <s v="Fresh Coast Foods"/>
    <x v="1"/>
    <s v="P002"/>
    <x v="1"/>
    <s v="Dairy"/>
    <n v="726"/>
    <n v="495"/>
    <n v="28"/>
    <x v="12"/>
    <n v="2022.29"/>
  </r>
  <r>
    <d v="2024-06-24T00:00:00"/>
    <s v="D002"/>
    <s v="Fresh Coast Foods"/>
    <x v="1"/>
    <s v="P003"/>
    <x v="2"/>
    <s v="Meat"/>
    <n v="364"/>
    <n v="293"/>
    <n v="15"/>
    <x v="52"/>
    <n v="1980.13"/>
  </r>
  <r>
    <d v="2024-06-24T00:00:00"/>
    <s v="D002"/>
    <s v="Fresh Coast Foods"/>
    <x v="1"/>
    <s v="P004"/>
    <x v="3"/>
    <s v="Produce"/>
    <n v="358"/>
    <n v="236"/>
    <n v="39"/>
    <x v="76"/>
    <n v="1685.5"/>
  </r>
  <r>
    <d v="2024-06-24T00:00:00"/>
    <s v="D002"/>
    <s v="Fresh Coast Foods"/>
    <x v="1"/>
    <s v="P005"/>
    <x v="4"/>
    <s v="Dairy"/>
    <n v="508"/>
    <n v="397"/>
    <n v="30"/>
    <x v="34"/>
    <n v="2860.06"/>
  </r>
  <r>
    <d v="2024-06-24T00:00:00"/>
    <s v="D002"/>
    <s v="Fresh Coast Foods"/>
    <x v="1"/>
    <s v="P006"/>
    <x v="5"/>
    <s v="Meat"/>
    <n v="525"/>
    <n v="415"/>
    <n v="42"/>
    <x v="55"/>
    <n v="2995.28"/>
  </r>
  <r>
    <d v="2024-06-24T00:00:00"/>
    <s v="D003"/>
    <s v="Heartland Meats"/>
    <x v="2"/>
    <s v="P001"/>
    <x v="0"/>
    <s v="Produce"/>
    <n v="363"/>
    <n v="276"/>
    <n v="17"/>
    <x v="10"/>
    <n v="1056.3"/>
  </r>
  <r>
    <d v="2024-06-24T00:00:00"/>
    <s v="D003"/>
    <s v="Heartland Meats"/>
    <x v="2"/>
    <s v="P002"/>
    <x v="1"/>
    <s v="Dairy"/>
    <n v="418"/>
    <n v="346"/>
    <n v="17"/>
    <x v="52"/>
    <n v="2837.84"/>
  </r>
  <r>
    <d v="2024-06-24T00:00:00"/>
    <s v="D003"/>
    <s v="Heartland Meats"/>
    <x v="2"/>
    <s v="P003"/>
    <x v="2"/>
    <s v="Meat"/>
    <n v="743"/>
    <n v="578"/>
    <n v="58"/>
    <x v="51"/>
    <n v="3696.77"/>
  </r>
  <r>
    <d v="2024-06-24T00:00:00"/>
    <s v="D003"/>
    <s v="Heartland Meats"/>
    <x v="2"/>
    <s v="P004"/>
    <x v="3"/>
    <s v="Produce"/>
    <n v="317"/>
    <n v="263"/>
    <n v="23"/>
    <x v="69"/>
    <n v="1625.92"/>
  </r>
  <r>
    <d v="2024-06-24T00:00:00"/>
    <s v="D003"/>
    <s v="Heartland Meats"/>
    <x v="2"/>
    <s v="P005"/>
    <x v="4"/>
    <s v="Dairy"/>
    <n v="449"/>
    <n v="408"/>
    <n v="18"/>
    <x v="23"/>
    <n v="3262.2"/>
  </r>
  <r>
    <d v="2024-06-24T00:00:00"/>
    <s v="D003"/>
    <s v="Heartland Meats"/>
    <x v="2"/>
    <s v="P006"/>
    <x v="5"/>
    <s v="Meat"/>
    <n v="316"/>
    <n v="238"/>
    <n v="18"/>
    <x v="67"/>
    <n v="1896.39"/>
  </r>
  <r>
    <d v="2024-06-24T00:00:00"/>
    <s v="D004"/>
    <s v="Southwest Organics"/>
    <x v="3"/>
    <s v="P001"/>
    <x v="0"/>
    <s v="Produce"/>
    <n v="583"/>
    <n v="459"/>
    <n v="36"/>
    <x v="5"/>
    <n v="1963.88"/>
  </r>
  <r>
    <d v="2024-06-24T00:00:00"/>
    <s v="D004"/>
    <s v="Southwest Organics"/>
    <x v="3"/>
    <s v="P002"/>
    <x v="1"/>
    <s v="Dairy"/>
    <n v="397"/>
    <n v="292"/>
    <n v="11"/>
    <x v="19"/>
    <n v="2432.29"/>
  </r>
  <r>
    <d v="2024-06-24T00:00:00"/>
    <s v="D004"/>
    <s v="Southwest Organics"/>
    <x v="3"/>
    <s v="P003"/>
    <x v="2"/>
    <s v="Meat"/>
    <n v="750"/>
    <n v="595"/>
    <n v="39"/>
    <x v="81"/>
    <n v="3734.87"/>
  </r>
  <r>
    <d v="2024-06-24T00:00:00"/>
    <s v="D004"/>
    <s v="Southwest Organics"/>
    <x v="3"/>
    <s v="P004"/>
    <x v="3"/>
    <s v="Produce"/>
    <n v="418"/>
    <n v="369"/>
    <n v="12"/>
    <x v="21"/>
    <n v="2113.09"/>
  </r>
  <r>
    <d v="2024-06-24T00:00:00"/>
    <s v="D004"/>
    <s v="Southwest Organics"/>
    <x v="3"/>
    <s v="P005"/>
    <x v="4"/>
    <s v="Dairy"/>
    <n v="645"/>
    <n v="531"/>
    <n v="54"/>
    <x v="54"/>
    <n v="1817.36"/>
  </r>
  <r>
    <d v="2024-06-24T00:00:00"/>
    <s v="D004"/>
    <s v="Southwest Organics"/>
    <x v="3"/>
    <s v="P006"/>
    <x v="5"/>
    <s v="Meat"/>
    <n v="670"/>
    <n v="565"/>
    <n v="14"/>
    <x v="98"/>
    <n v="2015.89"/>
  </r>
  <r>
    <d v="2024-06-24T00:00:00"/>
    <s v="D005"/>
    <s v="Great Lakes Dairy"/>
    <x v="0"/>
    <s v="P001"/>
    <x v="0"/>
    <s v="Produce"/>
    <n v="457"/>
    <n v="365"/>
    <n v="22"/>
    <x v="49"/>
    <n v="1478.94"/>
  </r>
  <r>
    <d v="2024-06-24T00:00:00"/>
    <s v="D005"/>
    <s v="Great Lakes Dairy"/>
    <x v="0"/>
    <s v="P002"/>
    <x v="1"/>
    <s v="Dairy"/>
    <n v="597"/>
    <n v="460"/>
    <n v="30"/>
    <x v="60"/>
    <n v="2225.0300000000002"/>
  </r>
  <r>
    <d v="2024-06-24T00:00:00"/>
    <s v="D005"/>
    <s v="Great Lakes Dairy"/>
    <x v="0"/>
    <s v="P003"/>
    <x v="2"/>
    <s v="Meat"/>
    <n v="321"/>
    <n v="255"/>
    <n v="23"/>
    <x v="7"/>
    <n v="1794.12"/>
  </r>
  <r>
    <d v="2024-06-24T00:00:00"/>
    <s v="D005"/>
    <s v="Great Lakes Dairy"/>
    <x v="0"/>
    <s v="P004"/>
    <x v="3"/>
    <s v="Produce"/>
    <n v="799"/>
    <n v="529"/>
    <n v="74"/>
    <x v="59"/>
    <n v="2918.5"/>
  </r>
  <r>
    <d v="2024-06-24T00:00:00"/>
    <s v="D005"/>
    <s v="Great Lakes Dairy"/>
    <x v="0"/>
    <s v="P005"/>
    <x v="4"/>
    <s v="Dairy"/>
    <n v="496"/>
    <n v="427"/>
    <n v="13"/>
    <x v="14"/>
    <n v="3028.13"/>
  </r>
  <r>
    <d v="2024-06-24T00:00:00"/>
    <s v="D005"/>
    <s v="Great Lakes Dairy"/>
    <x v="0"/>
    <s v="P006"/>
    <x v="5"/>
    <s v="Meat"/>
    <n v="648"/>
    <n v="487"/>
    <n v="37"/>
    <x v="67"/>
    <n v="1674.2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1">
  <r>
    <x v="0"/>
    <s v="D001"/>
    <s v="Green Valley Produce"/>
    <s v="Midwest"/>
    <s v="P001"/>
    <s v="Leafy Greens"/>
    <s v="Produce"/>
    <n v="314"/>
    <n v="206"/>
    <n v="16"/>
    <n v="5.0999999999999996"/>
    <n v="1425.28"/>
  </r>
  <r>
    <x v="0"/>
    <s v="D001"/>
    <s v="Green Valley Produce"/>
    <s v="Midwest"/>
    <s v="P002"/>
    <s v="Whole Milk"/>
    <s v="Dairy"/>
    <n v="758"/>
    <n v="510"/>
    <n v="37"/>
    <n v="4.9000000000000004"/>
    <n v="1944.03"/>
  </r>
  <r>
    <x v="0"/>
    <s v="D001"/>
    <s v="Green Valley Produce"/>
    <s v="Midwest"/>
    <s v="P003"/>
    <s v="Ground Beef"/>
    <s v="Meat"/>
    <n v="717"/>
    <n v="582"/>
    <n v="51"/>
    <n v="7.1"/>
    <n v="3904.03"/>
  </r>
  <r>
    <x v="0"/>
    <s v="D001"/>
    <s v="Green Valley Produce"/>
    <s v="Midwest"/>
    <s v="P004"/>
    <s v="Tomatoes"/>
    <s v="Produce"/>
    <n v="629"/>
    <n v="446"/>
    <n v="58"/>
    <n v="9.1999999999999993"/>
    <n v="1132.3900000000001"/>
  </r>
  <r>
    <x v="0"/>
    <s v="D001"/>
    <s v="Green Valley Produce"/>
    <s v="Midwest"/>
    <s v="P005"/>
    <s v="Cheddar Cheese"/>
    <s v="Dairy"/>
    <n v="363"/>
    <n v="304"/>
    <n v="12"/>
    <n v="3.3"/>
    <n v="2505.96"/>
  </r>
  <r>
    <x v="0"/>
    <s v="D001"/>
    <s v="Green Valley Produce"/>
    <s v="Midwest"/>
    <s v="P006"/>
    <s v="Chicken Breast"/>
    <s v="Meat"/>
    <n v="544"/>
    <n v="368"/>
    <n v="34"/>
    <n v="6.2"/>
    <n v="1679.45"/>
  </r>
  <r>
    <x v="0"/>
    <s v="D002"/>
    <s v="Fresh Coast Foods"/>
    <s v="Southeast"/>
    <s v="P001"/>
    <s v="Leafy Greens"/>
    <s v="Produce"/>
    <n v="470"/>
    <n v="407"/>
    <n v="28"/>
    <n v="6"/>
    <n v="3393.85"/>
  </r>
  <r>
    <x v="0"/>
    <s v="D002"/>
    <s v="Fresh Coast Foods"/>
    <s v="Southeast"/>
    <s v="P002"/>
    <s v="Whole Milk"/>
    <s v="Dairy"/>
    <n v="587"/>
    <n v="394"/>
    <n v="42"/>
    <n v="7.2"/>
    <n v="3078.21"/>
  </r>
  <r>
    <x v="0"/>
    <s v="D002"/>
    <s v="Fresh Coast Foods"/>
    <s v="Southeast"/>
    <s v="P003"/>
    <s v="Ground Beef"/>
    <s v="Meat"/>
    <n v="570"/>
    <n v="459"/>
    <n v="25"/>
    <n v="4.4000000000000004"/>
    <n v="1775.13"/>
  </r>
  <r>
    <x v="0"/>
    <s v="D002"/>
    <s v="Fresh Coast Foods"/>
    <s v="Southeast"/>
    <s v="P004"/>
    <s v="Tomatoes"/>
    <s v="Produce"/>
    <n v="496"/>
    <n v="454"/>
    <n v="34"/>
    <n v="6.9"/>
    <n v="2170.46"/>
  </r>
  <r>
    <x v="0"/>
    <s v="D002"/>
    <s v="Fresh Coast Foods"/>
    <s v="Southeast"/>
    <s v="P005"/>
    <s v="Cheddar Cheese"/>
    <s v="Dairy"/>
    <n v="664"/>
    <n v="545"/>
    <n v="31"/>
    <n v="4.7"/>
    <n v="2047.59"/>
  </r>
  <r>
    <x v="0"/>
    <s v="D002"/>
    <s v="Fresh Coast Foods"/>
    <s v="Southeast"/>
    <s v="P006"/>
    <s v="Chicken Breast"/>
    <s v="Meat"/>
    <n v="473"/>
    <n v="397"/>
    <n v="18"/>
    <n v="3.8"/>
    <n v="2505.02"/>
  </r>
  <r>
    <x v="0"/>
    <s v="D003"/>
    <s v="Heartland Meats"/>
    <s v="Plains"/>
    <s v="P001"/>
    <s v="Leafy Greens"/>
    <s v="Produce"/>
    <n v="746"/>
    <n v="631"/>
    <n v="29"/>
    <n v="3.9"/>
    <n v="5323.84"/>
  </r>
  <r>
    <x v="0"/>
    <s v="D003"/>
    <s v="Heartland Meats"/>
    <s v="Plains"/>
    <s v="P002"/>
    <s v="Whole Milk"/>
    <s v="Dairy"/>
    <n v="770"/>
    <n v="546"/>
    <n v="59"/>
    <n v="7.7"/>
    <n v="1548.25"/>
  </r>
  <r>
    <x v="0"/>
    <s v="D003"/>
    <s v="Heartland Meats"/>
    <s v="Plains"/>
    <s v="P003"/>
    <s v="Ground Beef"/>
    <s v="Meat"/>
    <n v="232"/>
    <n v="201"/>
    <n v="6"/>
    <n v="2.6"/>
    <n v="1603.74"/>
  </r>
  <r>
    <x v="0"/>
    <s v="D003"/>
    <s v="Heartland Meats"/>
    <s v="Plains"/>
    <s v="P004"/>
    <s v="Tomatoes"/>
    <s v="Produce"/>
    <n v="780"/>
    <n v="691"/>
    <n v="41"/>
    <n v="5.3"/>
    <n v="3367.79"/>
  </r>
  <r>
    <x v="0"/>
    <s v="D003"/>
    <s v="Heartland Meats"/>
    <s v="Plains"/>
    <s v="P005"/>
    <s v="Cheddar Cheese"/>
    <s v="Dairy"/>
    <n v="669"/>
    <n v="460"/>
    <n v="45"/>
    <n v="6.7"/>
    <n v="2637.58"/>
  </r>
  <r>
    <x v="0"/>
    <s v="D003"/>
    <s v="Heartland Meats"/>
    <s v="Plains"/>
    <s v="P006"/>
    <s v="Chicken Breast"/>
    <s v="Meat"/>
    <n v="798"/>
    <n v="611"/>
    <n v="49"/>
    <n v="6.1"/>
    <n v="5183.7"/>
  </r>
  <r>
    <x v="0"/>
    <s v="D004"/>
    <s v="Southwest Organics"/>
    <s v="Southwest"/>
    <s v="P001"/>
    <s v="Leafy Greens"/>
    <s v="Produce"/>
    <n v="341"/>
    <n v="268"/>
    <n v="8"/>
    <n v="2.2999999999999998"/>
    <n v="846.32"/>
  </r>
  <r>
    <x v="0"/>
    <s v="D004"/>
    <s v="Southwest Organics"/>
    <s v="Southwest"/>
    <s v="P002"/>
    <s v="Whole Milk"/>
    <s v="Dairy"/>
    <n v="363"/>
    <n v="313"/>
    <n v="10"/>
    <n v="2.8"/>
    <n v="1499.18"/>
  </r>
  <r>
    <x v="0"/>
    <s v="D004"/>
    <s v="Southwest Organics"/>
    <s v="Southwest"/>
    <s v="P003"/>
    <s v="Ground Beef"/>
    <s v="Meat"/>
    <n v="679"/>
    <n v="538"/>
    <n v="66"/>
    <n v="9.6999999999999993"/>
    <n v="1382.06"/>
  </r>
  <r>
    <x v="0"/>
    <s v="D004"/>
    <s v="Southwest Organics"/>
    <s v="Southwest"/>
    <s v="P004"/>
    <s v="Tomatoes"/>
    <s v="Produce"/>
    <n v="317"/>
    <n v="264"/>
    <n v="14"/>
    <n v="4.4000000000000004"/>
    <n v="1675.28"/>
  </r>
  <r>
    <x v="0"/>
    <s v="D004"/>
    <s v="Southwest Organics"/>
    <s v="Southwest"/>
    <s v="P005"/>
    <s v="Cheddar Cheese"/>
    <s v="Dairy"/>
    <n v="314"/>
    <n v="228"/>
    <n v="9"/>
    <n v="2.9"/>
    <n v="1557.82"/>
  </r>
  <r>
    <x v="0"/>
    <s v="D004"/>
    <s v="Southwest Organics"/>
    <s v="Southwest"/>
    <s v="P006"/>
    <s v="Chicken Breast"/>
    <s v="Meat"/>
    <n v="469"/>
    <n v="427"/>
    <n v="24"/>
    <n v="5.0999999999999996"/>
    <n v="1340.12"/>
  </r>
  <r>
    <x v="0"/>
    <s v="D005"/>
    <s v="Great Lakes Dairy"/>
    <s v="Midwest"/>
    <s v="P001"/>
    <s v="Leafy Greens"/>
    <s v="Produce"/>
    <n v="505"/>
    <n v="443"/>
    <n v="18"/>
    <n v="3.6"/>
    <n v="2101.36"/>
  </r>
  <r>
    <x v="0"/>
    <s v="D005"/>
    <s v="Great Lakes Dairy"/>
    <s v="Midwest"/>
    <s v="P002"/>
    <s v="Whole Milk"/>
    <s v="Dairy"/>
    <n v="365"/>
    <n v="290"/>
    <n v="26"/>
    <n v="7.1"/>
    <n v="726"/>
  </r>
  <r>
    <x v="0"/>
    <s v="D005"/>
    <s v="Great Lakes Dairy"/>
    <s v="Midwest"/>
    <s v="P003"/>
    <s v="Ground Beef"/>
    <s v="Meat"/>
    <n v="531"/>
    <n v="415"/>
    <n v="21"/>
    <n v="4"/>
    <n v="3490.95"/>
  </r>
  <r>
    <x v="0"/>
    <s v="D005"/>
    <s v="Great Lakes Dairy"/>
    <s v="Midwest"/>
    <s v="P004"/>
    <s v="Tomatoes"/>
    <s v="Produce"/>
    <n v="514"/>
    <n v="367"/>
    <n v="31"/>
    <n v="6"/>
    <n v="1090.92"/>
  </r>
  <r>
    <x v="0"/>
    <s v="D005"/>
    <s v="Great Lakes Dairy"/>
    <s v="Midwest"/>
    <s v="P005"/>
    <s v="Cheddar Cheese"/>
    <s v="Dairy"/>
    <n v="697"/>
    <n v="606"/>
    <n v="45"/>
    <n v="6.5"/>
    <n v="1972.27"/>
  </r>
  <r>
    <x v="0"/>
    <s v="D005"/>
    <s v="Great Lakes Dairy"/>
    <s v="Midwest"/>
    <s v="P006"/>
    <s v="Chicken Breast"/>
    <s v="Meat"/>
    <n v="686"/>
    <n v="621"/>
    <n v="29"/>
    <n v="4.2"/>
    <n v="3812.67"/>
  </r>
  <r>
    <x v="1"/>
    <s v="D001"/>
    <s v="Green Valley Produce"/>
    <s v="Midwest"/>
    <s v="P001"/>
    <s v="Leafy Greens"/>
    <s v="Produce"/>
    <n v="416"/>
    <n v="374"/>
    <n v="25"/>
    <n v="6"/>
    <n v="2534.86"/>
  </r>
  <r>
    <x v="1"/>
    <s v="D001"/>
    <s v="Green Valley Produce"/>
    <s v="Midwest"/>
    <s v="P002"/>
    <s v="Whole Milk"/>
    <s v="Dairy"/>
    <n v="608"/>
    <n v="558"/>
    <n v="27"/>
    <n v="4.4000000000000004"/>
    <n v="3127.84"/>
  </r>
  <r>
    <x v="1"/>
    <s v="D001"/>
    <s v="Green Valley Produce"/>
    <s v="Midwest"/>
    <s v="P003"/>
    <s v="Ground Beef"/>
    <s v="Meat"/>
    <n v="323"/>
    <n v="231"/>
    <n v="8"/>
    <n v="2.5"/>
    <n v="1345.24"/>
  </r>
  <r>
    <x v="1"/>
    <s v="D001"/>
    <s v="Green Valley Produce"/>
    <s v="Midwest"/>
    <s v="P004"/>
    <s v="Tomatoes"/>
    <s v="Produce"/>
    <n v="425"/>
    <n v="277"/>
    <n v="30"/>
    <n v="7.1"/>
    <n v="804.52"/>
  </r>
  <r>
    <x v="1"/>
    <s v="D001"/>
    <s v="Green Valley Produce"/>
    <s v="Midwest"/>
    <s v="P005"/>
    <s v="Cheddar Cheese"/>
    <s v="Dairy"/>
    <n v="232"/>
    <n v="204"/>
    <n v="6"/>
    <n v="2.6"/>
    <n v="1328.83"/>
  </r>
  <r>
    <x v="1"/>
    <s v="D001"/>
    <s v="Green Valley Produce"/>
    <s v="Midwest"/>
    <s v="P006"/>
    <s v="Chicken Breast"/>
    <s v="Meat"/>
    <n v="419"/>
    <n v="333"/>
    <n v="37"/>
    <n v="8.8000000000000007"/>
    <n v="1983.77"/>
  </r>
  <r>
    <x v="1"/>
    <s v="D002"/>
    <s v="Fresh Coast Foods"/>
    <s v="Southeast"/>
    <s v="P001"/>
    <s v="Leafy Greens"/>
    <s v="Produce"/>
    <n v="448"/>
    <n v="386"/>
    <n v="20"/>
    <n v="4.5"/>
    <n v="1189.49"/>
  </r>
  <r>
    <x v="1"/>
    <s v="D002"/>
    <s v="Fresh Coast Foods"/>
    <s v="Southeast"/>
    <s v="P002"/>
    <s v="Whole Milk"/>
    <s v="Dairy"/>
    <n v="641"/>
    <n v="477"/>
    <n v="52"/>
    <n v="8.1"/>
    <n v="1347.54"/>
  </r>
  <r>
    <x v="1"/>
    <s v="D002"/>
    <s v="Fresh Coast Foods"/>
    <s v="Southeast"/>
    <s v="P003"/>
    <s v="Ground Beef"/>
    <s v="Meat"/>
    <n v="300"/>
    <n v="199"/>
    <n v="32"/>
    <n v="10.7"/>
    <n v="627.97"/>
  </r>
  <r>
    <x v="1"/>
    <s v="D002"/>
    <s v="Fresh Coast Foods"/>
    <s v="Southeast"/>
    <s v="P004"/>
    <s v="Tomatoes"/>
    <s v="Produce"/>
    <n v="396"/>
    <n v="277"/>
    <n v="26"/>
    <n v="6.6"/>
    <n v="1155.44"/>
  </r>
  <r>
    <x v="1"/>
    <s v="D002"/>
    <s v="Fresh Coast Foods"/>
    <s v="Southeast"/>
    <s v="P005"/>
    <s v="Cheddar Cheese"/>
    <s v="Dairy"/>
    <n v="455"/>
    <n v="403"/>
    <n v="25"/>
    <n v="5.5"/>
    <n v="3077.23"/>
  </r>
  <r>
    <x v="1"/>
    <s v="D002"/>
    <s v="Fresh Coast Foods"/>
    <s v="Southeast"/>
    <s v="P006"/>
    <s v="Chicken Breast"/>
    <s v="Meat"/>
    <n v="300"/>
    <n v="199"/>
    <n v="37"/>
    <n v="12.3"/>
    <n v="1654.48"/>
  </r>
  <r>
    <x v="1"/>
    <s v="D003"/>
    <s v="Heartland Meats"/>
    <s v="Plains"/>
    <s v="P001"/>
    <s v="Leafy Greens"/>
    <s v="Produce"/>
    <n v="442"/>
    <n v="307"/>
    <n v="26"/>
    <n v="5.9"/>
    <n v="1506.22"/>
  </r>
  <r>
    <x v="1"/>
    <s v="D003"/>
    <s v="Heartland Meats"/>
    <s v="Plains"/>
    <s v="P002"/>
    <s v="Whole Milk"/>
    <s v="Dairy"/>
    <n v="260"/>
    <n v="180"/>
    <n v="10"/>
    <n v="3.8"/>
    <n v="1450.64"/>
  </r>
  <r>
    <x v="1"/>
    <s v="D003"/>
    <s v="Heartland Meats"/>
    <s v="Plains"/>
    <s v="P003"/>
    <s v="Ground Beef"/>
    <s v="Meat"/>
    <n v="665"/>
    <n v="483"/>
    <n v="61"/>
    <n v="9.1999999999999993"/>
    <n v="3477.68"/>
  </r>
  <r>
    <x v="1"/>
    <s v="D003"/>
    <s v="Heartland Meats"/>
    <s v="Plains"/>
    <s v="P004"/>
    <s v="Tomatoes"/>
    <s v="Produce"/>
    <n v="698"/>
    <n v="482"/>
    <n v="60"/>
    <n v="8.6"/>
    <n v="2879.99"/>
  </r>
  <r>
    <x v="1"/>
    <s v="D003"/>
    <s v="Heartland Meats"/>
    <s v="Plains"/>
    <s v="P005"/>
    <s v="Cheddar Cheese"/>
    <s v="Dairy"/>
    <n v="755"/>
    <n v="503"/>
    <n v="33"/>
    <n v="4.4000000000000004"/>
    <n v="2696.45"/>
  </r>
  <r>
    <x v="1"/>
    <s v="D003"/>
    <s v="Heartland Meats"/>
    <s v="Plains"/>
    <s v="P006"/>
    <s v="Chicken Breast"/>
    <s v="Meat"/>
    <n v="743"/>
    <n v="514"/>
    <n v="59"/>
    <n v="7.9"/>
    <n v="1858.08"/>
  </r>
  <r>
    <x v="1"/>
    <s v="D004"/>
    <s v="Southwest Organics"/>
    <s v="Southwest"/>
    <s v="P001"/>
    <s v="Leafy Greens"/>
    <s v="Produce"/>
    <n v="269"/>
    <n v="223"/>
    <n v="8"/>
    <n v="3"/>
    <n v="1748.7"/>
  </r>
  <r>
    <x v="1"/>
    <s v="D004"/>
    <s v="Southwest Organics"/>
    <s v="Southwest"/>
    <s v="P002"/>
    <s v="Whole Milk"/>
    <s v="Dairy"/>
    <n v="452"/>
    <n v="364"/>
    <n v="10"/>
    <n v="2.2000000000000002"/>
    <n v="2345.6999999999998"/>
  </r>
  <r>
    <x v="1"/>
    <s v="D004"/>
    <s v="Southwest Organics"/>
    <s v="Southwest"/>
    <s v="P003"/>
    <s v="Ground Beef"/>
    <s v="Meat"/>
    <n v="778"/>
    <n v="615"/>
    <n v="49"/>
    <n v="6.3"/>
    <n v="4180.25"/>
  </r>
  <r>
    <x v="1"/>
    <s v="D004"/>
    <s v="Southwest Organics"/>
    <s v="Southwest"/>
    <s v="P004"/>
    <s v="Tomatoes"/>
    <s v="Produce"/>
    <n v="444"/>
    <n v="320"/>
    <n v="26"/>
    <n v="5.9"/>
    <n v="1677.87"/>
  </r>
  <r>
    <x v="1"/>
    <s v="D004"/>
    <s v="Southwest Organics"/>
    <s v="Southwest"/>
    <s v="P005"/>
    <s v="Cheddar Cheese"/>
    <s v="Dairy"/>
    <n v="274"/>
    <n v="178"/>
    <n v="25"/>
    <n v="9.1"/>
    <n v="551.78"/>
  </r>
  <r>
    <x v="1"/>
    <s v="D004"/>
    <s v="Southwest Organics"/>
    <s v="Southwest"/>
    <s v="P006"/>
    <s v="Chicken Breast"/>
    <s v="Meat"/>
    <n v="750"/>
    <n v="530"/>
    <n v="61"/>
    <n v="8.1"/>
    <n v="4126.1499999999996"/>
  </r>
  <r>
    <x v="1"/>
    <s v="D005"/>
    <s v="Great Lakes Dairy"/>
    <s v="Midwest"/>
    <s v="P001"/>
    <s v="Leafy Greens"/>
    <s v="Produce"/>
    <n v="450"/>
    <n v="337"/>
    <n v="30"/>
    <n v="6.7"/>
    <n v="2265.06"/>
  </r>
  <r>
    <x v="1"/>
    <s v="D005"/>
    <s v="Great Lakes Dairy"/>
    <s v="Midwest"/>
    <s v="P002"/>
    <s v="Whole Milk"/>
    <s v="Dairy"/>
    <n v="741"/>
    <n v="483"/>
    <n v="66"/>
    <n v="8.9"/>
    <n v="3130"/>
  </r>
  <r>
    <x v="1"/>
    <s v="D005"/>
    <s v="Great Lakes Dairy"/>
    <s v="Midwest"/>
    <s v="P003"/>
    <s v="Ground Beef"/>
    <s v="Meat"/>
    <n v="337"/>
    <n v="243"/>
    <n v="34"/>
    <n v="10.1"/>
    <n v="834.14"/>
  </r>
  <r>
    <x v="1"/>
    <s v="D005"/>
    <s v="Great Lakes Dairy"/>
    <s v="Midwest"/>
    <s v="P004"/>
    <s v="Tomatoes"/>
    <s v="Produce"/>
    <n v="488"/>
    <n v="396"/>
    <n v="25"/>
    <n v="5.0999999999999996"/>
    <n v="2496.9499999999998"/>
  </r>
  <r>
    <x v="1"/>
    <s v="D005"/>
    <s v="Great Lakes Dairy"/>
    <s v="Midwest"/>
    <s v="P005"/>
    <s v="Cheddar Cheese"/>
    <s v="Dairy"/>
    <n v="470"/>
    <n v="369"/>
    <n v="34"/>
    <n v="7.2"/>
    <n v="1034.97"/>
  </r>
  <r>
    <x v="1"/>
    <s v="D005"/>
    <s v="Great Lakes Dairy"/>
    <s v="Midwest"/>
    <s v="P006"/>
    <s v="Chicken Breast"/>
    <s v="Meat"/>
    <n v="633"/>
    <n v="553"/>
    <n v="20"/>
    <n v="3.2"/>
    <n v="1816.56"/>
  </r>
  <r>
    <x v="2"/>
    <s v="D001"/>
    <s v="Green Valley Produce"/>
    <s v="Midwest"/>
    <s v="P001"/>
    <s v="Leafy Greens"/>
    <s v="Produce"/>
    <n v="468"/>
    <n v="324"/>
    <n v="38"/>
    <n v="8.1"/>
    <n v="1900.4"/>
  </r>
  <r>
    <x v="2"/>
    <s v="D001"/>
    <s v="Green Valley Produce"/>
    <s v="Midwest"/>
    <s v="P002"/>
    <s v="Whole Milk"/>
    <s v="Dairy"/>
    <n v="314"/>
    <n v="210"/>
    <n v="38"/>
    <n v="12.1"/>
    <n v="1212.44"/>
  </r>
  <r>
    <x v="2"/>
    <s v="D001"/>
    <s v="Green Valley Produce"/>
    <s v="Midwest"/>
    <s v="P003"/>
    <s v="Ground Beef"/>
    <s v="Meat"/>
    <n v="578"/>
    <n v="466"/>
    <n v="16"/>
    <n v="2.8"/>
    <n v="2026.89"/>
  </r>
  <r>
    <x v="2"/>
    <s v="D001"/>
    <s v="Green Valley Produce"/>
    <s v="Midwest"/>
    <s v="P004"/>
    <s v="Tomatoes"/>
    <s v="Produce"/>
    <n v="240"/>
    <n v="214"/>
    <n v="7"/>
    <n v="2.9"/>
    <n v="666.99"/>
  </r>
  <r>
    <x v="2"/>
    <s v="D001"/>
    <s v="Green Valley Produce"/>
    <s v="Midwest"/>
    <s v="P005"/>
    <s v="Cheddar Cheese"/>
    <s v="Dairy"/>
    <n v="773"/>
    <n v="686"/>
    <n v="41"/>
    <n v="5.3"/>
    <n v="2351.14"/>
  </r>
  <r>
    <x v="2"/>
    <s v="D001"/>
    <s v="Green Valley Produce"/>
    <s v="Midwest"/>
    <s v="P006"/>
    <s v="Chicken Breast"/>
    <s v="Meat"/>
    <n v="442"/>
    <n v="390"/>
    <n v="33"/>
    <n v="7.5"/>
    <n v="3037.51"/>
  </r>
  <r>
    <x v="2"/>
    <s v="D002"/>
    <s v="Fresh Coast Foods"/>
    <s v="Southeast"/>
    <s v="P001"/>
    <s v="Leafy Greens"/>
    <s v="Produce"/>
    <n v="225"/>
    <n v="157"/>
    <n v="25"/>
    <n v="11.1"/>
    <n v="780.33"/>
  </r>
  <r>
    <x v="2"/>
    <s v="D002"/>
    <s v="Fresh Coast Foods"/>
    <s v="Southeast"/>
    <s v="P002"/>
    <s v="Whole Milk"/>
    <s v="Dairy"/>
    <n v="454"/>
    <n v="327"/>
    <n v="30"/>
    <n v="6.6"/>
    <n v="2528.69"/>
  </r>
  <r>
    <x v="2"/>
    <s v="D002"/>
    <s v="Fresh Coast Foods"/>
    <s v="Southeast"/>
    <s v="P003"/>
    <s v="Ground Beef"/>
    <s v="Meat"/>
    <n v="681"/>
    <n v="483"/>
    <n v="59"/>
    <n v="8.6999999999999993"/>
    <n v="2091.94"/>
  </r>
  <r>
    <x v="2"/>
    <s v="D002"/>
    <s v="Fresh Coast Foods"/>
    <s v="Southeast"/>
    <s v="P004"/>
    <s v="Tomatoes"/>
    <s v="Produce"/>
    <n v="433"/>
    <n v="307"/>
    <n v="32"/>
    <n v="7.4"/>
    <n v="1280.69"/>
  </r>
  <r>
    <x v="2"/>
    <s v="D002"/>
    <s v="Fresh Coast Foods"/>
    <s v="Southeast"/>
    <s v="P005"/>
    <s v="Cheddar Cheese"/>
    <s v="Dairy"/>
    <n v="271"/>
    <n v="246"/>
    <n v="13"/>
    <n v="4.8"/>
    <n v="1204.93"/>
  </r>
  <r>
    <x v="2"/>
    <s v="D002"/>
    <s v="Fresh Coast Foods"/>
    <s v="Southeast"/>
    <s v="P006"/>
    <s v="Chicken Breast"/>
    <s v="Meat"/>
    <n v="749"/>
    <n v="553"/>
    <n v="49"/>
    <n v="6.5"/>
    <n v="2249.21"/>
  </r>
  <r>
    <x v="2"/>
    <s v="D003"/>
    <s v="Heartland Meats"/>
    <s v="Plains"/>
    <s v="P001"/>
    <s v="Leafy Greens"/>
    <s v="Produce"/>
    <n v="794"/>
    <n v="722"/>
    <n v="18"/>
    <n v="2.2999999999999998"/>
    <n v="3687.53"/>
  </r>
  <r>
    <x v="2"/>
    <s v="D003"/>
    <s v="Heartland Meats"/>
    <s v="Plains"/>
    <s v="P002"/>
    <s v="Whole Milk"/>
    <s v="Dairy"/>
    <n v="521"/>
    <n v="400"/>
    <n v="34"/>
    <n v="6.5"/>
    <n v="3158.81"/>
  </r>
  <r>
    <x v="2"/>
    <s v="D003"/>
    <s v="Heartland Meats"/>
    <s v="Plains"/>
    <s v="P003"/>
    <s v="Ground Beef"/>
    <s v="Meat"/>
    <n v="394"/>
    <n v="283"/>
    <n v="22"/>
    <n v="5.6"/>
    <n v="2279.13"/>
  </r>
  <r>
    <x v="2"/>
    <s v="D003"/>
    <s v="Heartland Meats"/>
    <s v="Plains"/>
    <s v="P004"/>
    <s v="Tomatoes"/>
    <s v="Produce"/>
    <n v="751"/>
    <n v="627"/>
    <n v="61"/>
    <n v="8.1"/>
    <n v="2308.75"/>
  </r>
  <r>
    <x v="2"/>
    <s v="D003"/>
    <s v="Heartland Meats"/>
    <s v="Plains"/>
    <s v="P005"/>
    <s v="Cheddar Cheese"/>
    <s v="Dairy"/>
    <n v="641"/>
    <n v="428"/>
    <n v="50"/>
    <n v="7.8"/>
    <n v="1876.14"/>
  </r>
  <r>
    <x v="2"/>
    <s v="D003"/>
    <s v="Heartland Meats"/>
    <s v="Plains"/>
    <s v="P006"/>
    <s v="Chicken Breast"/>
    <s v="Meat"/>
    <n v="327"/>
    <n v="276"/>
    <n v="13"/>
    <n v="4"/>
    <n v="1366.3"/>
  </r>
  <r>
    <x v="2"/>
    <s v="D004"/>
    <s v="Southwest Organics"/>
    <s v="Southwest"/>
    <s v="P001"/>
    <s v="Leafy Greens"/>
    <s v="Produce"/>
    <n v="612"/>
    <n v="513"/>
    <n v="25"/>
    <n v="4.0999999999999996"/>
    <n v="3329.15"/>
  </r>
  <r>
    <x v="2"/>
    <s v="D004"/>
    <s v="Southwest Organics"/>
    <s v="Southwest"/>
    <s v="P002"/>
    <s v="Whole Milk"/>
    <s v="Dairy"/>
    <n v="588"/>
    <n v="489"/>
    <n v="44"/>
    <n v="7.5"/>
    <n v="2105.4899999999998"/>
  </r>
  <r>
    <x v="2"/>
    <s v="D004"/>
    <s v="Southwest Organics"/>
    <s v="Southwest"/>
    <s v="P003"/>
    <s v="Ground Beef"/>
    <s v="Meat"/>
    <n v="761"/>
    <n v="665"/>
    <n v="24"/>
    <n v="3.2"/>
    <n v="4797.68"/>
  </r>
  <r>
    <x v="2"/>
    <s v="D004"/>
    <s v="Southwest Organics"/>
    <s v="Southwest"/>
    <s v="P004"/>
    <s v="Tomatoes"/>
    <s v="Produce"/>
    <n v="529"/>
    <n v="410"/>
    <n v="25"/>
    <n v="4.7"/>
    <n v="2189.04"/>
  </r>
  <r>
    <x v="2"/>
    <s v="D004"/>
    <s v="Southwest Organics"/>
    <s v="Southwest"/>
    <s v="P005"/>
    <s v="Cheddar Cheese"/>
    <s v="Dairy"/>
    <n v="373"/>
    <n v="308"/>
    <n v="22"/>
    <n v="5.9"/>
    <n v="1914.39"/>
  </r>
  <r>
    <x v="2"/>
    <s v="D004"/>
    <s v="Southwest Organics"/>
    <s v="Southwest"/>
    <s v="P006"/>
    <s v="Chicken Breast"/>
    <s v="Meat"/>
    <n v="295"/>
    <n v="256"/>
    <n v="19"/>
    <n v="6.4"/>
    <n v="985.05"/>
  </r>
  <r>
    <x v="2"/>
    <s v="D005"/>
    <s v="Great Lakes Dairy"/>
    <s v="Midwest"/>
    <s v="P001"/>
    <s v="Leafy Greens"/>
    <s v="Produce"/>
    <n v="403"/>
    <n v="277"/>
    <n v="29"/>
    <n v="7.2"/>
    <n v="1708.44"/>
  </r>
  <r>
    <x v="2"/>
    <s v="D005"/>
    <s v="Great Lakes Dairy"/>
    <s v="Midwest"/>
    <s v="P002"/>
    <s v="Whole Milk"/>
    <s v="Dairy"/>
    <n v="274"/>
    <n v="211"/>
    <n v="23"/>
    <n v="8.4"/>
    <n v="1436.93"/>
  </r>
  <r>
    <x v="2"/>
    <s v="D005"/>
    <s v="Great Lakes Dairy"/>
    <s v="Midwest"/>
    <s v="P003"/>
    <s v="Ground Beef"/>
    <s v="Meat"/>
    <n v="593"/>
    <n v="464"/>
    <n v="36"/>
    <n v="6.1"/>
    <n v="1175.44"/>
  </r>
  <r>
    <x v="2"/>
    <s v="D005"/>
    <s v="Great Lakes Dairy"/>
    <s v="Midwest"/>
    <s v="P004"/>
    <s v="Tomatoes"/>
    <s v="Produce"/>
    <n v="309"/>
    <n v="265"/>
    <n v="19"/>
    <n v="6.1"/>
    <n v="1769"/>
  </r>
  <r>
    <x v="2"/>
    <s v="D005"/>
    <s v="Great Lakes Dairy"/>
    <s v="Midwest"/>
    <s v="P005"/>
    <s v="Cheddar Cheese"/>
    <s v="Dairy"/>
    <n v="675"/>
    <n v="447"/>
    <n v="54"/>
    <n v="8"/>
    <n v="2341.73"/>
  </r>
  <r>
    <x v="2"/>
    <s v="D005"/>
    <s v="Great Lakes Dairy"/>
    <s v="Midwest"/>
    <s v="P006"/>
    <s v="Chicken Breast"/>
    <s v="Meat"/>
    <n v="675"/>
    <n v="560"/>
    <n v="51"/>
    <n v="7.6"/>
    <n v="4592.13"/>
  </r>
  <r>
    <x v="3"/>
    <s v="D001"/>
    <s v="Green Valley Produce"/>
    <s v="Midwest"/>
    <s v="P001"/>
    <s v="Leafy Greens"/>
    <s v="Produce"/>
    <n v="653"/>
    <n v="532"/>
    <n v="43"/>
    <n v="6.6"/>
    <n v="3981.18"/>
  </r>
  <r>
    <x v="3"/>
    <s v="D001"/>
    <s v="Green Valley Produce"/>
    <s v="Midwest"/>
    <s v="P002"/>
    <s v="Whole Milk"/>
    <s v="Dairy"/>
    <n v="761"/>
    <n v="586"/>
    <n v="52"/>
    <n v="6.8"/>
    <n v="3047.45"/>
  </r>
  <r>
    <x v="3"/>
    <s v="D001"/>
    <s v="Green Valley Produce"/>
    <s v="Midwest"/>
    <s v="P003"/>
    <s v="Ground Beef"/>
    <s v="Meat"/>
    <n v="453"/>
    <n v="397"/>
    <n v="27"/>
    <n v="6"/>
    <n v="2146.81"/>
  </r>
  <r>
    <x v="3"/>
    <s v="D001"/>
    <s v="Green Valley Produce"/>
    <s v="Midwest"/>
    <s v="P004"/>
    <s v="Tomatoes"/>
    <s v="Produce"/>
    <n v="444"/>
    <n v="321"/>
    <n v="17"/>
    <n v="3.8"/>
    <n v="1325.82"/>
  </r>
  <r>
    <x v="3"/>
    <s v="D001"/>
    <s v="Green Valley Produce"/>
    <s v="Midwest"/>
    <s v="P005"/>
    <s v="Cheddar Cheese"/>
    <s v="Dairy"/>
    <n v="527"/>
    <n v="469"/>
    <n v="12"/>
    <n v="2.2999999999999998"/>
    <n v="2250.36"/>
  </r>
  <r>
    <x v="3"/>
    <s v="D001"/>
    <s v="Green Valley Produce"/>
    <s v="Midwest"/>
    <s v="P006"/>
    <s v="Chicken Breast"/>
    <s v="Meat"/>
    <n v="356"/>
    <n v="299"/>
    <n v="13"/>
    <n v="3.7"/>
    <n v="1720.94"/>
  </r>
  <r>
    <x v="3"/>
    <s v="D002"/>
    <s v="Fresh Coast Foods"/>
    <s v="Southeast"/>
    <s v="P001"/>
    <s v="Leafy Greens"/>
    <s v="Produce"/>
    <n v="625"/>
    <n v="416"/>
    <n v="58"/>
    <n v="9.3000000000000007"/>
    <n v="2961.41"/>
  </r>
  <r>
    <x v="3"/>
    <s v="D002"/>
    <s v="Fresh Coast Foods"/>
    <s v="Southeast"/>
    <s v="P002"/>
    <s v="Whole Milk"/>
    <s v="Dairy"/>
    <n v="220"/>
    <n v="193"/>
    <n v="11"/>
    <n v="5"/>
    <n v="489.33"/>
  </r>
  <r>
    <x v="3"/>
    <s v="D002"/>
    <s v="Fresh Coast Foods"/>
    <s v="Southeast"/>
    <s v="P003"/>
    <s v="Ground Beef"/>
    <s v="Meat"/>
    <n v="560"/>
    <n v="409"/>
    <n v="47"/>
    <n v="8.4"/>
    <n v="3073.38"/>
  </r>
  <r>
    <x v="3"/>
    <s v="D002"/>
    <s v="Fresh Coast Foods"/>
    <s v="Southeast"/>
    <s v="P004"/>
    <s v="Tomatoes"/>
    <s v="Produce"/>
    <n v="751"/>
    <n v="639"/>
    <n v="45"/>
    <n v="6"/>
    <n v="2443.0500000000002"/>
  </r>
  <r>
    <x v="3"/>
    <s v="D002"/>
    <s v="Fresh Coast Foods"/>
    <s v="Southeast"/>
    <s v="P005"/>
    <s v="Cheddar Cheese"/>
    <s v="Dairy"/>
    <n v="424"/>
    <n v="306"/>
    <n v="27"/>
    <n v="6.4"/>
    <n v="1993.05"/>
  </r>
  <r>
    <x v="3"/>
    <s v="D002"/>
    <s v="Fresh Coast Foods"/>
    <s v="Southeast"/>
    <s v="P006"/>
    <s v="Chicken Breast"/>
    <s v="Meat"/>
    <n v="614"/>
    <n v="519"/>
    <n v="52"/>
    <n v="8.5"/>
    <n v="4351.47"/>
  </r>
  <r>
    <x v="3"/>
    <s v="D003"/>
    <s v="Heartland Meats"/>
    <s v="Plains"/>
    <s v="P001"/>
    <s v="Leafy Greens"/>
    <s v="Produce"/>
    <n v="746"/>
    <n v="490"/>
    <n v="56"/>
    <n v="7.5"/>
    <n v="1304.68"/>
  </r>
  <r>
    <x v="3"/>
    <s v="D003"/>
    <s v="Heartland Meats"/>
    <s v="Plains"/>
    <s v="P002"/>
    <s v="Whole Milk"/>
    <s v="Dairy"/>
    <n v="638"/>
    <n v="438"/>
    <n v="32"/>
    <n v="5"/>
    <n v="2091.2800000000002"/>
  </r>
  <r>
    <x v="3"/>
    <s v="D003"/>
    <s v="Heartland Meats"/>
    <s v="Plains"/>
    <s v="P003"/>
    <s v="Ground Beef"/>
    <s v="Meat"/>
    <n v="416"/>
    <n v="321"/>
    <n v="32"/>
    <n v="7.7"/>
    <n v="1338.42"/>
  </r>
  <r>
    <x v="3"/>
    <s v="D003"/>
    <s v="Heartland Meats"/>
    <s v="Plains"/>
    <s v="P004"/>
    <s v="Tomatoes"/>
    <s v="Produce"/>
    <n v="631"/>
    <n v="453"/>
    <n v="16"/>
    <n v="2.5"/>
    <n v="2598.64"/>
  </r>
  <r>
    <x v="3"/>
    <s v="D003"/>
    <s v="Heartland Meats"/>
    <s v="Plains"/>
    <s v="P005"/>
    <s v="Cheddar Cheese"/>
    <s v="Dairy"/>
    <n v="558"/>
    <n v="396"/>
    <n v="40"/>
    <n v="7.2"/>
    <n v="1085.6500000000001"/>
  </r>
  <r>
    <x v="3"/>
    <s v="D003"/>
    <s v="Heartland Meats"/>
    <s v="Plains"/>
    <s v="P006"/>
    <s v="Chicken Breast"/>
    <s v="Meat"/>
    <n v="231"/>
    <n v="209"/>
    <n v="4"/>
    <n v="1.7"/>
    <n v="713.59"/>
  </r>
  <r>
    <x v="3"/>
    <s v="D004"/>
    <s v="Southwest Organics"/>
    <s v="Southwest"/>
    <s v="P001"/>
    <s v="Leafy Greens"/>
    <s v="Produce"/>
    <n v="329"/>
    <n v="255"/>
    <n v="23"/>
    <n v="7"/>
    <n v="1349"/>
  </r>
  <r>
    <x v="3"/>
    <s v="D004"/>
    <s v="Southwest Organics"/>
    <s v="Southwest"/>
    <s v="P002"/>
    <s v="Whole Milk"/>
    <s v="Dairy"/>
    <n v="462"/>
    <n v="395"/>
    <n v="23"/>
    <n v="5"/>
    <n v="2760.08"/>
  </r>
  <r>
    <x v="3"/>
    <s v="D004"/>
    <s v="Southwest Organics"/>
    <s v="Southwest"/>
    <s v="P003"/>
    <s v="Ground Beef"/>
    <s v="Meat"/>
    <n v="317"/>
    <n v="272"/>
    <n v="11"/>
    <n v="3.5"/>
    <n v="1624.41"/>
  </r>
  <r>
    <x v="3"/>
    <s v="D004"/>
    <s v="Southwest Organics"/>
    <s v="Southwest"/>
    <s v="P004"/>
    <s v="Tomatoes"/>
    <s v="Produce"/>
    <n v="519"/>
    <n v="418"/>
    <n v="35"/>
    <n v="6.7"/>
    <n v="3406.21"/>
  </r>
  <r>
    <x v="3"/>
    <s v="D004"/>
    <s v="Southwest Organics"/>
    <s v="Southwest"/>
    <s v="P005"/>
    <s v="Cheddar Cheese"/>
    <s v="Dairy"/>
    <n v="403"/>
    <n v="270"/>
    <n v="38"/>
    <n v="9.4"/>
    <n v="840.08"/>
  </r>
  <r>
    <x v="3"/>
    <s v="D004"/>
    <s v="Southwest Organics"/>
    <s v="Southwest"/>
    <s v="P006"/>
    <s v="Chicken Breast"/>
    <s v="Meat"/>
    <n v="508"/>
    <n v="446"/>
    <n v="17"/>
    <n v="3.3"/>
    <n v="3747.77"/>
  </r>
  <r>
    <x v="3"/>
    <s v="D005"/>
    <s v="Great Lakes Dairy"/>
    <s v="Midwest"/>
    <s v="P001"/>
    <s v="Leafy Greens"/>
    <s v="Produce"/>
    <n v="242"/>
    <n v="179"/>
    <n v="14"/>
    <n v="5.8"/>
    <n v="990.9"/>
  </r>
  <r>
    <x v="3"/>
    <s v="D005"/>
    <s v="Great Lakes Dairy"/>
    <s v="Midwest"/>
    <s v="P002"/>
    <s v="Whole Milk"/>
    <s v="Dairy"/>
    <n v="549"/>
    <n v="358"/>
    <n v="41"/>
    <n v="7.5"/>
    <n v="1826.21"/>
  </r>
  <r>
    <x v="3"/>
    <s v="D005"/>
    <s v="Great Lakes Dairy"/>
    <s v="Midwest"/>
    <s v="P003"/>
    <s v="Ground Beef"/>
    <s v="Meat"/>
    <n v="570"/>
    <n v="468"/>
    <n v="45"/>
    <n v="7.9"/>
    <n v="2392.85"/>
  </r>
  <r>
    <x v="3"/>
    <s v="D005"/>
    <s v="Great Lakes Dairy"/>
    <s v="Midwest"/>
    <s v="P004"/>
    <s v="Tomatoes"/>
    <s v="Produce"/>
    <n v="734"/>
    <n v="668"/>
    <n v="42"/>
    <n v="5.7"/>
    <n v="3827"/>
  </r>
  <r>
    <x v="3"/>
    <s v="D005"/>
    <s v="Great Lakes Dairy"/>
    <s v="Midwest"/>
    <s v="P005"/>
    <s v="Cheddar Cheese"/>
    <s v="Dairy"/>
    <n v="695"/>
    <n v="538"/>
    <n v="57"/>
    <n v="8.1999999999999993"/>
    <n v="2385.4"/>
  </r>
  <r>
    <x v="3"/>
    <s v="D005"/>
    <s v="Great Lakes Dairy"/>
    <s v="Midwest"/>
    <s v="P006"/>
    <s v="Chicken Breast"/>
    <s v="Meat"/>
    <n v="451"/>
    <n v="394"/>
    <n v="27"/>
    <n v="6"/>
    <n v="1561.49"/>
  </r>
  <r>
    <x v="4"/>
    <s v="D001"/>
    <s v="Green Valley Produce"/>
    <s v="Midwest"/>
    <s v="P001"/>
    <s v="Leafy Greens"/>
    <s v="Produce"/>
    <n v="675"/>
    <n v="542"/>
    <n v="39"/>
    <n v="5.8"/>
    <n v="2962.48"/>
  </r>
  <r>
    <x v="4"/>
    <s v="D001"/>
    <s v="Green Valley Produce"/>
    <s v="Midwest"/>
    <s v="P002"/>
    <s v="Whole Milk"/>
    <s v="Dairy"/>
    <n v="532"/>
    <n v="371"/>
    <n v="39"/>
    <n v="7.3"/>
    <n v="1685.09"/>
  </r>
  <r>
    <x v="4"/>
    <s v="D001"/>
    <s v="Green Valley Produce"/>
    <s v="Midwest"/>
    <s v="P003"/>
    <s v="Ground Beef"/>
    <s v="Meat"/>
    <n v="482"/>
    <n v="385"/>
    <n v="22"/>
    <n v="4.5999999999999996"/>
    <n v="1520.03"/>
  </r>
  <r>
    <x v="4"/>
    <s v="D001"/>
    <s v="Green Valley Produce"/>
    <s v="Midwest"/>
    <s v="P004"/>
    <s v="Tomatoes"/>
    <s v="Produce"/>
    <n v="616"/>
    <n v="481"/>
    <n v="51"/>
    <n v="8.3000000000000007"/>
    <n v="3066.58"/>
  </r>
  <r>
    <x v="4"/>
    <s v="D001"/>
    <s v="Green Valley Produce"/>
    <s v="Midwest"/>
    <s v="P005"/>
    <s v="Cheddar Cheese"/>
    <s v="Dairy"/>
    <n v="702"/>
    <n v="541"/>
    <n v="24"/>
    <n v="3.4"/>
    <n v="2665.19"/>
  </r>
  <r>
    <x v="4"/>
    <s v="D001"/>
    <s v="Green Valley Produce"/>
    <s v="Midwest"/>
    <s v="P006"/>
    <s v="Chicken Breast"/>
    <s v="Meat"/>
    <n v="449"/>
    <n v="328"/>
    <n v="32"/>
    <n v="7.1"/>
    <n v="1864.85"/>
  </r>
  <r>
    <x v="4"/>
    <s v="D002"/>
    <s v="Fresh Coast Foods"/>
    <s v="Southeast"/>
    <s v="P001"/>
    <s v="Leafy Greens"/>
    <s v="Produce"/>
    <n v="635"/>
    <n v="583"/>
    <n v="24"/>
    <n v="3.8"/>
    <n v="3044.7"/>
  </r>
  <r>
    <x v="4"/>
    <s v="D002"/>
    <s v="Fresh Coast Foods"/>
    <s v="Southeast"/>
    <s v="P002"/>
    <s v="Whole Milk"/>
    <s v="Dairy"/>
    <n v="513"/>
    <n v="368"/>
    <n v="19"/>
    <n v="3.7"/>
    <n v="1183.98"/>
  </r>
  <r>
    <x v="4"/>
    <s v="D002"/>
    <s v="Fresh Coast Foods"/>
    <s v="Southeast"/>
    <s v="P003"/>
    <s v="Ground Beef"/>
    <s v="Meat"/>
    <n v="748"/>
    <n v="678"/>
    <n v="26"/>
    <n v="3.5"/>
    <n v="4699.6400000000003"/>
  </r>
  <r>
    <x v="4"/>
    <s v="D002"/>
    <s v="Fresh Coast Foods"/>
    <s v="Southeast"/>
    <s v="P004"/>
    <s v="Tomatoes"/>
    <s v="Produce"/>
    <n v="483"/>
    <n v="408"/>
    <n v="33"/>
    <n v="6.8"/>
    <n v="1712.78"/>
  </r>
  <r>
    <x v="4"/>
    <s v="D002"/>
    <s v="Fresh Coast Foods"/>
    <s v="Southeast"/>
    <s v="P005"/>
    <s v="Cheddar Cheese"/>
    <s v="Dairy"/>
    <n v="302"/>
    <n v="264"/>
    <n v="12"/>
    <n v="4"/>
    <n v="1138.79"/>
  </r>
  <r>
    <x v="4"/>
    <s v="D002"/>
    <s v="Fresh Coast Foods"/>
    <s v="Southeast"/>
    <s v="P006"/>
    <s v="Chicken Breast"/>
    <s v="Meat"/>
    <n v="746"/>
    <n v="510"/>
    <n v="20"/>
    <n v="2.7"/>
    <n v="2168.94"/>
  </r>
  <r>
    <x v="4"/>
    <s v="D003"/>
    <s v="Heartland Meats"/>
    <s v="Plains"/>
    <s v="P001"/>
    <s v="Leafy Greens"/>
    <s v="Produce"/>
    <n v="329"/>
    <n v="270"/>
    <n v="15"/>
    <n v="4.5999999999999996"/>
    <n v="694.87"/>
  </r>
  <r>
    <x v="4"/>
    <s v="D003"/>
    <s v="Heartland Meats"/>
    <s v="Plains"/>
    <s v="P002"/>
    <s v="Whole Milk"/>
    <s v="Dairy"/>
    <n v="491"/>
    <n v="381"/>
    <n v="22"/>
    <n v="4.5"/>
    <n v="1069.95"/>
  </r>
  <r>
    <x v="4"/>
    <s v="D003"/>
    <s v="Heartland Meats"/>
    <s v="Plains"/>
    <s v="P003"/>
    <s v="Ground Beef"/>
    <s v="Meat"/>
    <n v="689"/>
    <n v="469"/>
    <n v="35"/>
    <n v="5.0999999999999996"/>
    <n v="2796.24"/>
  </r>
  <r>
    <x v="4"/>
    <s v="D003"/>
    <s v="Heartland Meats"/>
    <s v="Plains"/>
    <s v="P004"/>
    <s v="Tomatoes"/>
    <s v="Produce"/>
    <n v="254"/>
    <n v="175"/>
    <n v="29"/>
    <n v="11.4"/>
    <n v="526.94000000000005"/>
  </r>
  <r>
    <x v="4"/>
    <s v="D003"/>
    <s v="Heartland Meats"/>
    <s v="Plains"/>
    <s v="P005"/>
    <s v="Cheddar Cheese"/>
    <s v="Dairy"/>
    <n v="454"/>
    <n v="309"/>
    <n v="44"/>
    <n v="9.6999999999999993"/>
    <n v="2238.5300000000002"/>
  </r>
  <r>
    <x v="4"/>
    <s v="D003"/>
    <s v="Heartland Meats"/>
    <s v="Plains"/>
    <s v="P006"/>
    <s v="Chicken Breast"/>
    <s v="Meat"/>
    <n v="431"/>
    <n v="370"/>
    <n v="30"/>
    <n v="7"/>
    <n v="1585.12"/>
  </r>
  <r>
    <x v="4"/>
    <s v="D004"/>
    <s v="Southwest Organics"/>
    <s v="Southwest"/>
    <s v="P001"/>
    <s v="Leafy Greens"/>
    <s v="Produce"/>
    <n v="639"/>
    <n v="468"/>
    <n v="51"/>
    <n v="8"/>
    <n v="3248.17"/>
  </r>
  <r>
    <x v="4"/>
    <s v="D004"/>
    <s v="Southwest Organics"/>
    <s v="Southwest"/>
    <s v="P002"/>
    <s v="Whole Milk"/>
    <s v="Dairy"/>
    <n v="412"/>
    <n v="337"/>
    <n v="12"/>
    <n v="2.9"/>
    <n v="1327.51"/>
  </r>
  <r>
    <x v="4"/>
    <s v="D004"/>
    <s v="Southwest Organics"/>
    <s v="Southwest"/>
    <s v="P003"/>
    <s v="Ground Beef"/>
    <s v="Meat"/>
    <n v="765"/>
    <n v="512"/>
    <n v="35"/>
    <n v="4.5999999999999996"/>
    <n v="3104.19"/>
  </r>
  <r>
    <x v="4"/>
    <s v="D004"/>
    <s v="Southwest Organics"/>
    <s v="Southwest"/>
    <s v="P004"/>
    <s v="Tomatoes"/>
    <s v="Produce"/>
    <n v="498"/>
    <n v="328"/>
    <n v="27"/>
    <n v="5.4"/>
    <n v="2511.71"/>
  </r>
  <r>
    <x v="4"/>
    <s v="D004"/>
    <s v="Southwest Organics"/>
    <s v="Southwest"/>
    <s v="P005"/>
    <s v="Cheddar Cheese"/>
    <s v="Dairy"/>
    <n v="272"/>
    <n v="227"/>
    <n v="22"/>
    <n v="8.1"/>
    <n v="1418.83"/>
  </r>
  <r>
    <x v="4"/>
    <s v="D004"/>
    <s v="Southwest Organics"/>
    <s v="Southwest"/>
    <s v="P006"/>
    <s v="Chicken Breast"/>
    <s v="Meat"/>
    <n v="402"/>
    <n v="307"/>
    <n v="30"/>
    <n v="7.5"/>
    <n v="2440.79"/>
  </r>
  <r>
    <x v="4"/>
    <s v="D005"/>
    <s v="Great Lakes Dairy"/>
    <s v="Midwest"/>
    <s v="P001"/>
    <s v="Leafy Greens"/>
    <s v="Produce"/>
    <n v="345"/>
    <n v="230"/>
    <n v="16"/>
    <n v="4.5999999999999996"/>
    <n v="1608.56"/>
  </r>
  <r>
    <x v="4"/>
    <s v="D005"/>
    <s v="Great Lakes Dairy"/>
    <s v="Midwest"/>
    <s v="P002"/>
    <s v="Whole Milk"/>
    <s v="Dairy"/>
    <n v="782"/>
    <n v="702"/>
    <n v="35"/>
    <n v="4.5"/>
    <n v="3035.83"/>
  </r>
  <r>
    <x v="4"/>
    <s v="D005"/>
    <s v="Great Lakes Dairy"/>
    <s v="Midwest"/>
    <s v="P003"/>
    <s v="Ground Beef"/>
    <s v="Meat"/>
    <n v="612"/>
    <n v="553"/>
    <n v="28"/>
    <n v="4.5999999999999996"/>
    <n v="1649.41"/>
  </r>
  <r>
    <x v="4"/>
    <s v="D005"/>
    <s v="Great Lakes Dairy"/>
    <s v="Midwest"/>
    <s v="P004"/>
    <s v="Tomatoes"/>
    <s v="Produce"/>
    <n v="240"/>
    <n v="213"/>
    <n v="14"/>
    <n v="5.8"/>
    <n v="565.55999999999995"/>
  </r>
  <r>
    <x v="4"/>
    <s v="D005"/>
    <s v="Great Lakes Dairy"/>
    <s v="Midwest"/>
    <s v="P005"/>
    <s v="Cheddar Cheese"/>
    <s v="Dairy"/>
    <n v="434"/>
    <n v="394"/>
    <n v="24"/>
    <n v="5.5"/>
    <n v="3232.66"/>
  </r>
  <r>
    <x v="4"/>
    <s v="D005"/>
    <s v="Great Lakes Dairy"/>
    <s v="Midwest"/>
    <s v="P006"/>
    <s v="Chicken Breast"/>
    <s v="Meat"/>
    <n v="475"/>
    <n v="382"/>
    <n v="25"/>
    <n v="5.3"/>
    <n v="2144.4699999999998"/>
  </r>
  <r>
    <x v="5"/>
    <s v="D001"/>
    <s v="Green Valley Produce"/>
    <s v="Midwest"/>
    <s v="P001"/>
    <s v="Leafy Greens"/>
    <s v="Produce"/>
    <n v="652"/>
    <n v="585"/>
    <n v="30"/>
    <n v="4.5999999999999996"/>
    <n v="3690.59"/>
  </r>
  <r>
    <x v="5"/>
    <s v="D001"/>
    <s v="Green Valley Produce"/>
    <s v="Midwest"/>
    <s v="P002"/>
    <s v="Whole Milk"/>
    <s v="Dairy"/>
    <n v="703"/>
    <n v="640"/>
    <n v="29"/>
    <n v="4.0999999999999996"/>
    <n v="2832.86"/>
  </r>
  <r>
    <x v="5"/>
    <s v="D001"/>
    <s v="Green Valley Produce"/>
    <s v="Midwest"/>
    <s v="P003"/>
    <s v="Ground Beef"/>
    <s v="Meat"/>
    <n v="307"/>
    <n v="270"/>
    <n v="17"/>
    <n v="5.5"/>
    <n v="1141.9100000000001"/>
  </r>
  <r>
    <x v="5"/>
    <s v="D001"/>
    <s v="Green Valley Produce"/>
    <s v="Midwest"/>
    <s v="P004"/>
    <s v="Tomatoes"/>
    <s v="Produce"/>
    <n v="610"/>
    <n v="530"/>
    <n v="31"/>
    <n v="5.0999999999999996"/>
    <n v="2325.16"/>
  </r>
  <r>
    <x v="5"/>
    <s v="D001"/>
    <s v="Green Valley Produce"/>
    <s v="Midwest"/>
    <s v="P005"/>
    <s v="Cheddar Cheese"/>
    <s v="Dairy"/>
    <n v="531"/>
    <n v="361"/>
    <n v="58"/>
    <n v="10.9"/>
    <n v="2689.29"/>
  </r>
  <r>
    <x v="5"/>
    <s v="D001"/>
    <s v="Green Valley Produce"/>
    <s v="Midwest"/>
    <s v="P006"/>
    <s v="Chicken Breast"/>
    <s v="Meat"/>
    <n v="201"/>
    <n v="166"/>
    <n v="10"/>
    <n v="5"/>
    <n v="601.83000000000004"/>
  </r>
  <r>
    <x v="5"/>
    <s v="D002"/>
    <s v="Fresh Coast Foods"/>
    <s v="Southeast"/>
    <s v="P001"/>
    <s v="Leafy Greens"/>
    <s v="Produce"/>
    <n v="570"/>
    <n v="466"/>
    <n v="31"/>
    <n v="5.4"/>
    <n v="1309.31"/>
  </r>
  <r>
    <x v="5"/>
    <s v="D002"/>
    <s v="Fresh Coast Foods"/>
    <s v="Southeast"/>
    <s v="P002"/>
    <s v="Whole Milk"/>
    <s v="Dairy"/>
    <n v="473"/>
    <n v="377"/>
    <n v="34"/>
    <n v="7.2"/>
    <n v="2521.94"/>
  </r>
  <r>
    <x v="5"/>
    <s v="D002"/>
    <s v="Fresh Coast Foods"/>
    <s v="Southeast"/>
    <s v="P003"/>
    <s v="Ground Beef"/>
    <s v="Meat"/>
    <n v="324"/>
    <n v="213"/>
    <n v="33"/>
    <n v="10.199999999999999"/>
    <n v="1439.6"/>
  </r>
  <r>
    <x v="5"/>
    <s v="D002"/>
    <s v="Fresh Coast Foods"/>
    <s v="Southeast"/>
    <s v="P004"/>
    <s v="Tomatoes"/>
    <s v="Produce"/>
    <n v="518"/>
    <n v="413"/>
    <n v="22"/>
    <n v="4.2"/>
    <n v="3491.31"/>
  </r>
  <r>
    <x v="5"/>
    <s v="D002"/>
    <s v="Fresh Coast Foods"/>
    <s v="Southeast"/>
    <s v="P005"/>
    <s v="Cheddar Cheese"/>
    <s v="Dairy"/>
    <n v="316"/>
    <n v="244"/>
    <n v="20"/>
    <n v="6.3"/>
    <n v="1339.62"/>
  </r>
  <r>
    <x v="5"/>
    <s v="D002"/>
    <s v="Fresh Coast Foods"/>
    <s v="Southeast"/>
    <s v="P006"/>
    <s v="Chicken Breast"/>
    <s v="Meat"/>
    <n v="498"/>
    <n v="392"/>
    <n v="35"/>
    <n v="7"/>
    <n v="3285.54"/>
  </r>
  <r>
    <x v="5"/>
    <s v="D003"/>
    <s v="Heartland Meats"/>
    <s v="Plains"/>
    <s v="P001"/>
    <s v="Leafy Greens"/>
    <s v="Produce"/>
    <n v="449"/>
    <n v="347"/>
    <n v="15"/>
    <n v="3.3"/>
    <n v="2115.4"/>
  </r>
  <r>
    <x v="5"/>
    <s v="D003"/>
    <s v="Heartland Meats"/>
    <s v="Plains"/>
    <s v="P002"/>
    <s v="Whole Milk"/>
    <s v="Dairy"/>
    <n v="339"/>
    <n v="299"/>
    <n v="20"/>
    <n v="5.9"/>
    <n v="1491.91"/>
  </r>
  <r>
    <x v="5"/>
    <s v="D003"/>
    <s v="Heartland Meats"/>
    <s v="Plains"/>
    <s v="P003"/>
    <s v="Ground Beef"/>
    <s v="Meat"/>
    <n v="719"/>
    <n v="519"/>
    <n v="41"/>
    <n v="5.7"/>
    <n v="3905.4"/>
  </r>
  <r>
    <x v="5"/>
    <s v="D003"/>
    <s v="Heartland Meats"/>
    <s v="Plains"/>
    <s v="P004"/>
    <s v="Tomatoes"/>
    <s v="Produce"/>
    <n v="793"/>
    <n v="729"/>
    <n v="22"/>
    <n v="2.8"/>
    <n v="4178.25"/>
  </r>
  <r>
    <x v="5"/>
    <s v="D003"/>
    <s v="Heartland Meats"/>
    <s v="Plains"/>
    <s v="P005"/>
    <s v="Cheddar Cheese"/>
    <s v="Dairy"/>
    <n v="553"/>
    <n v="409"/>
    <n v="41"/>
    <n v="7.4"/>
    <n v="3311.72"/>
  </r>
  <r>
    <x v="5"/>
    <s v="D003"/>
    <s v="Heartland Meats"/>
    <s v="Plains"/>
    <s v="P006"/>
    <s v="Chicken Breast"/>
    <s v="Meat"/>
    <n v="393"/>
    <n v="359"/>
    <n v="14"/>
    <n v="3.6"/>
    <n v="2741.35"/>
  </r>
  <r>
    <x v="5"/>
    <s v="D004"/>
    <s v="Southwest Organics"/>
    <s v="Southwest"/>
    <s v="P001"/>
    <s v="Leafy Greens"/>
    <s v="Produce"/>
    <n v="620"/>
    <n v="410"/>
    <n v="64"/>
    <n v="10.3"/>
    <n v="3021.07"/>
  </r>
  <r>
    <x v="5"/>
    <s v="D004"/>
    <s v="Southwest Organics"/>
    <s v="Southwest"/>
    <s v="P002"/>
    <s v="Whole Milk"/>
    <s v="Dairy"/>
    <n v="595"/>
    <n v="545"/>
    <n v="34"/>
    <n v="5.7"/>
    <n v="1859.88"/>
  </r>
  <r>
    <x v="5"/>
    <s v="D004"/>
    <s v="Southwest Organics"/>
    <s v="Southwest"/>
    <s v="P003"/>
    <s v="Ground Beef"/>
    <s v="Meat"/>
    <n v="237"/>
    <n v="162"/>
    <n v="22"/>
    <n v="9.3000000000000007"/>
    <n v="502.55"/>
  </r>
  <r>
    <x v="5"/>
    <s v="D004"/>
    <s v="Southwest Organics"/>
    <s v="Southwest"/>
    <s v="P004"/>
    <s v="Tomatoes"/>
    <s v="Produce"/>
    <n v="650"/>
    <n v="439"/>
    <n v="50"/>
    <n v="7.7"/>
    <n v="1477.21"/>
  </r>
  <r>
    <x v="5"/>
    <s v="D004"/>
    <s v="Southwest Organics"/>
    <s v="Southwest"/>
    <s v="P005"/>
    <s v="Cheddar Cheese"/>
    <s v="Dairy"/>
    <n v="358"/>
    <n v="239"/>
    <n v="29"/>
    <n v="8.1"/>
    <n v="1491.25"/>
  </r>
  <r>
    <x v="5"/>
    <s v="D004"/>
    <s v="Southwest Organics"/>
    <s v="Southwest"/>
    <s v="P006"/>
    <s v="Chicken Breast"/>
    <s v="Meat"/>
    <n v="607"/>
    <n v="501"/>
    <n v="52"/>
    <n v="8.6"/>
    <n v="3835.68"/>
  </r>
  <r>
    <x v="5"/>
    <s v="D005"/>
    <s v="Great Lakes Dairy"/>
    <s v="Midwest"/>
    <s v="P001"/>
    <s v="Leafy Greens"/>
    <s v="Produce"/>
    <n v="589"/>
    <n v="534"/>
    <n v="40"/>
    <n v="6.8"/>
    <n v="2898.38"/>
  </r>
  <r>
    <x v="5"/>
    <s v="D005"/>
    <s v="Great Lakes Dairy"/>
    <s v="Midwest"/>
    <s v="P002"/>
    <s v="Whole Milk"/>
    <s v="Dairy"/>
    <n v="754"/>
    <n v="497"/>
    <n v="44"/>
    <n v="5.8"/>
    <n v="3988.71"/>
  </r>
  <r>
    <x v="5"/>
    <s v="D005"/>
    <s v="Great Lakes Dairy"/>
    <s v="Midwest"/>
    <s v="P003"/>
    <s v="Ground Beef"/>
    <s v="Meat"/>
    <n v="432"/>
    <n v="367"/>
    <n v="14"/>
    <n v="3.2"/>
    <n v="2313.0100000000002"/>
  </r>
  <r>
    <x v="5"/>
    <s v="D005"/>
    <s v="Great Lakes Dairy"/>
    <s v="Midwest"/>
    <s v="P004"/>
    <s v="Tomatoes"/>
    <s v="Produce"/>
    <n v="302"/>
    <n v="232"/>
    <n v="28"/>
    <n v="9.3000000000000007"/>
    <n v="644.02"/>
  </r>
  <r>
    <x v="5"/>
    <s v="D005"/>
    <s v="Great Lakes Dairy"/>
    <s v="Midwest"/>
    <s v="P005"/>
    <s v="Cheddar Cheese"/>
    <s v="Dairy"/>
    <n v="257"/>
    <n v="187"/>
    <n v="11"/>
    <n v="4.3"/>
    <n v="1063.47"/>
  </r>
  <r>
    <x v="5"/>
    <s v="D005"/>
    <s v="Great Lakes Dairy"/>
    <s v="Midwest"/>
    <s v="P006"/>
    <s v="Chicken Breast"/>
    <s v="Meat"/>
    <n v="779"/>
    <n v="649"/>
    <n v="24"/>
    <n v="3.1"/>
    <n v="3995.86"/>
  </r>
  <r>
    <x v="6"/>
    <s v="D001"/>
    <s v="Green Valley Produce"/>
    <s v="Midwest"/>
    <s v="P001"/>
    <s v="Leafy Greens"/>
    <s v="Produce"/>
    <n v="591"/>
    <n v="483"/>
    <n v="41"/>
    <n v="6.9"/>
    <n v="1622.26"/>
  </r>
  <r>
    <x v="6"/>
    <s v="D001"/>
    <s v="Green Valley Produce"/>
    <s v="Midwest"/>
    <s v="P002"/>
    <s v="Whole Milk"/>
    <s v="Dairy"/>
    <n v="672"/>
    <n v="552"/>
    <n v="43"/>
    <n v="6.4"/>
    <n v="4357.1899999999996"/>
  </r>
  <r>
    <x v="6"/>
    <s v="D001"/>
    <s v="Green Valley Produce"/>
    <s v="Midwest"/>
    <s v="P003"/>
    <s v="Ground Beef"/>
    <s v="Meat"/>
    <n v="676"/>
    <n v="603"/>
    <n v="23"/>
    <n v="3.4"/>
    <n v="3105.68"/>
  </r>
  <r>
    <x v="6"/>
    <s v="D001"/>
    <s v="Green Valley Produce"/>
    <s v="Midwest"/>
    <s v="P004"/>
    <s v="Tomatoes"/>
    <s v="Produce"/>
    <n v="553"/>
    <n v="506"/>
    <n v="36"/>
    <n v="6.5"/>
    <n v="3360.79"/>
  </r>
  <r>
    <x v="6"/>
    <s v="D001"/>
    <s v="Green Valley Produce"/>
    <s v="Midwest"/>
    <s v="P005"/>
    <s v="Cheddar Cheese"/>
    <s v="Dairy"/>
    <n v="667"/>
    <n v="585"/>
    <n v="25"/>
    <n v="3.7"/>
    <n v="3158.56"/>
  </r>
  <r>
    <x v="6"/>
    <s v="D001"/>
    <s v="Green Valley Produce"/>
    <s v="Midwest"/>
    <s v="P006"/>
    <s v="Chicken Breast"/>
    <s v="Meat"/>
    <n v="442"/>
    <n v="332"/>
    <n v="22"/>
    <n v="5"/>
    <n v="2222.96"/>
  </r>
  <r>
    <x v="6"/>
    <s v="D002"/>
    <s v="Fresh Coast Foods"/>
    <s v="Southeast"/>
    <s v="P001"/>
    <s v="Leafy Greens"/>
    <s v="Produce"/>
    <n v="222"/>
    <n v="202"/>
    <n v="8"/>
    <n v="3.6"/>
    <n v="1190.9100000000001"/>
  </r>
  <r>
    <x v="6"/>
    <s v="D002"/>
    <s v="Fresh Coast Foods"/>
    <s v="Southeast"/>
    <s v="P002"/>
    <s v="Whole Milk"/>
    <s v="Dairy"/>
    <n v="250"/>
    <n v="223"/>
    <n v="17"/>
    <n v="6.8"/>
    <n v="1765.63"/>
  </r>
  <r>
    <x v="6"/>
    <s v="D002"/>
    <s v="Fresh Coast Foods"/>
    <s v="Southeast"/>
    <s v="P003"/>
    <s v="Ground Beef"/>
    <s v="Meat"/>
    <n v="435"/>
    <n v="354"/>
    <n v="26"/>
    <n v="6"/>
    <n v="2203.77"/>
  </r>
  <r>
    <x v="6"/>
    <s v="D002"/>
    <s v="Fresh Coast Foods"/>
    <s v="Southeast"/>
    <s v="P004"/>
    <s v="Tomatoes"/>
    <s v="Produce"/>
    <n v="340"/>
    <n v="278"/>
    <n v="26"/>
    <n v="7.6"/>
    <n v="1210.3"/>
  </r>
  <r>
    <x v="6"/>
    <s v="D002"/>
    <s v="Fresh Coast Foods"/>
    <s v="Southeast"/>
    <s v="P005"/>
    <s v="Cheddar Cheese"/>
    <s v="Dairy"/>
    <n v="651"/>
    <n v="429"/>
    <n v="34"/>
    <n v="5.2"/>
    <n v="3413.88"/>
  </r>
  <r>
    <x v="6"/>
    <s v="D002"/>
    <s v="Fresh Coast Foods"/>
    <s v="Southeast"/>
    <s v="P006"/>
    <s v="Chicken Breast"/>
    <s v="Meat"/>
    <n v="534"/>
    <n v="454"/>
    <n v="14"/>
    <n v="2.6"/>
    <n v="2604.35"/>
  </r>
  <r>
    <x v="6"/>
    <s v="D003"/>
    <s v="Heartland Meats"/>
    <s v="Plains"/>
    <s v="P001"/>
    <s v="Leafy Greens"/>
    <s v="Produce"/>
    <n v="574"/>
    <n v="455"/>
    <n v="53"/>
    <n v="9.1999999999999993"/>
    <n v="1839.03"/>
  </r>
  <r>
    <x v="6"/>
    <s v="D003"/>
    <s v="Heartland Meats"/>
    <s v="Plains"/>
    <s v="P002"/>
    <s v="Whole Milk"/>
    <s v="Dairy"/>
    <n v="693"/>
    <n v="631"/>
    <n v="42"/>
    <n v="6.1"/>
    <n v="4622.32"/>
  </r>
  <r>
    <x v="6"/>
    <s v="D003"/>
    <s v="Heartland Meats"/>
    <s v="Plains"/>
    <s v="P003"/>
    <s v="Ground Beef"/>
    <s v="Meat"/>
    <n v="679"/>
    <n v="617"/>
    <n v="43"/>
    <n v="6.3"/>
    <n v="4726.74"/>
  </r>
  <r>
    <x v="6"/>
    <s v="D003"/>
    <s v="Heartland Meats"/>
    <s v="Plains"/>
    <s v="P004"/>
    <s v="Tomatoes"/>
    <s v="Produce"/>
    <n v="606"/>
    <n v="552"/>
    <n v="27"/>
    <n v="4.5"/>
    <n v="3998.74"/>
  </r>
  <r>
    <x v="6"/>
    <s v="D003"/>
    <s v="Heartland Meats"/>
    <s v="Plains"/>
    <s v="P005"/>
    <s v="Cheddar Cheese"/>
    <s v="Dairy"/>
    <n v="214"/>
    <n v="154"/>
    <n v="9"/>
    <n v="4.2"/>
    <n v="1077.0899999999999"/>
  </r>
  <r>
    <x v="6"/>
    <s v="D003"/>
    <s v="Heartland Meats"/>
    <s v="Plains"/>
    <s v="P006"/>
    <s v="Chicken Breast"/>
    <s v="Meat"/>
    <n v="468"/>
    <n v="378"/>
    <n v="43"/>
    <n v="9.1999999999999993"/>
    <n v="1190.73"/>
  </r>
  <r>
    <x v="6"/>
    <s v="D004"/>
    <s v="Southwest Organics"/>
    <s v="Southwest"/>
    <s v="P001"/>
    <s v="Leafy Greens"/>
    <s v="Produce"/>
    <n v="439"/>
    <n v="341"/>
    <n v="39"/>
    <n v="8.9"/>
    <n v="1523.6"/>
  </r>
  <r>
    <x v="6"/>
    <s v="D004"/>
    <s v="Southwest Organics"/>
    <s v="Southwest"/>
    <s v="P002"/>
    <s v="Whole Milk"/>
    <s v="Dairy"/>
    <n v="426"/>
    <n v="351"/>
    <n v="25"/>
    <n v="5.9"/>
    <n v="2353.9699999999998"/>
  </r>
  <r>
    <x v="6"/>
    <s v="D004"/>
    <s v="Southwest Organics"/>
    <s v="Southwest"/>
    <s v="P003"/>
    <s v="Ground Beef"/>
    <s v="Meat"/>
    <n v="618"/>
    <n v="421"/>
    <n v="16"/>
    <n v="2.6"/>
    <n v="3568.21"/>
  </r>
  <r>
    <x v="6"/>
    <s v="D004"/>
    <s v="Southwest Organics"/>
    <s v="Southwest"/>
    <s v="P004"/>
    <s v="Tomatoes"/>
    <s v="Produce"/>
    <n v="318"/>
    <n v="215"/>
    <n v="25"/>
    <n v="7.9"/>
    <n v="1122.7"/>
  </r>
  <r>
    <x v="6"/>
    <s v="D004"/>
    <s v="Southwest Organics"/>
    <s v="Southwest"/>
    <s v="P005"/>
    <s v="Cheddar Cheese"/>
    <s v="Dairy"/>
    <n v="753"/>
    <n v="574"/>
    <n v="44"/>
    <n v="5.8"/>
    <n v="2863.86"/>
  </r>
  <r>
    <x v="6"/>
    <s v="D004"/>
    <s v="Southwest Organics"/>
    <s v="Southwest"/>
    <s v="P006"/>
    <s v="Chicken Breast"/>
    <s v="Meat"/>
    <n v="301"/>
    <n v="263"/>
    <n v="22"/>
    <n v="7.3"/>
    <n v="1098.93"/>
  </r>
  <r>
    <x v="6"/>
    <s v="D005"/>
    <s v="Great Lakes Dairy"/>
    <s v="Midwest"/>
    <s v="P001"/>
    <s v="Leafy Greens"/>
    <s v="Produce"/>
    <n v="579"/>
    <n v="410"/>
    <n v="32"/>
    <n v="5.5"/>
    <n v="1917.21"/>
  </r>
  <r>
    <x v="6"/>
    <s v="D005"/>
    <s v="Great Lakes Dairy"/>
    <s v="Midwest"/>
    <s v="P002"/>
    <s v="Whole Milk"/>
    <s v="Dairy"/>
    <n v="576"/>
    <n v="459"/>
    <n v="41"/>
    <n v="7.1"/>
    <n v="2243.98"/>
  </r>
  <r>
    <x v="6"/>
    <s v="D005"/>
    <s v="Great Lakes Dairy"/>
    <s v="Midwest"/>
    <s v="P003"/>
    <s v="Ground Beef"/>
    <s v="Meat"/>
    <n v="394"/>
    <n v="359"/>
    <n v="27"/>
    <n v="6.9"/>
    <n v="1094.96"/>
  </r>
  <r>
    <x v="6"/>
    <s v="D005"/>
    <s v="Great Lakes Dairy"/>
    <s v="Midwest"/>
    <s v="P004"/>
    <s v="Tomatoes"/>
    <s v="Produce"/>
    <n v="417"/>
    <n v="343"/>
    <n v="15"/>
    <n v="3.6"/>
    <n v="2476.7199999999998"/>
  </r>
  <r>
    <x v="6"/>
    <s v="D005"/>
    <s v="Great Lakes Dairy"/>
    <s v="Midwest"/>
    <s v="P005"/>
    <s v="Cheddar Cheese"/>
    <s v="Dairy"/>
    <n v="449"/>
    <n v="411"/>
    <n v="15"/>
    <n v="3.3"/>
    <n v="3073.83"/>
  </r>
  <r>
    <x v="6"/>
    <s v="D005"/>
    <s v="Great Lakes Dairy"/>
    <s v="Midwest"/>
    <s v="P006"/>
    <s v="Chicken Breast"/>
    <s v="Meat"/>
    <n v="767"/>
    <n v="541"/>
    <n v="58"/>
    <n v="7.6"/>
    <n v="2419"/>
  </r>
  <r>
    <x v="7"/>
    <s v="D001"/>
    <s v="Green Valley Produce"/>
    <s v="Midwest"/>
    <s v="P001"/>
    <s v="Leafy Greens"/>
    <s v="Produce"/>
    <n v="351"/>
    <n v="302"/>
    <n v="15"/>
    <n v="4.3"/>
    <n v="2538.06"/>
  </r>
  <r>
    <x v="7"/>
    <s v="D001"/>
    <s v="Green Valley Produce"/>
    <s v="Midwest"/>
    <s v="P002"/>
    <s v="Whole Milk"/>
    <s v="Dairy"/>
    <n v="333"/>
    <n v="265"/>
    <n v="17"/>
    <n v="5.0999999999999996"/>
    <n v="2040.15"/>
  </r>
  <r>
    <x v="7"/>
    <s v="D001"/>
    <s v="Green Valley Produce"/>
    <s v="Midwest"/>
    <s v="P003"/>
    <s v="Ground Beef"/>
    <s v="Meat"/>
    <n v="334"/>
    <n v="218"/>
    <n v="28"/>
    <n v="8.4"/>
    <n v="968.49"/>
  </r>
  <r>
    <x v="7"/>
    <s v="D001"/>
    <s v="Green Valley Produce"/>
    <s v="Midwest"/>
    <s v="P004"/>
    <s v="Tomatoes"/>
    <s v="Produce"/>
    <n v="378"/>
    <n v="272"/>
    <n v="18"/>
    <n v="4.8"/>
    <n v="865.48"/>
  </r>
  <r>
    <x v="7"/>
    <s v="D001"/>
    <s v="Green Valley Produce"/>
    <s v="Midwest"/>
    <s v="P005"/>
    <s v="Cheddar Cheese"/>
    <s v="Dairy"/>
    <n v="265"/>
    <n v="206"/>
    <n v="20"/>
    <n v="7.5"/>
    <n v="649.79"/>
  </r>
  <r>
    <x v="7"/>
    <s v="D001"/>
    <s v="Green Valley Produce"/>
    <s v="Midwest"/>
    <s v="P006"/>
    <s v="Chicken Breast"/>
    <s v="Meat"/>
    <n v="715"/>
    <n v="507"/>
    <n v="64"/>
    <n v="9"/>
    <n v="4031.92"/>
  </r>
  <r>
    <x v="7"/>
    <s v="D002"/>
    <s v="Fresh Coast Foods"/>
    <s v="Southeast"/>
    <s v="P001"/>
    <s v="Leafy Greens"/>
    <s v="Produce"/>
    <n v="733"/>
    <n v="536"/>
    <n v="39"/>
    <n v="5.3"/>
    <n v="4551.46"/>
  </r>
  <r>
    <x v="7"/>
    <s v="D002"/>
    <s v="Fresh Coast Foods"/>
    <s v="Southeast"/>
    <s v="P002"/>
    <s v="Whole Milk"/>
    <s v="Dairy"/>
    <n v="611"/>
    <n v="467"/>
    <n v="36"/>
    <n v="5.9"/>
    <n v="2410.36"/>
  </r>
  <r>
    <x v="7"/>
    <s v="D002"/>
    <s v="Fresh Coast Foods"/>
    <s v="Southeast"/>
    <s v="P003"/>
    <s v="Ground Beef"/>
    <s v="Meat"/>
    <n v="282"/>
    <n v="207"/>
    <n v="9"/>
    <n v="3.2"/>
    <n v="1292.9000000000001"/>
  </r>
  <r>
    <x v="7"/>
    <s v="D002"/>
    <s v="Fresh Coast Foods"/>
    <s v="Southeast"/>
    <s v="P004"/>
    <s v="Tomatoes"/>
    <s v="Produce"/>
    <n v="799"/>
    <n v="637"/>
    <n v="63"/>
    <n v="7.9"/>
    <n v="3620.29"/>
  </r>
  <r>
    <x v="7"/>
    <s v="D002"/>
    <s v="Fresh Coast Foods"/>
    <s v="Southeast"/>
    <s v="P005"/>
    <s v="Cheddar Cheese"/>
    <s v="Dairy"/>
    <n v="664"/>
    <n v="522"/>
    <n v="49"/>
    <n v="7.4"/>
    <n v="1663.34"/>
  </r>
  <r>
    <x v="7"/>
    <s v="D002"/>
    <s v="Fresh Coast Foods"/>
    <s v="Southeast"/>
    <s v="P006"/>
    <s v="Chicken Breast"/>
    <s v="Meat"/>
    <n v="764"/>
    <n v="645"/>
    <n v="34"/>
    <n v="4.5"/>
    <n v="2496.77"/>
  </r>
  <r>
    <x v="7"/>
    <s v="D003"/>
    <s v="Heartland Meats"/>
    <s v="Plains"/>
    <s v="P001"/>
    <s v="Leafy Greens"/>
    <s v="Produce"/>
    <n v="547"/>
    <n v="477"/>
    <n v="33"/>
    <n v="6"/>
    <n v="2087.0100000000002"/>
  </r>
  <r>
    <x v="7"/>
    <s v="D003"/>
    <s v="Heartland Meats"/>
    <s v="Plains"/>
    <s v="P002"/>
    <s v="Whole Milk"/>
    <s v="Dairy"/>
    <n v="520"/>
    <n v="431"/>
    <n v="18"/>
    <n v="3.5"/>
    <n v="3464.34"/>
  </r>
  <r>
    <x v="7"/>
    <s v="D003"/>
    <s v="Heartland Meats"/>
    <s v="Plains"/>
    <s v="P003"/>
    <s v="Ground Beef"/>
    <s v="Meat"/>
    <n v="268"/>
    <n v="180"/>
    <n v="13"/>
    <n v="4.9000000000000004"/>
    <n v="1254.1600000000001"/>
  </r>
  <r>
    <x v="7"/>
    <s v="D003"/>
    <s v="Heartland Meats"/>
    <s v="Plains"/>
    <s v="P004"/>
    <s v="Tomatoes"/>
    <s v="Produce"/>
    <n v="581"/>
    <n v="504"/>
    <n v="33"/>
    <n v="5.7"/>
    <n v="2958.24"/>
  </r>
  <r>
    <x v="7"/>
    <s v="D003"/>
    <s v="Heartland Meats"/>
    <s v="Plains"/>
    <s v="P005"/>
    <s v="Cheddar Cheese"/>
    <s v="Dairy"/>
    <n v="537"/>
    <n v="446"/>
    <n v="39"/>
    <n v="7.3"/>
    <n v="3633.46"/>
  </r>
  <r>
    <x v="7"/>
    <s v="D003"/>
    <s v="Heartland Meats"/>
    <s v="Plains"/>
    <s v="P006"/>
    <s v="Chicken Breast"/>
    <s v="Meat"/>
    <n v="633"/>
    <n v="559"/>
    <n v="49"/>
    <n v="7.7"/>
    <n v="3411.28"/>
  </r>
  <r>
    <x v="7"/>
    <s v="D004"/>
    <s v="Southwest Organics"/>
    <s v="Southwest"/>
    <s v="P001"/>
    <s v="Leafy Greens"/>
    <s v="Produce"/>
    <n v="560"/>
    <n v="379"/>
    <n v="33"/>
    <n v="5.9"/>
    <n v="2044"/>
  </r>
  <r>
    <x v="7"/>
    <s v="D004"/>
    <s v="Southwest Organics"/>
    <s v="Southwest"/>
    <s v="P002"/>
    <s v="Whole Milk"/>
    <s v="Dairy"/>
    <n v="310"/>
    <n v="230"/>
    <n v="16"/>
    <n v="5.2"/>
    <n v="959.42"/>
  </r>
  <r>
    <x v="7"/>
    <s v="D004"/>
    <s v="Southwest Organics"/>
    <s v="Southwest"/>
    <s v="P003"/>
    <s v="Ground Beef"/>
    <s v="Meat"/>
    <n v="431"/>
    <n v="374"/>
    <n v="36"/>
    <n v="8.4"/>
    <n v="2771.55"/>
  </r>
  <r>
    <x v="7"/>
    <s v="D004"/>
    <s v="Southwest Organics"/>
    <s v="Southwest"/>
    <s v="P004"/>
    <s v="Tomatoes"/>
    <s v="Produce"/>
    <n v="770"/>
    <n v="505"/>
    <n v="94"/>
    <n v="12.2"/>
    <n v="2072.87"/>
  </r>
  <r>
    <x v="7"/>
    <s v="D004"/>
    <s v="Southwest Organics"/>
    <s v="Southwest"/>
    <s v="P005"/>
    <s v="Cheddar Cheese"/>
    <s v="Dairy"/>
    <n v="384"/>
    <n v="277"/>
    <n v="40"/>
    <n v="10.4"/>
    <n v="1275.9000000000001"/>
  </r>
  <r>
    <x v="7"/>
    <s v="D004"/>
    <s v="Southwest Organics"/>
    <s v="Southwest"/>
    <s v="P006"/>
    <s v="Chicken Breast"/>
    <s v="Meat"/>
    <n v="385"/>
    <n v="340"/>
    <n v="17"/>
    <n v="4.4000000000000004"/>
    <n v="1139.42"/>
  </r>
  <r>
    <x v="7"/>
    <s v="D005"/>
    <s v="Great Lakes Dairy"/>
    <s v="Midwest"/>
    <s v="P001"/>
    <s v="Leafy Greens"/>
    <s v="Produce"/>
    <n v="231"/>
    <n v="155"/>
    <n v="16"/>
    <n v="6.9"/>
    <n v="809.39"/>
  </r>
  <r>
    <x v="7"/>
    <s v="D005"/>
    <s v="Great Lakes Dairy"/>
    <s v="Midwest"/>
    <s v="P002"/>
    <s v="Whole Milk"/>
    <s v="Dairy"/>
    <n v="361"/>
    <n v="270"/>
    <n v="33"/>
    <n v="9.1"/>
    <n v="1594.5"/>
  </r>
  <r>
    <x v="7"/>
    <s v="D005"/>
    <s v="Great Lakes Dairy"/>
    <s v="Midwest"/>
    <s v="P003"/>
    <s v="Ground Beef"/>
    <s v="Meat"/>
    <n v="286"/>
    <n v="254"/>
    <n v="15"/>
    <n v="5.2"/>
    <n v="710.84"/>
  </r>
  <r>
    <x v="7"/>
    <s v="D005"/>
    <s v="Great Lakes Dairy"/>
    <s v="Midwest"/>
    <s v="P004"/>
    <s v="Tomatoes"/>
    <s v="Produce"/>
    <n v="283"/>
    <n v="204"/>
    <n v="22"/>
    <n v="7.8"/>
    <n v="1051.06"/>
  </r>
  <r>
    <x v="7"/>
    <s v="D005"/>
    <s v="Great Lakes Dairy"/>
    <s v="Midwest"/>
    <s v="P005"/>
    <s v="Cheddar Cheese"/>
    <s v="Dairy"/>
    <n v="479"/>
    <n v="339"/>
    <n v="31"/>
    <n v="6.5"/>
    <n v="1073.05"/>
  </r>
  <r>
    <x v="7"/>
    <s v="D005"/>
    <s v="Great Lakes Dairy"/>
    <s v="Midwest"/>
    <s v="P006"/>
    <s v="Chicken Breast"/>
    <s v="Meat"/>
    <n v="698"/>
    <n v="553"/>
    <n v="28"/>
    <n v="4"/>
    <n v="4648.8900000000003"/>
  </r>
  <r>
    <x v="8"/>
    <s v="D001"/>
    <s v="Green Valley Produce"/>
    <s v="Midwest"/>
    <s v="P001"/>
    <s v="Leafy Greens"/>
    <s v="Produce"/>
    <n v="256"/>
    <n v="166"/>
    <n v="13"/>
    <n v="5.0999999999999996"/>
    <n v="551.69000000000005"/>
  </r>
  <r>
    <x v="8"/>
    <s v="D001"/>
    <s v="Green Valley Produce"/>
    <s v="Midwest"/>
    <s v="P002"/>
    <s v="Whole Milk"/>
    <s v="Dairy"/>
    <n v="461"/>
    <n v="335"/>
    <n v="23"/>
    <n v="5"/>
    <n v="1703.12"/>
  </r>
  <r>
    <x v="8"/>
    <s v="D001"/>
    <s v="Green Valley Produce"/>
    <s v="Midwest"/>
    <s v="P003"/>
    <s v="Ground Beef"/>
    <s v="Meat"/>
    <n v="332"/>
    <n v="249"/>
    <n v="25"/>
    <n v="7.5"/>
    <n v="1867.53"/>
  </r>
  <r>
    <x v="8"/>
    <s v="D001"/>
    <s v="Green Valley Produce"/>
    <s v="Midwest"/>
    <s v="P004"/>
    <s v="Tomatoes"/>
    <s v="Produce"/>
    <n v="562"/>
    <n v="376"/>
    <n v="43"/>
    <n v="7.7"/>
    <n v="982.28"/>
  </r>
  <r>
    <x v="8"/>
    <s v="D001"/>
    <s v="Green Valley Produce"/>
    <s v="Midwest"/>
    <s v="P005"/>
    <s v="Cheddar Cheese"/>
    <s v="Dairy"/>
    <n v="279"/>
    <n v="246"/>
    <n v="15"/>
    <n v="5.4"/>
    <n v="1662.22"/>
  </r>
  <r>
    <x v="8"/>
    <s v="D001"/>
    <s v="Green Valley Produce"/>
    <s v="Midwest"/>
    <s v="P006"/>
    <s v="Chicken Breast"/>
    <s v="Meat"/>
    <n v="627"/>
    <n v="456"/>
    <n v="55"/>
    <n v="8.8000000000000007"/>
    <n v="1610.25"/>
  </r>
  <r>
    <x v="8"/>
    <s v="D002"/>
    <s v="Fresh Coast Foods"/>
    <s v="Southeast"/>
    <s v="P001"/>
    <s v="Leafy Greens"/>
    <s v="Produce"/>
    <n v="671"/>
    <n v="586"/>
    <n v="27"/>
    <n v="4"/>
    <n v="4434.21"/>
  </r>
  <r>
    <x v="8"/>
    <s v="D002"/>
    <s v="Fresh Coast Foods"/>
    <s v="Southeast"/>
    <s v="P002"/>
    <s v="Whole Milk"/>
    <s v="Dairy"/>
    <n v="449"/>
    <n v="344"/>
    <n v="18"/>
    <n v="4"/>
    <n v="2656.76"/>
  </r>
  <r>
    <x v="8"/>
    <s v="D002"/>
    <s v="Fresh Coast Foods"/>
    <s v="Southeast"/>
    <s v="P003"/>
    <s v="Ground Beef"/>
    <s v="Meat"/>
    <n v="547"/>
    <n v="388"/>
    <n v="36"/>
    <n v="6.6"/>
    <n v="2444.15"/>
  </r>
  <r>
    <x v="8"/>
    <s v="D002"/>
    <s v="Fresh Coast Foods"/>
    <s v="Southeast"/>
    <s v="P004"/>
    <s v="Tomatoes"/>
    <s v="Produce"/>
    <n v="743"/>
    <n v="585"/>
    <n v="52"/>
    <n v="7"/>
    <n v="4015.6"/>
  </r>
  <r>
    <x v="8"/>
    <s v="D002"/>
    <s v="Fresh Coast Foods"/>
    <s v="Southeast"/>
    <s v="P005"/>
    <s v="Cheddar Cheese"/>
    <s v="Dairy"/>
    <n v="351"/>
    <n v="250"/>
    <n v="13"/>
    <n v="3.7"/>
    <n v="1528.6"/>
  </r>
  <r>
    <x v="8"/>
    <s v="D002"/>
    <s v="Fresh Coast Foods"/>
    <s v="Southeast"/>
    <s v="P006"/>
    <s v="Chicken Breast"/>
    <s v="Meat"/>
    <n v="277"/>
    <n v="193"/>
    <n v="24"/>
    <n v="8.6999999999999993"/>
    <n v="1356.15"/>
  </r>
  <r>
    <x v="8"/>
    <s v="D003"/>
    <s v="Heartland Meats"/>
    <s v="Plains"/>
    <s v="P001"/>
    <s v="Leafy Greens"/>
    <s v="Produce"/>
    <n v="793"/>
    <n v="611"/>
    <n v="67"/>
    <n v="8.4"/>
    <n v="3856.5"/>
  </r>
  <r>
    <x v="8"/>
    <s v="D003"/>
    <s v="Heartland Meats"/>
    <s v="Plains"/>
    <s v="P002"/>
    <s v="Whole Milk"/>
    <s v="Dairy"/>
    <n v="530"/>
    <n v="468"/>
    <n v="18"/>
    <n v="3.4"/>
    <n v="1361.75"/>
  </r>
  <r>
    <x v="8"/>
    <s v="D003"/>
    <s v="Heartland Meats"/>
    <s v="Plains"/>
    <s v="P003"/>
    <s v="Ground Beef"/>
    <s v="Meat"/>
    <n v="652"/>
    <n v="534"/>
    <n v="47"/>
    <n v="7.2"/>
    <n v="2462.62"/>
  </r>
  <r>
    <x v="8"/>
    <s v="D003"/>
    <s v="Heartland Meats"/>
    <s v="Plains"/>
    <s v="P004"/>
    <s v="Tomatoes"/>
    <s v="Produce"/>
    <n v="275"/>
    <n v="201"/>
    <n v="12"/>
    <n v="4.4000000000000004"/>
    <n v="1505.53"/>
  </r>
  <r>
    <x v="8"/>
    <s v="D003"/>
    <s v="Heartland Meats"/>
    <s v="Plains"/>
    <s v="P005"/>
    <s v="Cheddar Cheese"/>
    <s v="Dairy"/>
    <n v="278"/>
    <n v="229"/>
    <n v="14"/>
    <n v="5"/>
    <n v="1388.77"/>
  </r>
  <r>
    <x v="8"/>
    <s v="D003"/>
    <s v="Heartland Meats"/>
    <s v="Plains"/>
    <s v="P006"/>
    <s v="Chicken Breast"/>
    <s v="Meat"/>
    <n v="593"/>
    <n v="459"/>
    <n v="48"/>
    <n v="8.1"/>
    <n v="3614.74"/>
  </r>
  <r>
    <x v="8"/>
    <s v="D004"/>
    <s v="Southwest Organics"/>
    <s v="Southwest"/>
    <s v="P001"/>
    <s v="Leafy Greens"/>
    <s v="Produce"/>
    <n v="660"/>
    <n v="590"/>
    <n v="22"/>
    <n v="3.3"/>
    <n v="3616.72"/>
  </r>
  <r>
    <x v="8"/>
    <s v="D004"/>
    <s v="Southwest Organics"/>
    <s v="Southwest"/>
    <s v="P002"/>
    <s v="Whole Milk"/>
    <s v="Dairy"/>
    <n v="713"/>
    <n v="492"/>
    <n v="22"/>
    <n v="3.1"/>
    <n v="3884.22"/>
  </r>
  <r>
    <x v="8"/>
    <s v="D004"/>
    <s v="Southwest Organics"/>
    <s v="Southwest"/>
    <s v="P003"/>
    <s v="Ground Beef"/>
    <s v="Meat"/>
    <n v="551"/>
    <n v="504"/>
    <n v="25"/>
    <n v="4.5"/>
    <n v="1378.37"/>
  </r>
  <r>
    <x v="8"/>
    <s v="D004"/>
    <s v="Southwest Organics"/>
    <s v="Southwest"/>
    <s v="P004"/>
    <s v="Tomatoes"/>
    <s v="Produce"/>
    <n v="648"/>
    <n v="594"/>
    <n v="33"/>
    <n v="5.0999999999999996"/>
    <n v="2781.93"/>
  </r>
  <r>
    <x v="8"/>
    <s v="D004"/>
    <s v="Southwest Organics"/>
    <s v="Southwest"/>
    <s v="P005"/>
    <s v="Cheddar Cheese"/>
    <s v="Dairy"/>
    <n v="489"/>
    <n v="369"/>
    <n v="43"/>
    <n v="8.8000000000000007"/>
    <n v="1038.44"/>
  </r>
  <r>
    <x v="8"/>
    <s v="D004"/>
    <s v="Southwest Organics"/>
    <s v="Southwest"/>
    <s v="P006"/>
    <s v="Chicken Breast"/>
    <s v="Meat"/>
    <n v="542"/>
    <n v="361"/>
    <n v="34"/>
    <n v="6.3"/>
    <n v="1517.96"/>
  </r>
  <r>
    <x v="8"/>
    <s v="D005"/>
    <s v="Great Lakes Dairy"/>
    <s v="Midwest"/>
    <s v="P001"/>
    <s v="Leafy Greens"/>
    <s v="Produce"/>
    <n v="353"/>
    <n v="261"/>
    <n v="19"/>
    <n v="5.4"/>
    <n v="1200.32"/>
  </r>
  <r>
    <x v="8"/>
    <s v="D005"/>
    <s v="Great Lakes Dairy"/>
    <s v="Midwest"/>
    <s v="P002"/>
    <s v="Whole Milk"/>
    <s v="Dairy"/>
    <n v="601"/>
    <n v="411"/>
    <n v="40"/>
    <n v="6.7"/>
    <n v="2405.8000000000002"/>
  </r>
  <r>
    <x v="8"/>
    <s v="D005"/>
    <s v="Great Lakes Dairy"/>
    <s v="Midwest"/>
    <s v="P003"/>
    <s v="Ground Beef"/>
    <s v="Meat"/>
    <n v="536"/>
    <n v="466"/>
    <n v="38"/>
    <n v="7.1"/>
    <n v="3230.61"/>
  </r>
  <r>
    <x v="8"/>
    <s v="D005"/>
    <s v="Great Lakes Dairy"/>
    <s v="Midwest"/>
    <s v="P004"/>
    <s v="Tomatoes"/>
    <s v="Produce"/>
    <n v="739"/>
    <n v="498"/>
    <n v="64"/>
    <n v="8.6999999999999993"/>
    <n v="1299.47"/>
  </r>
  <r>
    <x v="8"/>
    <s v="D005"/>
    <s v="Great Lakes Dairy"/>
    <s v="Midwest"/>
    <s v="P005"/>
    <s v="Cheddar Cheese"/>
    <s v="Dairy"/>
    <n v="516"/>
    <n v="360"/>
    <n v="41"/>
    <n v="7.9"/>
    <n v="1950.35"/>
  </r>
  <r>
    <x v="8"/>
    <s v="D005"/>
    <s v="Great Lakes Dairy"/>
    <s v="Midwest"/>
    <s v="P006"/>
    <s v="Chicken Breast"/>
    <s v="Meat"/>
    <n v="431"/>
    <n v="396"/>
    <n v="13"/>
    <n v="3"/>
    <n v="2862.57"/>
  </r>
  <r>
    <x v="9"/>
    <s v="D001"/>
    <s v="Green Valley Produce"/>
    <s v="Midwest"/>
    <s v="P001"/>
    <s v="Leafy Greens"/>
    <s v="Produce"/>
    <n v="719"/>
    <n v="616"/>
    <n v="58"/>
    <n v="8.1"/>
    <n v="1679.51"/>
  </r>
  <r>
    <x v="9"/>
    <s v="D001"/>
    <s v="Green Valley Produce"/>
    <s v="Midwest"/>
    <s v="P002"/>
    <s v="Whole Milk"/>
    <s v="Dairy"/>
    <n v="544"/>
    <n v="482"/>
    <n v="31"/>
    <n v="5.7"/>
    <n v="1651.1"/>
  </r>
  <r>
    <x v="9"/>
    <s v="D001"/>
    <s v="Green Valley Produce"/>
    <s v="Midwest"/>
    <s v="P003"/>
    <s v="Ground Beef"/>
    <s v="Meat"/>
    <n v="385"/>
    <n v="336"/>
    <n v="28"/>
    <n v="7.3"/>
    <n v="1173.73"/>
  </r>
  <r>
    <x v="9"/>
    <s v="D001"/>
    <s v="Green Valley Produce"/>
    <s v="Midwest"/>
    <s v="P004"/>
    <s v="Tomatoes"/>
    <s v="Produce"/>
    <n v="648"/>
    <n v="428"/>
    <n v="53"/>
    <n v="8.1999999999999993"/>
    <n v="3559.9"/>
  </r>
  <r>
    <x v="9"/>
    <s v="D001"/>
    <s v="Green Valley Produce"/>
    <s v="Midwest"/>
    <s v="P005"/>
    <s v="Cheddar Cheese"/>
    <s v="Dairy"/>
    <n v="491"/>
    <n v="418"/>
    <n v="23"/>
    <n v="4.7"/>
    <n v="1644.83"/>
  </r>
  <r>
    <x v="9"/>
    <s v="D001"/>
    <s v="Green Valley Produce"/>
    <s v="Midwest"/>
    <s v="P006"/>
    <s v="Chicken Breast"/>
    <s v="Meat"/>
    <n v="680"/>
    <n v="607"/>
    <n v="35"/>
    <n v="5.0999999999999996"/>
    <n v="3594.97"/>
  </r>
  <r>
    <x v="9"/>
    <s v="D002"/>
    <s v="Fresh Coast Foods"/>
    <s v="Southeast"/>
    <s v="P001"/>
    <s v="Leafy Greens"/>
    <s v="Produce"/>
    <n v="651"/>
    <n v="504"/>
    <n v="32"/>
    <n v="4.9000000000000004"/>
    <n v="2855.04"/>
  </r>
  <r>
    <x v="9"/>
    <s v="D002"/>
    <s v="Fresh Coast Foods"/>
    <s v="Southeast"/>
    <s v="P002"/>
    <s v="Whole Milk"/>
    <s v="Dairy"/>
    <n v="365"/>
    <n v="317"/>
    <n v="15"/>
    <n v="4.0999999999999996"/>
    <n v="1268.01"/>
  </r>
  <r>
    <x v="9"/>
    <s v="D002"/>
    <s v="Fresh Coast Foods"/>
    <s v="Southeast"/>
    <s v="P003"/>
    <s v="Ground Beef"/>
    <s v="Meat"/>
    <n v="692"/>
    <n v="613"/>
    <n v="21"/>
    <n v="3"/>
    <n v="4643.6899999999996"/>
  </r>
  <r>
    <x v="9"/>
    <s v="D002"/>
    <s v="Fresh Coast Foods"/>
    <s v="Southeast"/>
    <s v="P004"/>
    <s v="Tomatoes"/>
    <s v="Produce"/>
    <n v="327"/>
    <n v="237"/>
    <n v="23"/>
    <n v="7"/>
    <n v="1879.85"/>
  </r>
  <r>
    <x v="9"/>
    <s v="D002"/>
    <s v="Fresh Coast Foods"/>
    <s v="Southeast"/>
    <s v="P005"/>
    <s v="Cheddar Cheese"/>
    <s v="Dairy"/>
    <n v="350"/>
    <n v="306"/>
    <n v="21"/>
    <n v="6"/>
    <n v="2264.4699999999998"/>
  </r>
  <r>
    <x v="9"/>
    <s v="D002"/>
    <s v="Fresh Coast Foods"/>
    <s v="Southeast"/>
    <s v="P006"/>
    <s v="Chicken Breast"/>
    <s v="Meat"/>
    <n v="557"/>
    <n v="501"/>
    <n v="23"/>
    <n v="4.0999999999999996"/>
    <n v="2376.63"/>
  </r>
  <r>
    <x v="9"/>
    <s v="D003"/>
    <s v="Heartland Meats"/>
    <s v="Plains"/>
    <s v="P001"/>
    <s v="Leafy Greens"/>
    <s v="Produce"/>
    <n v="595"/>
    <n v="546"/>
    <n v="12"/>
    <n v="2"/>
    <n v="4414.3900000000003"/>
  </r>
  <r>
    <x v="9"/>
    <s v="D003"/>
    <s v="Heartland Meats"/>
    <s v="Plains"/>
    <s v="P002"/>
    <s v="Whole Milk"/>
    <s v="Dairy"/>
    <n v="543"/>
    <n v="468"/>
    <n v="18"/>
    <n v="3.3"/>
    <n v="3499.97"/>
  </r>
  <r>
    <x v="9"/>
    <s v="D003"/>
    <s v="Heartland Meats"/>
    <s v="Plains"/>
    <s v="P003"/>
    <s v="Ground Beef"/>
    <s v="Meat"/>
    <n v="342"/>
    <n v="292"/>
    <n v="20"/>
    <n v="5.8"/>
    <n v="2317.06"/>
  </r>
  <r>
    <x v="9"/>
    <s v="D003"/>
    <s v="Heartland Meats"/>
    <s v="Plains"/>
    <s v="P004"/>
    <s v="Tomatoes"/>
    <s v="Produce"/>
    <n v="219"/>
    <n v="157"/>
    <n v="19"/>
    <n v="8.6999999999999993"/>
    <n v="1077.56"/>
  </r>
  <r>
    <x v="9"/>
    <s v="D003"/>
    <s v="Heartland Meats"/>
    <s v="Plains"/>
    <s v="P005"/>
    <s v="Cheddar Cheese"/>
    <s v="Dairy"/>
    <n v="740"/>
    <n v="565"/>
    <n v="47"/>
    <n v="6.4"/>
    <n v="1825.57"/>
  </r>
  <r>
    <x v="9"/>
    <s v="D003"/>
    <s v="Heartland Meats"/>
    <s v="Plains"/>
    <s v="P006"/>
    <s v="Chicken Breast"/>
    <s v="Meat"/>
    <n v="444"/>
    <n v="338"/>
    <n v="33"/>
    <n v="7.4"/>
    <n v="1069.82"/>
  </r>
  <r>
    <x v="9"/>
    <s v="D004"/>
    <s v="Southwest Organics"/>
    <s v="Southwest"/>
    <s v="P001"/>
    <s v="Leafy Greens"/>
    <s v="Produce"/>
    <n v="711"/>
    <n v="576"/>
    <n v="31"/>
    <n v="4.4000000000000004"/>
    <n v="2276.14"/>
  </r>
  <r>
    <x v="9"/>
    <s v="D004"/>
    <s v="Southwest Organics"/>
    <s v="Southwest"/>
    <s v="P002"/>
    <s v="Whole Milk"/>
    <s v="Dairy"/>
    <n v="347"/>
    <n v="252"/>
    <n v="13"/>
    <n v="3.7"/>
    <n v="1492.84"/>
  </r>
  <r>
    <x v="9"/>
    <s v="D004"/>
    <s v="Southwest Organics"/>
    <s v="Southwest"/>
    <s v="P003"/>
    <s v="Ground Beef"/>
    <s v="Meat"/>
    <n v="391"/>
    <n v="324"/>
    <n v="26"/>
    <n v="6.6"/>
    <n v="941.57"/>
  </r>
  <r>
    <x v="9"/>
    <s v="D004"/>
    <s v="Southwest Organics"/>
    <s v="Southwest"/>
    <s v="P004"/>
    <s v="Tomatoes"/>
    <s v="Produce"/>
    <n v="738"/>
    <n v="588"/>
    <n v="53"/>
    <n v="7.2"/>
    <n v="1541.74"/>
  </r>
  <r>
    <x v="9"/>
    <s v="D004"/>
    <s v="Southwest Organics"/>
    <s v="Southwest"/>
    <s v="P005"/>
    <s v="Cheddar Cheese"/>
    <s v="Dairy"/>
    <n v="681"/>
    <n v="450"/>
    <n v="44"/>
    <n v="6.5"/>
    <n v="3142.75"/>
  </r>
  <r>
    <x v="9"/>
    <s v="D004"/>
    <s v="Southwest Organics"/>
    <s v="Southwest"/>
    <s v="P006"/>
    <s v="Chicken Breast"/>
    <s v="Meat"/>
    <n v="565"/>
    <n v="487"/>
    <n v="34"/>
    <n v="6"/>
    <n v="3053.27"/>
  </r>
  <r>
    <x v="9"/>
    <s v="D005"/>
    <s v="Great Lakes Dairy"/>
    <s v="Midwest"/>
    <s v="P001"/>
    <s v="Leafy Greens"/>
    <s v="Produce"/>
    <n v="795"/>
    <n v="674"/>
    <n v="21"/>
    <n v="2.6"/>
    <n v="3893.08"/>
  </r>
  <r>
    <x v="9"/>
    <s v="D005"/>
    <s v="Great Lakes Dairy"/>
    <s v="Midwest"/>
    <s v="P002"/>
    <s v="Whole Milk"/>
    <s v="Dairy"/>
    <n v="379"/>
    <n v="331"/>
    <n v="30"/>
    <n v="7.9"/>
    <n v="1777.86"/>
  </r>
  <r>
    <x v="9"/>
    <s v="D005"/>
    <s v="Great Lakes Dairy"/>
    <s v="Midwest"/>
    <s v="P003"/>
    <s v="Ground Beef"/>
    <s v="Meat"/>
    <n v="386"/>
    <n v="335"/>
    <n v="21"/>
    <n v="5.4"/>
    <n v="1757.44"/>
  </r>
  <r>
    <x v="9"/>
    <s v="D005"/>
    <s v="Great Lakes Dairy"/>
    <s v="Midwest"/>
    <s v="P004"/>
    <s v="Tomatoes"/>
    <s v="Produce"/>
    <n v="500"/>
    <n v="352"/>
    <n v="54"/>
    <n v="10.8"/>
    <n v="1546.54"/>
  </r>
  <r>
    <x v="9"/>
    <s v="D005"/>
    <s v="Great Lakes Dairy"/>
    <s v="Midwest"/>
    <s v="P005"/>
    <s v="Cheddar Cheese"/>
    <s v="Dairy"/>
    <n v="517"/>
    <n v="407"/>
    <n v="43"/>
    <n v="8.3000000000000007"/>
    <n v="1636.09"/>
  </r>
  <r>
    <x v="9"/>
    <s v="D005"/>
    <s v="Great Lakes Dairy"/>
    <s v="Midwest"/>
    <s v="P006"/>
    <s v="Chicken Breast"/>
    <s v="Meat"/>
    <n v="395"/>
    <n v="287"/>
    <n v="25"/>
    <n v="6.3"/>
    <n v="1846.67"/>
  </r>
  <r>
    <x v="10"/>
    <s v="D001"/>
    <s v="Green Valley Produce"/>
    <s v="Midwest"/>
    <s v="P001"/>
    <s v="Leafy Greens"/>
    <s v="Produce"/>
    <n v="479"/>
    <n v="327"/>
    <n v="42"/>
    <n v="8.8000000000000007"/>
    <n v="2275.87"/>
  </r>
  <r>
    <x v="10"/>
    <s v="D001"/>
    <s v="Green Valley Produce"/>
    <s v="Midwest"/>
    <s v="P002"/>
    <s v="Whole Milk"/>
    <s v="Dairy"/>
    <n v="595"/>
    <n v="441"/>
    <n v="37"/>
    <n v="6.2"/>
    <n v="2074.5"/>
  </r>
  <r>
    <x v="10"/>
    <s v="D001"/>
    <s v="Green Valley Produce"/>
    <s v="Midwest"/>
    <s v="P003"/>
    <s v="Ground Beef"/>
    <s v="Meat"/>
    <n v="731"/>
    <n v="527"/>
    <n v="34"/>
    <n v="4.7"/>
    <n v="2679.08"/>
  </r>
  <r>
    <x v="10"/>
    <s v="D001"/>
    <s v="Green Valley Produce"/>
    <s v="Midwest"/>
    <s v="P004"/>
    <s v="Tomatoes"/>
    <s v="Produce"/>
    <n v="384"/>
    <n v="306"/>
    <n v="13"/>
    <n v="3.4"/>
    <n v="1978.45"/>
  </r>
  <r>
    <x v="10"/>
    <s v="D001"/>
    <s v="Green Valley Produce"/>
    <s v="Midwest"/>
    <s v="P005"/>
    <s v="Cheddar Cheese"/>
    <s v="Dairy"/>
    <n v="513"/>
    <n v="395"/>
    <n v="29"/>
    <n v="5.7"/>
    <n v="2039.56"/>
  </r>
  <r>
    <x v="10"/>
    <s v="D001"/>
    <s v="Green Valley Produce"/>
    <s v="Midwest"/>
    <s v="P006"/>
    <s v="Chicken Breast"/>
    <s v="Meat"/>
    <n v="657"/>
    <n v="434"/>
    <n v="61"/>
    <n v="9.3000000000000007"/>
    <n v="3684.18"/>
  </r>
  <r>
    <x v="10"/>
    <s v="D002"/>
    <s v="Fresh Coast Foods"/>
    <s v="Southeast"/>
    <s v="P001"/>
    <s v="Leafy Greens"/>
    <s v="Produce"/>
    <n v="481"/>
    <n v="395"/>
    <n v="21"/>
    <n v="4.4000000000000004"/>
    <n v="2578.21"/>
  </r>
  <r>
    <x v="10"/>
    <s v="D002"/>
    <s v="Fresh Coast Foods"/>
    <s v="Southeast"/>
    <s v="P002"/>
    <s v="Whole Milk"/>
    <s v="Dairy"/>
    <n v="615"/>
    <n v="460"/>
    <n v="55"/>
    <n v="8.9"/>
    <n v="3779.7"/>
  </r>
  <r>
    <x v="10"/>
    <s v="D002"/>
    <s v="Fresh Coast Foods"/>
    <s v="Southeast"/>
    <s v="P003"/>
    <s v="Ground Beef"/>
    <s v="Meat"/>
    <n v="346"/>
    <n v="304"/>
    <n v="17"/>
    <n v="4.9000000000000004"/>
    <n v="990.24"/>
  </r>
  <r>
    <x v="10"/>
    <s v="D002"/>
    <s v="Fresh Coast Foods"/>
    <s v="Southeast"/>
    <s v="P004"/>
    <s v="Tomatoes"/>
    <s v="Produce"/>
    <n v="441"/>
    <n v="379"/>
    <n v="19"/>
    <n v="4.3"/>
    <n v="2237.41"/>
  </r>
  <r>
    <x v="10"/>
    <s v="D002"/>
    <s v="Fresh Coast Foods"/>
    <s v="Southeast"/>
    <s v="P005"/>
    <s v="Cheddar Cheese"/>
    <s v="Dairy"/>
    <n v="357"/>
    <n v="297"/>
    <n v="22"/>
    <n v="6.2"/>
    <n v="2102.3200000000002"/>
  </r>
  <r>
    <x v="10"/>
    <s v="D002"/>
    <s v="Fresh Coast Foods"/>
    <s v="Southeast"/>
    <s v="P006"/>
    <s v="Chicken Breast"/>
    <s v="Meat"/>
    <n v="787"/>
    <n v="540"/>
    <n v="46"/>
    <n v="5.8"/>
    <n v="2252.9499999999998"/>
  </r>
  <r>
    <x v="10"/>
    <s v="D003"/>
    <s v="Heartland Meats"/>
    <s v="Plains"/>
    <s v="P001"/>
    <s v="Leafy Greens"/>
    <s v="Produce"/>
    <n v="316"/>
    <n v="207"/>
    <n v="19"/>
    <n v="6"/>
    <n v="1652.12"/>
  </r>
  <r>
    <x v="10"/>
    <s v="D003"/>
    <s v="Heartland Meats"/>
    <s v="Plains"/>
    <s v="P002"/>
    <s v="Whole Milk"/>
    <s v="Dairy"/>
    <n v="320"/>
    <n v="230"/>
    <n v="18"/>
    <n v="5.6"/>
    <n v="1949.98"/>
  </r>
  <r>
    <x v="10"/>
    <s v="D003"/>
    <s v="Heartland Meats"/>
    <s v="Plains"/>
    <s v="P003"/>
    <s v="Ground Beef"/>
    <s v="Meat"/>
    <n v="492"/>
    <n v="411"/>
    <n v="27"/>
    <n v="5.5"/>
    <n v="1362.21"/>
  </r>
  <r>
    <x v="10"/>
    <s v="D003"/>
    <s v="Heartland Meats"/>
    <s v="Plains"/>
    <s v="P004"/>
    <s v="Tomatoes"/>
    <s v="Produce"/>
    <n v="275"/>
    <n v="212"/>
    <n v="21"/>
    <n v="7.6"/>
    <n v="641.66999999999996"/>
  </r>
  <r>
    <x v="10"/>
    <s v="D003"/>
    <s v="Heartland Meats"/>
    <s v="Plains"/>
    <s v="P005"/>
    <s v="Cheddar Cheese"/>
    <s v="Dairy"/>
    <n v="527"/>
    <n v="437"/>
    <n v="34"/>
    <n v="6.5"/>
    <n v="1853.83"/>
  </r>
  <r>
    <x v="10"/>
    <s v="D003"/>
    <s v="Heartland Meats"/>
    <s v="Plains"/>
    <s v="P006"/>
    <s v="Chicken Breast"/>
    <s v="Meat"/>
    <n v="507"/>
    <n v="446"/>
    <n v="38"/>
    <n v="7.5"/>
    <n v="2821.49"/>
  </r>
  <r>
    <x v="10"/>
    <s v="D004"/>
    <s v="Southwest Organics"/>
    <s v="Southwest"/>
    <s v="P001"/>
    <s v="Leafy Greens"/>
    <s v="Produce"/>
    <n v="570"/>
    <n v="448"/>
    <n v="18"/>
    <n v="3.2"/>
    <n v="1493.3"/>
  </r>
  <r>
    <x v="10"/>
    <s v="D004"/>
    <s v="Southwest Organics"/>
    <s v="Southwest"/>
    <s v="P002"/>
    <s v="Whole Milk"/>
    <s v="Dairy"/>
    <n v="705"/>
    <n v="463"/>
    <n v="53"/>
    <n v="7.5"/>
    <n v="3390.07"/>
  </r>
  <r>
    <x v="10"/>
    <s v="D004"/>
    <s v="Southwest Organics"/>
    <s v="Southwest"/>
    <s v="P003"/>
    <s v="Ground Beef"/>
    <s v="Meat"/>
    <n v="764"/>
    <n v="523"/>
    <n v="58"/>
    <n v="7.6"/>
    <n v="2556.9299999999998"/>
  </r>
  <r>
    <x v="10"/>
    <s v="D004"/>
    <s v="Southwest Organics"/>
    <s v="Southwest"/>
    <s v="P004"/>
    <s v="Tomatoes"/>
    <s v="Produce"/>
    <n v="690"/>
    <n v="546"/>
    <n v="61"/>
    <n v="8.8000000000000007"/>
    <n v="1606.61"/>
  </r>
  <r>
    <x v="10"/>
    <s v="D004"/>
    <s v="Southwest Organics"/>
    <s v="Southwest"/>
    <s v="P005"/>
    <s v="Cheddar Cheese"/>
    <s v="Dairy"/>
    <n v="524"/>
    <n v="431"/>
    <n v="34"/>
    <n v="6.5"/>
    <n v="1968.42"/>
  </r>
  <r>
    <x v="10"/>
    <s v="D004"/>
    <s v="Southwest Organics"/>
    <s v="Southwest"/>
    <s v="P006"/>
    <s v="Chicken Breast"/>
    <s v="Meat"/>
    <n v="764"/>
    <n v="628"/>
    <n v="54"/>
    <n v="7.1"/>
    <n v="3200.11"/>
  </r>
  <r>
    <x v="10"/>
    <s v="D005"/>
    <s v="Great Lakes Dairy"/>
    <s v="Midwest"/>
    <s v="P001"/>
    <s v="Leafy Greens"/>
    <s v="Produce"/>
    <n v="256"/>
    <n v="223"/>
    <n v="10"/>
    <n v="3.9"/>
    <n v="774.21"/>
  </r>
  <r>
    <x v="10"/>
    <s v="D005"/>
    <s v="Great Lakes Dairy"/>
    <s v="Midwest"/>
    <s v="P002"/>
    <s v="Whole Milk"/>
    <s v="Dairy"/>
    <n v="430"/>
    <n v="319"/>
    <n v="46"/>
    <n v="10.7"/>
    <n v="2416.62"/>
  </r>
  <r>
    <x v="10"/>
    <s v="D005"/>
    <s v="Great Lakes Dairy"/>
    <s v="Midwest"/>
    <s v="P003"/>
    <s v="Ground Beef"/>
    <s v="Meat"/>
    <n v="456"/>
    <n v="320"/>
    <n v="39"/>
    <n v="8.6"/>
    <n v="2000.04"/>
  </r>
  <r>
    <x v="10"/>
    <s v="D005"/>
    <s v="Great Lakes Dairy"/>
    <s v="Midwest"/>
    <s v="P004"/>
    <s v="Tomatoes"/>
    <s v="Produce"/>
    <n v="746"/>
    <n v="503"/>
    <n v="67"/>
    <n v="9"/>
    <n v="3009.89"/>
  </r>
  <r>
    <x v="10"/>
    <s v="D005"/>
    <s v="Great Lakes Dairy"/>
    <s v="Midwest"/>
    <s v="P005"/>
    <s v="Cheddar Cheese"/>
    <s v="Dairy"/>
    <n v="375"/>
    <n v="310"/>
    <n v="26"/>
    <n v="6.9"/>
    <n v="2342.11"/>
  </r>
  <r>
    <x v="10"/>
    <s v="D005"/>
    <s v="Great Lakes Dairy"/>
    <s v="Midwest"/>
    <s v="P006"/>
    <s v="Chicken Breast"/>
    <s v="Meat"/>
    <n v="777"/>
    <n v="513"/>
    <n v="62"/>
    <n v="8"/>
    <n v="4202.13"/>
  </r>
  <r>
    <x v="11"/>
    <s v="D001"/>
    <s v="Green Valley Produce"/>
    <s v="Midwest"/>
    <s v="P001"/>
    <s v="Leafy Greens"/>
    <s v="Produce"/>
    <n v="790"/>
    <n v="569"/>
    <n v="47"/>
    <n v="5.9"/>
    <n v="3532.72"/>
  </r>
  <r>
    <x v="11"/>
    <s v="D001"/>
    <s v="Green Valley Produce"/>
    <s v="Midwest"/>
    <s v="P002"/>
    <s v="Whole Milk"/>
    <s v="Dairy"/>
    <n v="231"/>
    <n v="181"/>
    <n v="13"/>
    <n v="5.6"/>
    <n v="1491.42"/>
  </r>
  <r>
    <x v="11"/>
    <s v="D001"/>
    <s v="Green Valley Produce"/>
    <s v="Midwest"/>
    <s v="P003"/>
    <s v="Ground Beef"/>
    <s v="Meat"/>
    <n v="694"/>
    <n v="496"/>
    <n v="57"/>
    <n v="8.1999999999999993"/>
    <n v="2589.75"/>
  </r>
  <r>
    <x v="11"/>
    <s v="D001"/>
    <s v="Green Valley Produce"/>
    <s v="Midwest"/>
    <s v="P004"/>
    <s v="Tomatoes"/>
    <s v="Produce"/>
    <n v="261"/>
    <n v="180"/>
    <n v="17"/>
    <n v="6.5"/>
    <n v="817.41"/>
  </r>
  <r>
    <x v="11"/>
    <s v="D001"/>
    <s v="Green Valley Produce"/>
    <s v="Midwest"/>
    <s v="P005"/>
    <s v="Cheddar Cheese"/>
    <s v="Dairy"/>
    <n v="347"/>
    <n v="254"/>
    <n v="31"/>
    <n v="8.9"/>
    <n v="1946.82"/>
  </r>
  <r>
    <x v="11"/>
    <s v="D001"/>
    <s v="Green Valley Produce"/>
    <s v="Midwest"/>
    <s v="P006"/>
    <s v="Chicken Breast"/>
    <s v="Meat"/>
    <n v="608"/>
    <n v="416"/>
    <n v="43"/>
    <n v="7.1"/>
    <n v="1836.51"/>
  </r>
  <r>
    <x v="11"/>
    <s v="D002"/>
    <s v="Fresh Coast Foods"/>
    <s v="Southeast"/>
    <s v="P001"/>
    <s v="Leafy Greens"/>
    <s v="Produce"/>
    <n v="677"/>
    <n v="462"/>
    <n v="37"/>
    <n v="5.5"/>
    <n v="1295.28"/>
  </r>
  <r>
    <x v="11"/>
    <s v="D002"/>
    <s v="Fresh Coast Foods"/>
    <s v="Southeast"/>
    <s v="P002"/>
    <s v="Whole Milk"/>
    <s v="Dairy"/>
    <n v="593"/>
    <n v="523"/>
    <n v="42"/>
    <n v="7.1"/>
    <n v="4138.95"/>
  </r>
  <r>
    <x v="11"/>
    <s v="D002"/>
    <s v="Fresh Coast Foods"/>
    <s v="Southeast"/>
    <s v="P003"/>
    <s v="Ground Beef"/>
    <s v="Meat"/>
    <n v="535"/>
    <n v="482"/>
    <n v="19"/>
    <n v="3.6"/>
    <n v="1665.82"/>
  </r>
  <r>
    <x v="11"/>
    <s v="D002"/>
    <s v="Fresh Coast Foods"/>
    <s v="Southeast"/>
    <s v="P004"/>
    <s v="Tomatoes"/>
    <s v="Produce"/>
    <n v="727"/>
    <n v="564"/>
    <n v="57"/>
    <n v="7.8"/>
    <n v="1714.73"/>
  </r>
  <r>
    <x v="11"/>
    <s v="D002"/>
    <s v="Fresh Coast Foods"/>
    <s v="Southeast"/>
    <s v="P005"/>
    <s v="Cheddar Cheese"/>
    <s v="Dairy"/>
    <n v="602"/>
    <n v="473"/>
    <n v="40"/>
    <n v="6.6"/>
    <n v="2184.02"/>
  </r>
  <r>
    <x v="11"/>
    <s v="D002"/>
    <s v="Fresh Coast Foods"/>
    <s v="Southeast"/>
    <s v="P006"/>
    <s v="Chicken Breast"/>
    <s v="Meat"/>
    <n v="251"/>
    <n v="182"/>
    <n v="23"/>
    <n v="9.1999999999999993"/>
    <n v="1189.3900000000001"/>
  </r>
  <r>
    <x v="11"/>
    <s v="D003"/>
    <s v="Heartland Meats"/>
    <s v="Plains"/>
    <s v="P001"/>
    <s v="Leafy Greens"/>
    <s v="Produce"/>
    <n v="492"/>
    <n v="391"/>
    <n v="34"/>
    <n v="6.9"/>
    <n v="3047.74"/>
  </r>
  <r>
    <x v="11"/>
    <s v="D003"/>
    <s v="Heartland Meats"/>
    <s v="Plains"/>
    <s v="P002"/>
    <s v="Whole Milk"/>
    <s v="Dairy"/>
    <n v="574"/>
    <n v="491"/>
    <n v="26"/>
    <n v="4.5"/>
    <n v="2907.55"/>
  </r>
  <r>
    <x v="11"/>
    <s v="D003"/>
    <s v="Heartland Meats"/>
    <s v="Plains"/>
    <s v="P003"/>
    <s v="Ground Beef"/>
    <s v="Meat"/>
    <n v="399"/>
    <n v="298"/>
    <n v="20"/>
    <n v="5"/>
    <n v="1550.23"/>
  </r>
  <r>
    <x v="11"/>
    <s v="D003"/>
    <s v="Heartland Meats"/>
    <s v="Plains"/>
    <s v="P004"/>
    <s v="Tomatoes"/>
    <s v="Produce"/>
    <n v="763"/>
    <n v="553"/>
    <n v="79"/>
    <n v="10.4"/>
    <n v="1776.71"/>
  </r>
  <r>
    <x v="11"/>
    <s v="D003"/>
    <s v="Heartland Meats"/>
    <s v="Plains"/>
    <s v="P005"/>
    <s v="Cheddar Cheese"/>
    <s v="Dairy"/>
    <n v="299"/>
    <n v="226"/>
    <n v="21"/>
    <n v="7"/>
    <n v="1838.21"/>
  </r>
  <r>
    <x v="11"/>
    <s v="D003"/>
    <s v="Heartland Meats"/>
    <s v="Plains"/>
    <s v="P006"/>
    <s v="Chicken Breast"/>
    <s v="Meat"/>
    <n v="347"/>
    <n v="244"/>
    <n v="25"/>
    <n v="7.2"/>
    <n v="676.32"/>
  </r>
  <r>
    <x v="11"/>
    <s v="D004"/>
    <s v="Southwest Organics"/>
    <s v="Southwest"/>
    <s v="P001"/>
    <s v="Leafy Greens"/>
    <s v="Produce"/>
    <n v="340"/>
    <n v="286"/>
    <n v="22"/>
    <n v="6.5"/>
    <n v="970.58"/>
  </r>
  <r>
    <x v="11"/>
    <s v="D004"/>
    <s v="Southwest Organics"/>
    <s v="Southwest"/>
    <s v="P002"/>
    <s v="Whole Milk"/>
    <s v="Dairy"/>
    <n v="727"/>
    <n v="499"/>
    <n v="66"/>
    <n v="9.1"/>
    <n v="2424.0100000000002"/>
  </r>
  <r>
    <x v="11"/>
    <s v="D004"/>
    <s v="Southwest Organics"/>
    <s v="Southwest"/>
    <s v="P003"/>
    <s v="Ground Beef"/>
    <s v="Meat"/>
    <n v="506"/>
    <n v="410"/>
    <n v="30"/>
    <n v="5.9"/>
    <n v="2230.02"/>
  </r>
  <r>
    <x v="11"/>
    <s v="D004"/>
    <s v="Southwest Organics"/>
    <s v="Southwest"/>
    <s v="P004"/>
    <s v="Tomatoes"/>
    <s v="Produce"/>
    <n v="776"/>
    <n v="567"/>
    <n v="61"/>
    <n v="7.9"/>
    <n v="3709.79"/>
  </r>
  <r>
    <x v="11"/>
    <s v="D004"/>
    <s v="Southwest Organics"/>
    <s v="Southwest"/>
    <s v="P005"/>
    <s v="Cheddar Cheese"/>
    <s v="Dairy"/>
    <n v="626"/>
    <n v="505"/>
    <n v="51"/>
    <n v="8.1"/>
    <n v="3347.27"/>
  </r>
  <r>
    <x v="11"/>
    <s v="D004"/>
    <s v="Southwest Organics"/>
    <s v="Southwest"/>
    <s v="P006"/>
    <s v="Chicken Breast"/>
    <s v="Meat"/>
    <n v="227"/>
    <n v="184"/>
    <n v="13"/>
    <n v="5.7"/>
    <n v="1533.15"/>
  </r>
  <r>
    <x v="11"/>
    <s v="D005"/>
    <s v="Great Lakes Dairy"/>
    <s v="Midwest"/>
    <s v="P001"/>
    <s v="Leafy Greens"/>
    <s v="Produce"/>
    <n v="792"/>
    <n v="638"/>
    <n v="57"/>
    <n v="7.2"/>
    <n v="2247.7199999999998"/>
  </r>
  <r>
    <x v="11"/>
    <s v="D005"/>
    <s v="Great Lakes Dairy"/>
    <s v="Midwest"/>
    <s v="P002"/>
    <s v="Whole Milk"/>
    <s v="Dairy"/>
    <n v="589"/>
    <n v="406"/>
    <n v="36"/>
    <n v="6.1"/>
    <n v="3324.83"/>
  </r>
  <r>
    <x v="11"/>
    <s v="D005"/>
    <s v="Great Lakes Dairy"/>
    <s v="Midwest"/>
    <s v="P003"/>
    <s v="Ground Beef"/>
    <s v="Meat"/>
    <n v="312"/>
    <n v="218"/>
    <n v="20"/>
    <n v="6.4"/>
    <n v="1085.1500000000001"/>
  </r>
  <r>
    <x v="11"/>
    <s v="D005"/>
    <s v="Great Lakes Dairy"/>
    <s v="Midwest"/>
    <s v="P004"/>
    <s v="Tomatoes"/>
    <s v="Produce"/>
    <n v="408"/>
    <n v="310"/>
    <n v="40"/>
    <n v="9.8000000000000007"/>
    <n v="2398.44"/>
  </r>
  <r>
    <x v="11"/>
    <s v="D005"/>
    <s v="Great Lakes Dairy"/>
    <s v="Midwest"/>
    <s v="P005"/>
    <s v="Cheddar Cheese"/>
    <s v="Dairy"/>
    <n v="263"/>
    <n v="221"/>
    <n v="15"/>
    <n v="5.7"/>
    <n v="1876.01"/>
  </r>
  <r>
    <x v="11"/>
    <s v="D005"/>
    <s v="Great Lakes Dairy"/>
    <s v="Midwest"/>
    <s v="P006"/>
    <s v="Chicken Breast"/>
    <s v="Meat"/>
    <n v="689"/>
    <n v="545"/>
    <n v="26"/>
    <n v="3.8"/>
    <n v="4345.1499999999996"/>
  </r>
  <r>
    <x v="12"/>
    <s v="D001"/>
    <s v="Green Valley Produce"/>
    <s v="Midwest"/>
    <s v="P001"/>
    <s v="Leafy Greens"/>
    <s v="Produce"/>
    <n v="550"/>
    <n v="438"/>
    <n v="47"/>
    <n v="8.5"/>
    <n v="2884"/>
  </r>
  <r>
    <x v="12"/>
    <s v="D001"/>
    <s v="Green Valley Produce"/>
    <s v="Midwest"/>
    <s v="P002"/>
    <s v="Whole Milk"/>
    <s v="Dairy"/>
    <n v="470"/>
    <n v="382"/>
    <n v="17"/>
    <n v="3.6"/>
    <n v="2234.13"/>
  </r>
  <r>
    <x v="12"/>
    <s v="D001"/>
    <s v="Green Valley Produce"/>
    <s v="Midwest"/>
    <s v="P003"/>
    <s v="Ground Beef"/>
    <s v="Meat"/>
    <n v="430"/>
    <n v="388"/>
    <n v="29"/>
    <n v="6.7"/>
    <n v="2611.0100000000002"/>
  </r>
  <r>
    <x v="12"/>
    <s v="D001"/>
    <s v="Green Valley Produce"/>
    <s v="Midwest"/>
    <s v="P004"/>
    <s v="Tomatoes"/>
    <s v="Produce"/>
    <n v="700"/>
    <n v="514"/>
    <n v="58"/>
    <n v="8.3000000000000007"/>
    <n v="3738.03"/>
  </r>
  <r>
    <x v="12"/>
    <s v="D001"/>
    <s v="Green Valley Produce"/>
    <s v="Midwest"/>
    <s v="P005"/>
    <s v="Cheddar Cheese"/>
    <s v="Dairy"/>
    <n v="480"/>
    <n v="349"/>
    <n v="36"/>
    <n v="7.5"/>
    <n v="2748.22"/>
  </r>
  <r>
    <x v="12"/>
    <s v="D001"/>
    <s v="Green Valley Produce"/>
    <s v="Midwest"/>
    <s v="P006"/>
    <s v="Chicken Breast"/>
    <s v="Meat"/>
    <n v="604"/>
    <n v="526"/>
    <n v="46"/>
    <n v="7.6"/>
    <n v="2231.67"/>
  </r>
  <r>
    <x v="12"/>
    <s v="D002"/>
    <s v="Fresh Coast Foods"/>
    <s v="Southeast"/>
    <s v="P001"/>
    <s v="Leafy Greens"/>
    <s v="Produce"/>
    <n v="494"/>
    <n v="448"/>
    <n v="30"/>
    <n v="6.1"/>
    <n v="2883.25"/>
  </r>
  <r>
    <x v="12"/>
    <s v="D002"/>
    <s v="Fresh Coast Foods"/>
    <s v="Southeast"/>
    <s v="P002"/>
    <s v="Whole Milk"/>
    <s v="Dairy"/>
    <n v="690"/>
    <n v="488"/>
    <n v="54"/>
    <n v="7.8"/>
    <n v="2865.59"/>
  </r>
  <r>
    <x v="12"/>
    <s v="D002"/>
    <s v="Fresh Coast Foods"/>
    <s v="Southeast"/>
    <s v="P003"/>
    <s v="Ground Beef"/>
    <s v="Meat"/>
    <n v="478"/>
    <n v="328"/>
    <n v="41"/>
    <n v="8.6"/>
    <n v="1297.1600000000001"/>
  </r>
  <r>
    <x v="12"/>
    <s v="D002"/>
    <s v="Fresh Coast Foods"/>
    <s v="Southeast"/>
    <s v="P004"/>
    <s v="Tomatoes"/>
    <s v="Produce"/>
    <n v="743"/>
    <n v="528"/>
    <n v="28"/>
    <n v="3.8"/>
    <n v="2366.37"/>
  </r>
  <r>
    <x v="12"/>
    <s v="D002"/>
    <s v="Fresh Coast Foods"/>
    <s v="Southeast"/>
    <s v="P005"/>
    <s v="Cheddar Cheese"/>
    <s v="Dairy"/>
    <n v="683"/>
    <n v="462"/>
    <n v="46"/>
    <n v="6.7"/>
    <n v="2680.58"/>
  </r>
  <r>
    <x v="12"/>
    <s v="D002"/>
    <s v="Fresh Coast Foods"/>
    <s v="Southeast"/>
    <s v="P006"/>
    <s v="Chicken Breast"/>
    <s v="Meat"/>
    <n v="361"/>
    <n v="274"/>
    <n v="37"/>
    <n v="10.199999999999999"/>
    <n v="1469.93"/>
  </r>
  <r>
    <x v="12"/>
    <s v="D003"/>
    <s v="Heartland Meats"/>
    <s v="Plains"/>
    <s v="P001"/>
    <s v="Leafy Greens"/>
    <s v="Produce"/>
    <n v="404"/>
    <n v="345"/>
    <n v="15"/>
    <n v="3.7"/>
    <n v="984.97"/>
  </r>
  <r>
    <x v="12"/>
    <s v="D003"/>
    <s v="Heartland Meats"/>
    <s v="Plains"/>
    <s v="P002"/>
    <s v="Whole Milk"/>
    <s v="Dairy"/>
    <n v="291"/>
    <n v="240"/>
    <n v="17"/>
    <n v="5.8"/>
    <n v="1824.48"/>
  </r>
  <r>
    <x v="12"/>
    <s v="D003"/>
    <s v="Heartland Meats"/>
    <s v="Plains"/>
    <s v="P003"/>
    <s v="Ground Beef"/>
    <s v="Meat"/>
    <n v="238"/>
    <n v="213"/>
    <n v="14"/>
    <n v="5.9"/>
    <n v="757.16"/>
  </r>
  <r>
    <x v="12"/>
    <s v="D003"/>
    <s v="Heartland Meats"/>
    <s v="Plains"/>
    <s v="P004"/>
    <s v="Tomatoes"/>
    <s v="Produce"/>
    <n v="237"/>
    <n v="217"/>
    <n v="10"/>
    <n v="4.2"/>
    <n v="1761.96"/>
  </r>
  <r>
    <x v="12"/>
    <s v="D003"/>
    <s v="Heartland Meats"/>
    <s v="Plains"/>
    <s v="P005"/>
    <s v="Cheddar Cheese"/>
    <s v="Dairy"/>
    <n v="496"/>
    <n v="439"/>
    <n v="21"/>
    <n v="4.2"/>
    <n v="1380.13"/>
  </r>
  <r>
    <x v="12"/>
    <s v="D003"/>
    <s v="Heartland Meats"/>
    <s v="Plains"/>
    <s v="P006"/>
    <s v="Chicken Breast"/>
    <s v="Meat"/>
    <n v="543"/>
    <n v="394"/>
    <n v="52"/>
    <n v="9.6"/>
    <n v="2152.61"/>
  </r>
  <r>
    <x v="12"/>
    <s v="D004"/>
    <s v="Southwest Organics"/>
    <s v="Southwest"/>
    <s v="P001"/>
    <s v="Leafy Greens"/>
    <s v="Produce"/>
    <n v="337"/>
    <n v="296"/>
    <n v="11"/>
    <n v="3.3"/>
    <n v="940.06"/>
  </r>
  <r>
    <x v="12"/>
    <s v="D004"/>
    <s v="Southwest Organics"/>
    <s v="Southwest"/>
    <s v="P002"/>
    <s v="Whole Milk"/>
    <s v="Dairy"/>
    <n v="366"/>
    <n v="310"/>
    <n v="25"/>
    <n v="6.8"/>
    <n v="801.2"/>
  </r>
  <r>
    <x v="12"/>
    <s v="D004"/>
    <s v="Southwest Organics"/>
    <s v="Southwest"/>
    <s v="P003"/>
    <s v="Ground Beef"/>
    <s v="Meat"/>
    <n v="545"/>
    <n v="470"/>
    <n v="36"/>
    <n v="6.6"/>
    <n v="1669.9"/>
  </r>
  <r>
    <x v="12"/>
    <s v="D004"/>
    <s v="Southwest Organics"/>
    <s v="Southwest"/>
    <s v="P004"/>
    <s v="Tomatoes"/>
    <s v="Produce"/>
    <n v="615"/>
    <n v="537"/>
    <n v="19"/>
    <n v="3.1"/>
    <n v="3498.84"/>
  </r>
  <r>
    <x v="12"/>
    <s v="D004"/>
    <s v="Southwest Organics"/>
    <s v="Southwest"/>
    <s v="P005"/>
    <s v="Cheddar Cheese"/>
    <s v="Dairy"/>
    <n v="389"/>
    <n v="355"/>
    <n v="26"/>
    <n v="6.7"/>
    <n v="902.05"/>
  </r>
  <r>
    <x v="12"/>
    <s v="D004"/>
    <s v="Southwest Organics"/>
    <s v="Southwest"/>
    <s v="P006"/>
    <s v="Chicken Breast"/>
    <s v="Meat"/>
    <n v="592"/>
    <n v="422"/>
    <n v="64"/>
    <n v="10.8"/>
    <n v="1819.53"/>
  </r>
  <r>
    <x v="12"/>
    <s v="D005"/>
    <s v="Great Lakes Dairy"/>
    <s v="Midwest"/>
    <s v="P001"/>
    <s v="Leafy Greens"/>
    <s v="Produce"/>
    <n v="786"/>
    <n v="513"/>
    <n v="78"/>
    <n v="9.9"/>
    <n v="1473.72"/>
  </r>
  <r>
    <x v="12"/>
    <s v="D005"/>
    <s v="Great Lakes Dairy"/>
    <s v="Midwest"/>
    <s v="P002"/>
    <s v="Whole Milk"/>
    <s v="Dairy"/>
    <n v="321"/>
    <n v="248"/>
    <n v="19"/>
    <n v="5.9"/>
    <n v="1993.58"/>
  </r>
  <r>
    <x v="12"/>
    <s v="D005"/>
    <s v="Great Lakes Dairy"/>
    <s v="Midwest"/>
    <s v="P003"/>
    <s v="Ground Beef"/>
    <s v="Meat"/>
    <n v="518"/>
    <n v="433"/>
    <n v="42"/>
    <n v="8.1"/>
    <n v="2037.38"/>
  </r>
  <r>
    <x v="12"/>
    <s v="D005"/>
    <s v="Great Lakes Dairy"/>
    <s v="Midwest"/>
    <s v="P004"/>
    <s v="Tomatoes"/>
    <s v="Produce"/>
    <n v="426"/>
    <n v="302"/>
    <n v="15"/>
    <n v="3.5"/>
    <n v="2109.9"/>
  </r>
  <r>
    <x v="12"/>
    <s v="D005"/>
    <s v="Great Lakes Dairy"/>
    <s v="Midwest"/>
    <s v="P005"/>
    <s v="Cheddar Cheese"/>
    <s v="Dairy"/>
    <n v="582"/>
    <n v="443"/>
    <n v="38"/>
    <n v="6.5"/>
    <n v="2536.2199999999998"/>
  </r>
  <r>
    <x v="12"/>
    <s v="D005"/>
    <s v="Great Lakes Dairy"/>
    <s v="Midwest"/>
    <s v="P006"/>
    <s v="Chicken Breast"/>
    <s v="Meat"/>
    <n v="423"/>
    <n v="361"/>
    <n v="26"/>
    <n v="6.1"/>
    <n v="2607.94"/>
  </r>
  <r>
    <x v="13"/>
    <s v="D001"/>
    <s v="Green Valley Produce"/>
    <s v="Midwest"/>
    <s v="P001"/>
    <s v="Leafy Greens"/>
    <s v="Produce"/>
    <n v="738"/>
    <n v="568"/>
    <n v="38"/>
    <n v="5.0999999999999996"/>
    <n v="3342.69"/>
  </r>
  <r>
    <x v="13"/>
    <s v="D001"/>
    <s v="Green Valley Produce"/>
    <s v="Midwest"/>
    <s v="P002"/>
    <s v="Whole Milk"/>
    <s v="Dairy"/>
    <n v="263"/>
    <n v="229"/>
    <n v="12"/>
    <n v="4.5999999999999996"/>
    <n v="1309.8699999999999"/>
  </r>
  <r>
    <x v="13"/>
    <s v="D001"/>
    <s v="Green Valley Produce"/>
    <s v="Midwest"/>
    <s v="P003"/>
    <s v="Ground Beef"/>
    <s v="Meat"/>
    <n v="368"/>
    <n v="271"/>
    <n v="18"/>
    <n v="4.9000000000000004"/>
    <n v="1011.48"/>
  </r>
  <r>
    <x v="13"/>
    <s v="D001"/>
    <s v="Green Valley Produce"/>
    <s v="Midwest"/>
    <s v="P004"/>
    <s v="Tomatoes"/>
    <s v="Produce"/>
    <n v="797"/>
    <n v="623"/>
    <n v="60"/>
    <n v="7.5"/>
    <n v="1765.47"/>
  </r>
  <r>
    <x v="13"/>
    <s v="D001"/>
    <s v="Green Valley Produce"/>
    <s v="Midwest"/>
    <s v="P005"/>
    <s v="Cheddar Cheese"/>
    <s v="Dairy"/>
    <n v="335"/>
    <n v="264"/>
    <n v="12"/>
    <n v="3.6"/>
    <n v="1392.41"/>
  </r>
  <r>
    <x v="13"/>
    <s v="D001"/>
    <s v="Green Valley Produce"/>
    <s v="Midwest"/>
    <s v="P006"/>
    <s v="Chicken Breast"/>
    <s v="Meat"/>
    <n v="515"/>
    <n v="435"/>
    <n v="35"/>
    <n v="6.8"/>
    <n v="3034.05"/>
  </r>
  <r>
    <x v="13"/>
    <s v="D002"/>
    <s v="Fresh Coast Foods"/>
    <s v="Southeast"/>
    <s v="P001"/>
    <s v="Leafy Greens"/>
    <s v="Produce"/>
    <n v="792"/>
    <n v="530"/>
    <n v="66"/>
    <n v="8.3000000000000007"/>
    <n v="3045.9"/>
  </r>
  <r>
    <x v="13"/>
    <s v="D002"/>
    <s v="Fresh Coast Foods"/>
    <s v="Southeast"/>
    <s v="P002"/>
    <s v="Whole Milk"/>
    <s v="Dairy"/>
    <n v="261"/>
    <n v="235"/>
    <n v="16"/>
    <n v="6.1"/>
    <n v="632.25"/>
  </r>
  <r>
    <x v="13"/>
    <s v="D002"/>
    <s v="Fresh Coast Foods"/>
    <s v="Southeast"/>
    <s v="P003"/>
    <s v="Ground Beef"/>
    <s v="Meat"/>
    <n v="618"/>
    <n v="431"/>
    <n v="38"/>
    <n v="6.1"/>
    <n v="2963.44"/>
  </r>
  <r>
    <x v="13"/>
    <s v="D002"/>
    <s v="Fresh Coast Foods"/>
    <s v="Southeast"/>
    <s v="P004"/>
    <s v="Tomatoes"/>
    <s v="Produce"/>
    <n v="630"/>
    <n v="473"/>
    <n v="51"/>
    <n v="8.1"/>
    <n v="3785.27"/>
  </r>
  <r>
    <x v="13"/>
    <s v="D002"/>
    <s v="Fresh Coast Foods"/>
    <s v="Southeast"/>
    <s v="P005"/>
    <s v="Cheddar Cheese"/>
    <s v="Dairy"/>
    <n v="586"/>
    <n v="440"/>
    <n v="49"/>
    <n v="8.4"/>
    <n v="2523.75"/>
  </r>
  <r>
    <x v="13"/>
    <s v="D002"/>
    <s v="Fresh Coast Foods"/>
    <s v="Southeast"/>
    <s v="P006"/>
    <s v="Chicken Breast"/>
    <s v="Meat"/>
    <n v="556"/>
    <n v="379"/>
    <n v="55"/>
    <n v="9.9"/>
    <n v="1237.0899999999999"/>
  </r>
  <r>
    <x v="13"/>
    <s v="D003"/>
    <s v="Heartland Meats"/>
    <s v="Plains"/>
    <s v="P001"/>
    <s v="Leafy Greens"/>
    <s v="Produce"/>
    <n v="428"/>
    <n v="374"/>
    <n v="34"/>
    <n v="7.9"/>
    <n v="1973.98"/>
  </r>
  <r>
    <x v="13"/>
    <s v="D003"/>
    <s v="Heartland Meats"/>
    <s v="Plains"/>
    <s v="P002"/>
    <s v="Whole Milk"/>
    <s v="Dairy"/>
    <n v="757"/>
    <n v="578"/>
    <n v="35"/>
    <n v="4.5999999999999996"/>
    <n v="3042.45"/>
  </r>
  <r>
    <x v="13"/>
    <s v="D003"/>
    <s v="Heartland Meats"/>
    <s v="Plains"/>
    <s v="P003"/>
    <s v="Ground Beef"/>
    <s v="Meat"/>
    <n v="358"/>
    <n v="259"/>
    <n v="37"/>
    <n v="10.3"/>
    <n v="822.86"/>
  </r>
  <r>
    <x v="13"/>
    <s v="D003"/>
    <s v="Heartland Meats"/>
    <s v="Plains"/>
    <s v="P004"/>
    <s v="Tomatoes"/>
    <s v="Produce"/>
    <n v="629"/>
    <n v="513"/>
    <n v="58"/>
    <n v="9.1999999999999993"/>
    <n v="2023.27"/>
  </r>
  <r>
    <x v="13"/>
    <s v="D003"/>
    <s v="Heartland Meats"/>
    <s v="Plains"/>
    <s v="P005"/>
    <s v="Cheddar Cheese"/>
    <s v="Dairy"/>
    <n v="268"/>
    <n v="181"/>
    <n v="14"/>
    <n v="5.2"/>
    <n v="1216.27"/>
  </r>
  <r>
    <x v="13"/>
    <s v="D003"/>
    <s v="Heartland Meats"/>
    <s v="Plains"/>
    <s v="P006"/>
    <s v="Chicken Breast"/>
    <s v="Meat"/>
    <n v="249"/>
    <n v="178"/>
    <n v="11"/>
    <n v="4.4000000000000004"/>
    <n v="1021.46"/>
  </r>
  <r>
    <x v="13"/>
    <s v="D004"/>
    <s v="Southwest Organics"/>
    <s v="Southwest"/>
    <s v="P001"/>
    <s v="Leafy Greens"/>
    <s v="Produce"/>
    <n v="257"/>
    <n v="176"/>
    <n v="23"/>
    <n v="8.9"/>
    <n v="1407.72"/>
  </r>
  <r>
    <x v="13"/>
    <s v="D004"/>
    <s v="Southwest Organics"/>
    <s v="Southwest"/>
    <s v="P002"/>
    <s v="Whole Milk"/>
    <s v="Dairy"/>
    <n v="789"/>
    <n v="580"/>
    <n v="65"/>
    <n v="8.1999999999999993"/>
    <n v="2565.91"/>
  </r>
  <r>
    <x v="13"/>
    <s v="D004"/>
    <s v="Southwest Organics"/>
    <s v="Southwest"/>
    <s v="P003"/>
    <s v="Ground Beef"/>
    <s v="Meat"/>
    <n v="509"/>
    <n v="451"/>
    <n v="30"/>
    <n v="5.9"/>
    <n v="2246.59"/>
  </r>
  <r>
    <x v="13"/>
    <s v="D004"/>
    <s v="Southwest Organics"/>
    <s v="Southwest"/>
    <s v="P004"/>
    <s v="Tomatoes"/>
    <s v="Produce"/>
    <n v="481"/>
    <n v="320"/>
    <n v="59"/>
    <n v="12.3"/>
    <n v="2550.23"/>
  </r>
  <r>
    <x v="13"/>
    <s v="D004"/>
    <s v="Southwest Organics"/>
    <s v="Southwest"/>
    <s v="P005"/>
    <s v="Cheddar Cheese"/>
    <s v="Dairy"/>
    <n v="637"/>
    <n v="509"/>
    <n v="23"/>
    <n v="3.6"/>
    <n v="3237.19"/>
  </r>
  <r>
    <x v="13"/>
    <s v="D004"/>
    <s v="Southwest Organics"/>
    <s v="Southwest"/>
    <s v="P006"/>
    <s v="Chicken Breast"/>
    <s v="Meat"/>
    <n v="590"/>
    <n v="508"/>
    <n v="26"/>
    <n v="4.4000000000000004"/>
    <n v="1724.82"/>
  </r>
  <r>
    <x v="13"/>
    <s v="D005"/>
    <s v="Great Lakes Dairy"/>
    <s v="Midwest"/>
    <s v="P001"/>
    <s v="Leafy Greens"/>
    <s v="Produce"/>
    <n v="585"/>
    <n v="409"/>
    <n v="36"/>
    <n v="6.2"/>
    <n v="1575.5"/>
  </r>
  <r>
    <x v="13"/>
    <s v="D005"/>
    <s v="Great Lakes Dairy"/>
    <s v="Midwest"/>
    <s v="P002"/>
    <s v="Whole Milk"/>
    <s v="Dairy"/>
    <n v="347"/>
    <n v="301"/>
    <n v="22"/>
    <n v="6.3"/>
    <n v="2500.3200000000002"/>
  </r>
  <r>
    <x v="13"/>
    <s v="D005"/>
    <s v="Great Lakes Dairy"/>
    <s v="Midwest"/>
    <s v="P003"/>
    <s v="Ground Beef"/>
    <s v="Meat"/>
    <n v="770"/>
    <n v="610"/>
    <n v="35"/>
    <n v="4.5"/>
    <n v="2733.76"/>
  </r>
  <r>
    <x v="13"/>
    <s v="D005"/>
    <s v="Great Lakes Dairy"/>
    <s v="Midwest"/>
    <s v="P004"/>
    <s v="Tomatoes"/>
    <s v="Produce"/>
    <n v="280"/>
    <n v="251"/>
    <n v="9"/>
    <n v="3.2"/>
    <n v="1718.72"/>
  </r>
  <r>
    <x v="13"/>
    <s v="D005"/>
    <s v="Great Lakes Dairy"/>
    <s v="Midwest"/>
    <s v="P005"/>
    <s v="Cheddar Cheese"/>
    <s v="Dairy"/>
    <n v="395"/>
    <n v="262"/>
    <n v="30"/>
    <n v="7.6"/>
    <n v="717.17"/>
  </r>
  <r>
    <x v="13"/>
    <s v="D005"/>
    <s v="Great Lakes Dairy"/>
    <s v="Midwest"/>
    <s v="P006"/>
    <s v="Chicken Breast"/>
    <s v="Meat"/>
    <n v="274"/>
    <n v="192"/>
    <n v="27"/>
    <n v="9.9"/>
    <n v="1123.8"/>
  </r>
  <r>
    <x v="14"/>
    <s v="D001"/>
    <s v="Green Valley Produce"/>
    <s v="Midwest"/>
    <s v="P001"/>
    <s v="Leafy Greens"/>
    <s v="Produce"/>
    <n v="690"/>
    <n v="487"/>
    <n v="58"/>
    <n v="8.4"/>
    <n v="3873.58"/>
  </r>
  <r>
    <x v="14"/>
    <s v="D001"/>
    <s v="Green Valley Produce"/>
    <s v="Midwest"/>
    <s v="P002"/>
    <s v="Whole Milk"/>
    <s v="Dairy"/>
    <n v="416"/>
    <n v="375"/>
    <n v="15"/>
    <n v="3.6"/>
    <n v="3186.54"/>
  </r>
  <r>
    <x v="14"/>
    <s v="D001"/>
    <s v="Green Valley Produce"/>
    <s v="Midwest"/>
    <s v="P003"/>
    <s v="Ground Beef"/>
    <s v="Meat"/>
    <n v="690"/>
    <n v="618"/>
    <n v="43"/>
    <n v="6.2"/>
    <n v="3015.71"/>
  </r>
  <r>
    <x v="14"/>
    <s v="D001"/>
    <s v="Green Valley Produce"/>
    <s v="Midwest"/>
    <s v="P004"/>
    <s v="Tomatoes"/>
    <s v="Produce"/>
    <n v="445"/>
    <n v="355"/>
    <n v="29"/>
    <n v="6.5"/>
    <n v="2024.17"/>
  </r>
  <r>
    <x v="14"/>
    <s v="D001"/>
    <s v="Green Valley Produce"/>
    <s v="Midwest"/>
    <s v="P005"/>
    <s v="Cheddar Cheese"/>
    <s v="Dairy"/>
    <n v="567"/>
    <n v="415"/>
    <n v="46"/>
    <n v="8.1"/>
    <n v="2197.85"/>
  </r>
  <r>
    <x v="14"/>
    <s v="D001"/>
    <s v="Green Valley Produce"/>
    <s v="Midwest"/>
    <s v="P006"/>
    <s v="Chicken Breast"/>
    <s v="Meat"/>
    <n v="680"/>
    <n v="581"/>
    <n v="23"/>
    <n v="3.4"/>
    <n v="2543.35"/>
  </r>
  <r>
    <x v="14"/>
    <s v="D002"/>
    <s v="Fresh Coast Foods"/>
    <s v="Southeast"/>
    <s v="P001"/>
    <s v="Leafy Greens"/>
    <s v="Produce"/>
    <n v="246"/>
    <n v="197"/>
    <n v="8"/>
    <n v="3.3"/>
    <n v="800.73"/>
  </r>
  <r>
    <x v="14"/>
    <s v="D002"/>
    <s v="Fresh Coast Foods"/>
    <s v="Southeast"/>
    <s v="P002"/>
    <s v="Whole Milk"/>
    <s v="Dairy"/>
    <n v="798"/>
    <n v="643"/>
    <n v="31"/>
    <n v="3.9"/>
    <n v="2880.12"/>
  </r>
  <r>
    <x v="14"/>
    <s v="D002"/>
    <s v="Fresh Coast Foods"/>
    <s v="Southeast"/>
    <s v="P003"/>
    <s v="Ground Beef"/>
    <s v="Meat"/>
    <n v="588"/>
    <n v="472"/>
    <n v="31"/>
    <n v="5.3"/>
    <n v="3851.89"/>
  </r>
  <r>
    <x v="14"/>
    <s v="D002"/>
    <s v="Fresh Coast Foods"/>
    <s v="Southeast"/>
    <s v="P004"/>
    <s v="Tomatoes"/>
    <s v="Produce"/>
    <n v="545"/>
    <n v="392"/>
    <n v="60"/>
    <n v="11"/>
    <n v="2489.27"/>
  </r>
  <r>
    <x v="14"/>
    <s v="D002"/>
    <s v="Fresh Coast Foods"/>
    <s v="Southeast"/>
    <s v="P005"/>
    <s v="Cheddar Cheese"/>
    <s v="Dairy"/>
    <n v="702"/>
    <n v="543"/>
    <n v="46"/>
    <n v="6.6"/>
    <n v="1813.48"/>
  </r>
  <r>
    <x v="14"/>
    <s v="D002"/>
    <s v="Fresh Coast Foods"/>
    <s v="Southeast"/>
    <s v="P006"/>
    <s v="Chicken Breast"/>
    <s v="Meat"/>
    <n v="759"/>
    <n v="593"/>
    <n v="62"/>
    <n v="8.1999999999999993"/>
    <n v="3766.06"/>
  </r>
  <r>
    <x v="14"/>
    <s v="D003"/>
    <s v="Heartland Meats"/>
    <s v="Plains"/>
    <s v="P001"/>
    <s v="Leafy Greens"/>
    <s v="Produce"/>
    <n v="260"/>
    <n v="205"/>
    <n v="14"/>
    <n v="5.4"/>
    <n v="1518.63"/>
  </r>
  <r>
    <x v="14"/>
    <s v="D003"/>
    <s v="Heartland Meats"/>
    <s v="Plains"/>
    <s v="P002"/>
    <s v="Whole Milk"/>
    <s v="Dairy"/>
    <n v="249"/>
    <n v="213"/>
    <n v="17"/>
    <n v="6.8"/>
    <n v="828.27"/>
  </r>
  <r>
    <x v="14"/>
    <s v="D003"/>
    <s v="Heartland Meats"/>
    <s v="Plains"/>
    <s v="P003"/>
    <s v="Ground Beef"/>
    <s v="Meat"/>
    <n v="354"/>
    <n v="230"/>
    <n v="26"/>
    <n v="7.3"/>
    <n v="1427.61"/>
  </r>
  <r>
    <x v="14"/>
    <s v="D003"/>
    <s v="Heartland Meats"/>
    <s v="Plains"/>
    <s v="P004"/>
    <s v="Tomatoes"/>
    <s v="Produce"/>
    <n v="694"/>
    <n v="574"/>
    <n v="30"/>
    <n v="4.3"/>
    <n v="2851.65"/>
  </r>
  <r>
    <x v="14"/>
    <s v="D003"/>
    <s v="Heartland Meats"/>
    <s v="Plains"/>
    <s v="P005"/>
    <s v="Cheddar Cheese"/>
    <s v="Dairy"/>
    <n v="217"/>
    <n v="172"/>
    <n v="16"/>
    <n v="7.4"/>
    <n v="447.69"/>
  </r>
  <r>
    <x v="14"/>
    <s v="D003"/>
    <s v="Heartland Meats"/>
    <s v="Plains"/>
    <s v="P006"/>
    <s v="Chicken Breast"/>
    <s v="Meat"/>
    <n v="640"/>
    <n v="555"/>
    <n v="27"/>
    <n v="4.2"/>
    <n v="1708.23"/>
  </r>
  <r>
    <x v="14"/>
    <s v="D004"/>
    <s v="Southwest Organics"/>
    <s v="Southwest"/>
    <s v="P001"/>
    <s v="Leafy Greens"/>
    <s v="Produce"/>
    <n v="352"/>
    <n v="251"/>
    <n v="23"/>
    <n v="6.5"/>
    <n v="1161.29"/>
  </r>
  <r>
    <x v="14"/>
    <s v="D004"/>
    <s v="Southwest Organics"/>
    <s v="Southwest"/>
    <s v="P002"/>
    <s v="Whole Milk"/>
    <s v="Dairy"/>
    <n v="606"/>
    <n v="406"/>
    <n v="62"/>
    <n v="10.199999999999999"/>
    <n v="1607.45"/>
  </r>
  <r>
    <x v="14"/>
    <s v="D004"/>
    <s v="Southwest Organics"/>
    <s v="Southwest"/>
    <s v="P003"/>
    <s v="Ground Beef"/>
    <s v="Meat"/>
    <n v="431"/>
    <n v="315"/>
    <n v="27"/>
    <n v="6.3"/>
    <n v="2661.77"/>
  </r>
  <r>
    <x v="14"/>
    <s v="D004"/>
    <s v="Southwest Organics"/>
    <s v="Southwest"/>
    <s v="P004"/>
    <s v="Tomatoes"/>
    <s v="Produce"/>
    <n v="232"/>
    <n v="156"/>
    <n v="16"/>
    <n v="6.9"/>
    <n v="442.52"/>
  </r>
  <r>
    <x v="14"/>
    <s v="D004"/>
    <s v="Southwest Organics"/>
    <s v="Southwest"/>
    <s v="P005"/>
    <s v="Cheddar Cheese"/>
    <s v="Dairy"/>
    <n v="209"/>
    <n v="175"/>
    <n v="12"/>
    <n v="5.7"/>
    <n v="1114.6500000000001"/>
  </r>
  <r>
    <x v="14"/>
    <s v="D004"/>
    <s v="Southwest Organics"/>
    <s v="Southwest"/>
    <s v="P006"/>
    <s v="Chicken Breast"/>
    <s v="Meat"/>
    <n v="539"/>
    <n v="432"/>
    <n v="28"/>
    <n v="5.2"/>
    <n v="2448.9899999999998"/>
  </r>
  <r>
    <x v="14"/>
    <s v="D005"/>
    <s v="Great Lakes Dairy"/>
    <s v="Midwest"/>
    <s v="P001"/>
    <s v="Leafy Greens"/>
    <s v="Produce"/>
    <n v="243"/>
    <n v="173"/>
    <n v="24"/>
    <n v="9.9"/>
    <n v="1020.82"/>
  </r>
  <r>
    <x v="14"/>
    <s v="D005"/>
    <s v="Great Lakes Dairy"/>
    <s v="Midwest"/>
    <s v="P002"/>
    <s v="Whole Milk"/>
    <s v="Dairy"/>
    <n v="477"/>
    <n v="316"/>
    <n v="35"/>
    <n v="7.3"/>
    <n v="2495.09"/>
  </r>
  <r>
    <x v="14"/>
    <s v="D005"/>
    <s v="Great Lakes Dairy"/>
    <s v="Midwest"/>
    <s v="P003"/>
    <s v="Ground Beef"/>
    <s v="Meat"/>
    <n v="777"/>
    <n v="643"/>
    <n v="50"/>
    <n v="6.4"/>
    <n v="1667.91"/>
  </r>
  <r>
    <x v="14"/>
    <s v="D005"/>
    <s v="Great Lakes Dairy"/>
    <s v="Midwest"/>
    <s v="P004"/>
    <s v="Tomatoes"/>
    <s v="Produce"/>
    <n v="412"/>
    <n v="333"/>
    <n v="32"/>
    <n v="7.8"/>
    <n v="1628.3"/>
  </r>
  <r>
    <x v="14"/>
    <s v="D005"/>
    <s v="Great Lakes Dairy"/>
    <s v="Midwest"/>
    <s v="P005"/>
    <s v="Cheddar Cheese"/>
    <s v="Dairy"/>
    <n v="278"/>
    <n v="203"/>
    <n v="21"/>
    <n v="7.6"/>
    <n v="1542.12"/>
  </r>
  <r>
    <x v="14"/>
    <s v="D005"/>
    <s v="Great Lakes Dairy"/>
    <s v="Midwest"/>
    <s v="P006"/>
    <s v="Chicken Breast"/>
    <s v="Meat"/>
    <n v="753"/>
    <n v="556"/>
    <n v="47"/>
    <n v="6.2"/>
    <n v="4687.5600000000004"/>
  </r>
  <r>
    <x v="15"/>
    <s v="D001"/>
    <s v="Green Valley Produce"/>
    <s v="Midwest"/>
    <s v="P001"/>
    <s v="Leafy Greens"/>
    <s v="Produce"/>
    <n v="280"/>
    <n v="219"/>
    <n v="16"/>
    <n v="5.7"/>
    <n v="1121.83"/>
  </r>
  <r>
    <x v="15"/>
    <s v="D001"/>
    <s v="Green Valley Produce"/>
    <s v="Midwest"/>
    <s v="P002"/>
    <s v="Whole Milk"/>
    <s v="Dairy"/>
    <n v="277"/>
    <n v="205"/>
    <n v="28"/>
    <n v="10.1"/>
    <n v="1000.44"/>
  </r>
  <r>
    <x v="15"/>
    <s v="D001"/>
    <s v="Green Valley Produce"/>
    <s v="Midwest"/>
    <s v="P003"/>
    <s v="Ground Beef"/>
    <s v="Meat"/>
    <n v="534"/>
    <n v="351"/>
    <n v="48"/>
    <n v="9"/>
    <n v="1910.71"/>
  </r>
  <r>
    <x v="15"/>
    <s v="D001"/>
    <s v="Green Valley Produce"/>
    <s v="Midwest"/>
    <s v="P004"/>
    <s v="Tomatoes"/>
    <s v="Produce"/>
    <n v="564"/>
    <n v="450"/>
    <n v="23"/>
    <n v="4.0999999999999996"/>
    <n v="2706.86"/>
  </r>
  <r>
    <x v="15"/>
    <s v="D001"/>
    <s v="Green Valley Produce"/>
    <s v="Midwest"/>
    <s v="P005"/>
    <s v="Cheddar Cheese"/>
    <s v="Dairy"/>
    <n v="589"/>
    <n v="396"/>
    <n v="58"/>
    <n v="9.8000000000000007"/>
    <n v="2684.35"/>
  </r>
  <r>
    <x v="15"/>
    <s v="D001"/>
    <s v="Green Valley Produce"/>
    <s v="Midwest"/>
    <s v="P006"/>
    <s v="Chicken Breast"/>
    <s v="Meat"/>
    <n v="284"/>
    <n v="205"/>
    <n v="22"/>
    <n v="7.7"/>
    <n v="702.26"/>
  </r>
  <r>
    <x v="15"/>
    <s v="D002"/>
    <s v="Fresh Coast Foods"/>
    <s v="Southeast"/>
    <s v="P001"/>
    <s v="Leafy Greens"/>
    <s v="Produce"/>
    <n v="598"/>
    <n v="439"/>
    <n v="15"/>
    <n v="2.5"/>
    <n v="1909.48"/>
  </r>
  <r>
    <x v="15"/>
    <s v="D002"/>
    <s v="Fresh Coast Foods"/>
    <s v="Southeast"/>
    <s v="P002"/>
    <s v="Whole Milk"/>
    <s v="Dairy"/>
    <n v="568"/>
    <n v="485"/>
    <n v="13"/>
    <n v="2.2999999999999998"/>
    <n v="2466.65"/>
  </r>
  <r>
    <x v="15"/>
    <s v="D002"/>
    <s v="Fresh Coast Foods"/>
    <s v="Southeast"/>
    <s v="P003"/>
    <s v="Ground Beef"/>
    <s v="Meat"/>
    <n v="770"/>
    <n v="615"/>
    <n v="26"/>
    <n v="3.4"/>
    <n v="2843.44"/>
  </r>
  <r>
    <x v="15"/>
    <s v="D002"/>
    <s v="Fresh Coast Foods"/>
    <s v="Southeast"/>
    <s v="P004"/>
    <s v="Tomatoes"/>
    <s v="Produce"/>
    <n v="295"/>
    <n v="239"/>
    <n v="25"/>
    <n v="8.5"/>
    <n v="615.20000000000005"/>
  </r>
  <r>
    <x v="15"/>
    <s v="D002"/>
    <s v="Fresh Coast Foods"/>
    <s v="Southeast"/>
    <s v="P005"/>
    <s v="Cheddar Cheese"/>
    <s v="Dairy"/>
    <n v="623"/>
    <n v="470"/>
    <n v="42"/>
    <n v="6.7"/>
    <n v="3727.69"/>
  </r>
  <r>
    <x v="15"/>
    <s v="D002"/>
    <s v="Fresh Coast Foods"/>
    <s v="Southeast"/>
    <s v="P006"/>
    <s v="Chicken Breast"/>
    <s v="Meat"/>
    <n v="448"/>
    <n v="360"/>
    <n v="19"/>
    <n v="4.2"/>
    <n v="1199.8900000000001"/>
  </r>
  <r>
    <x v="15"/>
    <s v="D003"/>
    <s v="Heartland Meats"/>
    <s v="Plains"/>
    <s v="P001"/>
    <s v="Leafy Greens"/>
    <s v="Produce"/>
    <n v="508"/>
    <n v="367"/>
    <n v="18"/>
    <n v="3.5"/>
    <n v="1525.17"/>
  </r>
  <r>
    <x v="15"/>
    <s v="D003"/>
    <s v="Heartland Meats"/>
    <s v="Plains"/>
    <s v="P002"/>
    <s v="Whole Milk"/>
    <s v="Dairy"/>
    <n v="506"/>
    <n v="395"/>
    <n v="17"/>
    <n v="3.4"/>
    <n v="1571.92"/>
  </r>
  <r>
    <x v="15"/>
    <s v="D003"/>
    <s v="Heartland Meats"/>
    <s v="Plains"/>
    <s v="P003"/>
    <s v="Ground Beef"/>
    <s v="Meat"/>
    <n v="707"/>
    <n v="572"/>
    <n v="21"/>
    <n v="3"/>
    <n v="2475.59"/>
  </r>
  <r>
    <x v="15"/>
    <s v="D003"/>
    <s v="Heartland Meats"/>
    <s v="Plains"/>
    <s v="P004"/>
    <s v="Tomatoes"/>
    <s v="Produce"/>
    <n v="605"/>
    <n v="447"/>
    <n v="54"/>
    <n v="8.9"/>
    <n v="2001.33"/>
  </r>
  <r>
    <x v="15"/>
    <s v="D003"/>
    <s v="Heartland Meats"/>
    <s v="Plains"/>
    <s v="P005"/>
    <s v="Cheddar Cheese"/>
    <s v="Dairy"/>
    <n v="542"/>
    <n v="415"/>
    <n v="46"/>
    <n v="8.5"/>
    <n v="2517.54"/>
  </r>
  <r>
    <x v="15"/>
    <s v="D003"/>
    <s v="Heartland Meats"/>
    <s v="Plains"/>
    <s v="P006"/>
    <s v="Chicken Breast"/>
    <s v="Meat"/>
    <n v="507"/>
    <n v="373"/>
    <n v="38"/>
    <n v="7.5"/>
    <n v="1635.64"/>
  </r>
  <r>
    <x v="15"/>
    <s v="D004"/>
    <s v="Southwest Organics"/>
    <s v="Southwest"/>
    <s v="P001"/>
    <s v="Leafy Greens"/>
    <s v="Produce"/>
    <n v="607"/>
    <n v="553"/>
    <n v="32"/>
    <n v="5.3"/>
    <n v="3011.66"/>
  </r>
  <r>
    <x v="15"/>
    <s v="D004"/>
    <s v="Southwest Organics"/>
    <s v="Southwest"/>
    <s v="P002"/>
    <s v="Whole Milk"/>
    <s v="Dairy"/>
    <n v="789"/>
    <n v="679"/>
    <n v="29"/>
    <n v="3.7"/>
    <n v="4899.12"/>
  </r>
  <r>
    <x v="15"/>
    <s v="D004"/>
    <s v="Southwest Organics"/>
    <s v="Southwest"/>
    <s v="P003"/>
    <s v="Ground Beef"/>
    <s v="Meat"/>
    <n v="573"/>
    <n v="390"/>
    <n v="48"/>
    <n v="8.4"/>
    <n v="2251.77"/>
  </r>
  <r>
    <x v="15"/>
    <s v="D004"/>
    <s v="Southwest Organics"/>
    <s v="Southwest"/>
    <s v="P004"/>
    <s v="Tomatoes"/>
    <s v="Produce"/>
    <n v="763"/>
    <n v="501"/>
    <n v="88"/>
    <n v="11.5"/>
    <n v="1882.7"/>
  </r>
  <r>
    <x v="15"/>
    <s v="D004"/>
    <s v="Southwest Organics"/>
    <s v="Southwest"/>
    <s v="P005"/>
    <s v="Cheddar Cheese"/>
    <s v="Dairy"/>
    <n v="498"/>
    <n v="435"/>
    <n v="29"/>
    <n v="5.8"/>
    <n v="3162.57"/>
  </r>
  <r>
    <x v="15"/>
    <s v="D004"/>
    <s v="Southwest Organics"/>
    <s v="Southwest"/>
    <s v="P006"/>
    <s v="Chicken Breast"/>
    <s v="Meat"/>
    <n v="711"/>
    <n v="488"/>
    <n v="37"/>
    <n v="5.2"/>
    <n v="1671.33"/>
  </r>
  <r>
    <x v="15"/>
    <s v="D005"/>
    <s v="Great Lakes Dairy"/>
    <s v="Midwest"/>
    <s v="P001"/>
    <s v="Leafy Greens"/>
    <s v="Produce"/>
    <n v="633"/>
    <n v="546"/>
    <n v="42"/>
    <n v="6.6"/>
    <n v="2934.97"/>
  </r>
  <r>
    <x v="15"/>
    <s v="D005"/>
    <s v="Great Lakes Dairy"/>
    <s v="Midwest"/>
    <s v="P002"/>
    <s v="Whole Milk"/>
    <s v="Dairy"/>
    <n v="610"/>
    <n v="484"/>
    <n v="58"/>
    <n v="9.5"/>
    <n v="2424.75"/>
  </r>
  <r>
    <x v="15"/>
    <s v="D005"/>
    <s v="Great Lakes Dairy"/>
    <s v="Midwest"/>
    <s v="P003"/>
    <s v="Ground Beef"/>
    <s v="Meat"/>
    <n v="237"/>
    <n v="204"/>
    <n v="16"/>
    <n v="6.8"/>
    <n v="1167.17"/>
  </r>
  <r>
    <x v="15"/>
    <s v="D005"/>
    <s v="Great Lakes Dairy"/>
    <s v="Midwest"/>
    <s v="P004"/>
    <s v="Tomatoes"/>
    <s v="Produce"/>
    <n v="287"/>
    <n v="195"/>
    <n v="20"/>
    <n v="7"/>
    <n v="682.12"/>
  </r>
  <r>
    <x v="15"/>
    <s v="D005"/>
    <s v="Great Lakes Dairy"/>
    <s v="Midwest"/>
    <s v="P005"/>
    <s v="Cheddar Cheese"/>
    <s v="Dairy"/>
    <n v="245"/>
    <n v="196"/>
    <n v="18"/>
    <n v="7.3"/>
    <n v="1626.97"/>
  </r>
  <r>
    <x v="15"/>
    <s v="D005"/>
    <s v="Great Lakes Dairy"/>
    <s v="Midwest"/>
    <s v="P006"/>
    <s v="Chicken Breast"/>
    <s v="Meat"/>
    <n v="539"/>
    <n v="490"/>
    <n v="11"/>
    <n v="2"/>
    <n v="1985.69"/>
  </r>
  <r>
    <x v="16"/>
    <s v="D001"/>
    <s v="Green Valley Produce"/>
    <s v="Midwest"/>
    <s v="P001"/>
    <s v="Leafy Greens"/>
    <s v="Produce"/>
    <n v="722"/>
    <n v="614"/>
    <n v="47"/>
    <n v="6.5"/>
    <n v="2349.2800000000002"/>
  </r>
  <r>
    <x v="16"/>
    <s v="D001"/>
    <s v="Green Valley Produce"/>
    <s v="Midwest"/>
    <s v="P002"/>
    <s v="Whole Milk"/>
    <s v="Dairy"/>
    <n v="583"/>
    <n v="440"/>
    <n v="48"/>
    <n v="8.1999999999999993"/>
    <n v="2421.23"/>
  </r>
  <r>
    <x v="16"/>
    <s v="D001"/>
    <s v="Green Valley Produce"/>
    <s v="Midwest"/>
    <s v="P003"/>
    <s v="Ground Beef"/>
    <s v="Meat"/>
    <n v="553"/>
    <n v="508"/>
    <n v="19"/>
    <n v="3.4"/>
    <n v="4075.83"/>
  </r>
  <r>
    <x v="16"/>
    <s v="D001"/>
    <s v="Green Valley Produce"/>
    <s v="Midwest"/>
    <s v="P004"/>
    <s v="Tomatoes"/>
    <s v="Produce"/>
    <n v="287"/>
    <n v="195"/>
    <n v="24"/>
    <n v="8.4"/>
    <n v="852.41"/>
  </r>
  <r>
    <x v="16"/>
    <s v="D001"/>
    <s v="Green Valley Produce"/>
    <s v="Midwest"/>
    <s v="P005"/>
    <s v="Cheddar Cheese"/>
    <s v="Dairy"/>
    <n v="666"/>
    <n v="573"/>
    <n v="30"/>
    <n v="4.5"/>
    <n v="1768.13"/>
  </r>
  <r>
    <x v="16"/>
    <s v="D001"/>
    <s v="Green Valley Produce"/>
    <s v="Midwest"/>
    <s v="P006"/>
    <s v="Chicken Breast"/>
    <s v="Meat"/>
    <n v="663"/>
    <n v="488"/>
    <n v="49"/>
    <n v="7.4"/>
    <n v="1556.97"/>
  </r>
  <r>
    <x v="16"/>
    <s v="D002"/>
    <s v="Fresh Coast Foods"/>
    <s v="Southeast"/>
    <s v="P001"/>
    <s v="Leafy Greens"/>
    <s v="Produce"/>
    <n v="551"/>
    <n v="454"/>
    <n v="25"/>
    <n v="4.5"/>
    <n v="3815.14"/>
  </r>
  <r>
    <x v="16"/>
    <s v="D002"/>
    <s v="Fresh Coast Foods"/>
    <s v="Southeast"/>
    <s v="P002"/>
    <s v="Whole Milk"/>
    <s v="Dairy"/>
    <n v="449"/>
    <n v="354"/>
    <n v="25"/>
    <n v="5.6"/>
    <n v="1790.61"/>
  </r>
  <r>
    <x v="16"/>
    <s v="D002"/>
    <s v="Fresh Coast Foods"/>
    <s v="Southeast"/>
    <s v="P003"/>
    <s v="Ground Beef"/>
    <s v="Meat"/>
    <n v="673"/>
    <n v="479"/>
    <n v="34"/>
    <n v="5.0999999999999996"/>
    <n v="3038.24"/>
  </r>
  <r>
    <x v="16"/>
    <s v="D002"/>
    <s v="Fresh Coast Foods"/>
    <s v="Southeast"/>
    <s v="P004"/>
    <s v="Tomatoes"/>
    <s v="Produce"/>
    <n v="642"/>
    <n v="485"/>
    <n v="61"/>
    <n v="9.5"/>
    <n v="2520.7600000000002"/>
  </r>
  <r>
    <x v="16"/>
    <s v="D002"/>
    <s v="Fresh Coast Foods"/>
    <s v="Southeast"/>
    <s v="P005"/>
    <s v="Cheddar Cheese"/>
    <s v="Dairy"/>
    <n v="639"/>
    <n v="482"/>
    <n v="39"/>
    <n v="6.1"/>
    <n v="3380.73"/>
  </r>
  <r>
    <x v="16"/>
    <s v="D002"/>
    <s v="Fresh Coast Foods"/>
    <s v="Southeast"/>
    <s v="P006"/>
    <s v="Chicken Breast"/>
    <s v="Meat"/>
    <n v="264"/>
    <n v="212"/>
    <n v="19"/>
    <n v="7.2"/>
    <n v="995.29"/>
  </r>
  <r>
    <x v="16"/>
    <s v="D003"/>
    <s v="Heartland Meats"/>
    <s v="Plains"/>
    <s v="P001"/>
    <s v="Leafy Greens"/>
    <s v="Produce"/>
    <n v="401"/>
    <n v="310"/>
    <n v="29"/>
    <n v="7.2"/>
    <n v="1756.55"/>
  </r>
  <r>
    <x v="16"/>
    <s v="D003"/>
    <s v="Heartland Meats"/>
    <s v="Plains"/>
    <s v="P002"/>
    <s v="Whole Milk"/>
    <s v="Dairy"/>
    <n v="520"/>
    <n v="421"/>
    <n v="35"/>
    <n v="6.7"/>
    <n v="1931.36"/>
  </r>
  <r>
    <x v="16"/>
    <s v="D003"/>
    <s v="Heartland Meats"/>
    <s v="Plains"/>
    <s v="P003"/>
    <s v="Ground Beef"/>
    <s v="Meat"/>
    <n v="668"/>
    <n v="545"/>
    <n v="53"/>
    <n v="7.9"/>
    <n v="2335.14"/>
  </r>
  <r>
    <x v="16"/>
    <s v="D003"/>
    <s v="Heartland Meats"/>
    <s v="Plains"/>
    <s v="P004"/>
    <s v="Tomatoes"/>
    <s v="Produce"/>
    <n v="286"/>
    <n v="237"/>
    <n v="10"/>
    <n v="3.5"/>
    <n v="758.8"/>
  </r>
  <r>
    <x v="16"/>
    <s v="D003"/>
    <s v="Heartland Meats"/>
    <s v="Plains"/>
    <s v="P005"/>
    <s v="Cheddar Cheese"/>
    <s v="Dairy"/>
    <n v="582"/>
    <n v="487"/>
    <n v="30"/>
    <n v="5.2"/>
    <n v="1620.35"/>
  </r>
  <r>
    <x v="16"/>
    <s v="D003"/>
    <s v="Heartland Meats"/>
    <s v="Plains"/>
    <s v="P006"/>
    <s v="Chicken Breast"/>
    <s v="Meat"/>
    <n v="592"/>
    <n v="452"/>
    <n v="39"/>
    <n v="6.6"/>
    <n v="3622.76"/>
  </r>
  <r>
    <x v="16"/>
    <s v="D004"/>
    <s v="Southwest Organics"/>
    <s v="Southwest"/>
    <s v="P001"/>
    <s v="Leafy Greens"/>
    <s v="Produce"/>
    <n v="377"/>
    <n v="301"/>
    <n v="16"/>
    <n v="4.2"/>
    <n v="1320.63"/>
  </r>
  <r>
    <x v="16"/>
    <s v="D004"/>
    <s v="Southwest Organics"/>
    <s v="Southwest"/>
    <s v="P002"/>
    <s v="Whole Milk"/>
    <s v="Dairy"/>
    <n v="661"/>
    <n v="540"/>
    <n v="61"/>
    <n v="9.1999999999999993"/>
    <n v="2920.13"/>
  </r>
  <r>
    <x v="16"/>
    <s v="D004"/>
    <s v="Southwest Organics"/>
    <s v="Southwest"/>
    <s v="P003"/>
    <s v="Ground Beef"/>
    <s v="Meat"/>
    <n v="399"/>
    <n v="347"/>
    <n v="25"/>
    <n v="6.3"/>
    <n v="1898.03"/>
  </r>
  <r>
    <x v="16"/>
    <s v="D004"/>
    <s v="Southwest Organics"/>
    <s v="Southwest"/>
    <s v="P004"/>
    <s v="Tomatoes"/>
    <s v="Produce"/>
    <n v="703"/>
    <n v="535"/>
    <n v="56"/>
    <n v="8"/>
    <n v="1602.87"/>
  </r>
  <r>
    <x v="16"/>
    <s v="D004"/>
    <s v="Southwest Organics"/>
    <s v="Southwest"/>
    <s v="P005"/>
    <s v="Cheddar Cheese"/>
    <s v="Dairy"/>
    <n v="231"/>
    <n v="199"/>
    <n v="5"/>
    <n v="2.2000000000000002"/>
    <n v="765.96"/>
  </r>
  <r>
    <x v="16"/>
    <s v="D004"/>
    <s v="Southwest Organics"/>
    <s v="Southwest"/>
    <s v="P006"/>
    <s v="Chicken Breast"/>
    <s v="Meat"/>
    <n v="495"/>
    <n v="344"/>
    <n v="41"/>
    <n v="8.3000000000000007"/>
    <n v="2440.86"/>
  </r>
  <r>
    <x v="16"/>
    <s v="D005"/>
    <s v="Great Lakes Dairy"/>
    <s v="Midwest"/>
    <s v="P001"/>
    <s v="Leafy Greens"/>
    <s v="Produce"/>
    <n v="762"/>
    <n v="600"/>
    <n v="41"/>
    <n v="5.4"/>
    <n v="3455.18"/>
  </r>
  <r>
    <x v="16"/>
    <s v="D005"/>
    <s v="Great Lakes Dairy"/>
    <s v="Midwest"/>
    <s v="P002"/>
    <s v="Whole Milk"/>
    <s v="Dairy"/>
    <n v="575"/>
    <n v="457"/>
    <n v="48"/>
    <n v="8.3000000000000007"/>
    <n v="2352.73"/>
  </r>
  <r>
    <x v="16"/>
    <s v="D005"/>
    <s v="Great Lakes Dairy"/>
    <s v="Midwest"/>
    <s v="P003"/>
    <s v="Ground Beef"/>
    <s v="Meat"/>
    <n v="423"/>
    <n v="387"/>
    <n v="23"/>
    <n v="5.4"/>
    <n v="2712.12"/>
  </r>
  <r>
    <x v="16"/>
    <s v="D005"/>
    <s v="Great Lakes Dairy"/>
    <s v="Midwest"/>
    <s v="P004"/>
    <s v="Tomatoes"/>
    <s v="Produce"/>
    <n v="504"/>
    <n v="446"/>
    <n v="14"/>
    <n v="2.8"/>
    <n v="3422.25"/>
  </r>
  <r>
    <x v="16"/>
    <s v="D005"/>
    <s v="Great Lakes Dairy"/>
    <s v="Midwest"/>
    <s v="P005"/>
    <s v="Cheddar Cheese"/>
    <s v="Dairy"/>
    <n v="289"/>
    <n v="222"/>
    <n v="28"/>
    <n v="9.6999999999999993"/>
    <n v="870.61"/>
  </r>
  <r>
    <x v="16"/>
    <s v="D005"/>
    <s v="Great Lakes Dairy"/>
    <s v="Midwest"/>
    <s v="P006"/>
    <s v="Chicken Breast"/>
    <s v="Meat"/>
    <n v="559"/>
    <n v="493"/>
    <n v="27"/>
    <n v="4.8"/>
    <n v="3055.08"/>
  </r>
  <r>
    <x v="17"/>
    <s v="D001"/>
    <s v="Green Valley Produce"/>
    <s v="Midwest"/>
    <s v="P001"/>
    <s v="Leafy Greens"/>
    <s v="Produce"/>
    <n v="411"/>
    <n v="357"/>
    <n v="25"/>
    <n v="6.1"/>
    <n v="2032.65"/>
  </r>
  <r>
    <x v="17"/>
    <s v="D001"/>
    <s v="Green Valley Produce"/>
    <s v="Midwest"/>
    <s v="P002"/>
    <s v="Whole Milk"/>
    <s v="Dairy"/>
    <n v="751"/>
    <n v="522"/>
    <n v="68"/>
    <n v="9.1"/>
    <n v="3098.81"/>
  </r>
  <r>
    <x v="17"/>
    <s v="D001"/>
    <s v="Green Valley Produce"/>
    <s v="Midwest"/>
    <s v="P003"/>
    <s v="Ground Beef"/>
    <s v="Meat"/>
    <n v="726"/>
    <n v="665"/>
    <n v="20"/>
    <n v="2.8"/>
    <n v="5503.96"/>
  </r>
  <r>
    <x v="17"/>
    <s v="D001"/>
    <s v="Green Valley Produce"/>
    <s v="Midwest"/>
    <s v="P004"/>
    <s v="Tomatoes"/>
    <s v="Produce"/>
    <n v="621"/>
    <n v="557"/>
    <n v="47"/>
    <n v="7.6"/>
    <n v="1816.56"/>
  </r>
  <r>
    <x v="17"/>
    <s v="D001"/>
    <s v="Green Valley Produce"/>
    <s v="Midwest"/>
    <s v="P005"/>
    <s v="Cheddar Cheese"/>
    <s v="Dairy"/>
    <n v="335"/>
    <n v="240"/>
    <n v="33"/>
    <n v="9.9"/>
    <n v="1696.52"/>
  </r>
  <r>
    <x v="17"/>
    <s v="D001"/>
    <s v="Green Valley Produce"/>
    <s v="Midwest"/>
    <s v="P006"/>
    <s v="Chicken Breast"/>
    <s v="Meat"/>
    <n v="602"/>
    <n v="470"/>
    <n v="33"/>
    <n v="5.5"/>
    <n v="2343.11"/>
  </r>
  <r>
    <x v="17"/>
    <s v="D002"/>
    <s v="Fresh Coast Foods"/>
    <s v="Southeast"/>
    <s v="P001"/>
    <s v="Leafy Greens"/>
    <s v="Produce"/>
    <n v="662"/>
    <n v="443"/>
    <n v="72"/>
    <n v="10.9"/>
    <n v="2178.2800000000002"/>
  </r>
  <r>
    <x v="17"/>
    <s v="D002"/>
    <s v="Fresh Coast Foods"/>
    <s v="Southeast"/>
    <s v="P002"/>
    <s v="Whole Milk"/>
    <s v="Dairy"/>
    <n v="484"/>
    <n v="405"/>
    <n v="31"/>
    <n v="6.4"/>
    <n v="2198.4499999999998"/>
  </r>
  <r>
    <x v="17"/>
    <s v="D002"/>
    <s v="Fresh Coast Foods"/>
    <s v="Southeast"/>
    <s v="P003"/>
    <s v="Ground Beef"/>
    <s v="Meat"/>
    <n v="795"/>
    <n v="517"/>
    <n v="86"/>
    <n v="10.8"/>
    <n v="3559.85"/>
  </r>
  <r>
    <x v="17"/>
    <s v="D002"/>
    <s v="Fresh Coast Foods"/>
    <s v="Southeast"/>
    <s v="P004"/>
    <s v="Tomatoes"/>
    <s v="Produce"/>
    <n v="669"/>
    <n v="549"/>
    <n v="54"/>
    <n v="8.1"/>
    <n v="3993.46"/>
  </r>
  <r>
    <x v="17"/>
    <s v="D002"/>
    <s v="Fresh Coast Foods"/>
    <s v="Southeast"/>
    <s v="P005"/>
    <s v="Cheddar Cheese"/>
    <s v="Dairy"/>
    <n v="607"/>
    <n v="430"/>
    <n v="33"/>
    <n v="5.4"/>
    <n v="1767.83"/>
  </r>
  <r>
    <x v="17"/>
    <s v="D002"/>
    <s v="Fresh Coast Foods"/>
    <s v="Southeast"/>
    <s v="P006"/>
    <s v="Chicken Breast"/>
    <s v="Meat"/>
    <n v="490"/>
    <n v="363"/>
    <n v="37"/>
    <n v="7.6"/>
    <n v="1964.57"/>
  </r>
  <r>
    <x v="17"/>
    <s v="D003"/>
    <s v="Heartland Meats"/>
    <s v="Plains"/>
    <s v="P001"/>
    <s v="Leafy Greens"/>
    <s v="Produce"/>
    <n v="551"/>
    <n v="491"/>
    <n v="17"/>
    <n v="3.1"/>
    <n v="3072.22"/>
  </r>
  <r>
    <x v="17"/>
    <s v="D003"/>
    <s v="Heartland Meats"/>
    <s v="Plains"/>
    <s v="P002"/>
    <s v="Whole Milk"/>
    <s v="Dairy"/>
    <n v="670"/>
    <n v="438"/>
    <n v="60"/>
    <n v="9"/>
    <n v="2294.73"/>
  </r>
  <r>
    <x v="17"/>
    <s v="D003"/>
    <s v="Heartland Meats"/>
    <s v="Plains"/>
    <s v="P003"/>
    <s v="Ground Beef"/>
    <s v="Meat"/>
    <n v="638"/>
    <n v="449"/>
    <n v="41"/>
    <n v="6.4"/>
    <n v="2873.59"/>
  </r>
  <r>
    <x v="17"/>
    <s v="D003"/>
    <s v="Heartland Meats"/>
    <s v="Plains"/>
    <s v="P004"/>
    <s v="Tomatoes"/>
    <s v="Produce"/>
    <n v="362"/>
    <n v="320"/>
    <n v="13"/>
    <n v="3.6"/>
    <n v="1492.04"/>
  </r>
  <r>
    <x v="17"/>
    <s v="D003"/>
    <s v="Heartland Meats"/>
    <s v="Plains"/>
    <s v="P005"/>
    <s v="Cheddar Cheese"/>
    <s v="Dairy"/>
    <n v="284"/>
    <n v="213"/>
    <n v="19"/>
    <n v="6.7"/>
    <n v="1039.02"/>
  </r>
  <r>
    <x v="17"/>
    <s v="D003"/>
    <s v="Heartland Meats"/>
    <s v="Plains"/>
    <s v="P006"/>
    <s v="Chicken Breast"/>
    <s v="Meat"/>
    <n v="512"/>
    <n v="433"/>
    <n v="30"/>
    <n v="5.9"/>
    <n v="1319.44"/>
  </r>
  <r>
    <x v="17"/>
    <s v="D004"/>
    <s v="Southwest Organics"/>
    <s v="Southwest"/>
    <s v="P001"/>
    <s v="Leafy Greens"/>
    <s v="Produce"/>
    <n v="297"/>
    <n v="193"/>
    <n v="18"/>
    <n v="6.1"/>
    <n v="744.43"/>
  </r>
  <r>
    <x v="17"/>
    <s v="D004"/>
    <s v="Southwest Organics"/>
    <s v="Southwest"/>
    <s v="P002"/>
    <s v="Whole Milk"/>
    <s v="Dairy"/>
    <n v="655"/>
    <n v="427"/>
    <n v="70"/>
    <n v="10.7"/>
    <n v="3599.15"/>
  </r>
  <r>
    <x v="17"/>
    <s v="D004"/>
    <s v="Southwest Organics"/>
    <s v="Southwest"/>
    <s v="P003"/>
    <s v="Ground Beef"/>
    <s v="Meat"/>
    <n v="632"/>
    <n v="529"/>
    <n v="26"/>
    <n v="4.0999999999999996"/>
    <n v="1606.04"/>
  </r>
  <r>
    <x v="17"/>
    <s v="D004"/>
    <s v="Southwest Organics"/>
    <s v="Southwest"/>
    <s v="P004"/>
    <s v="Tomatoes"/>
    <s v="Produce"/>
    <n v="304"/>
    <n v="206"/>
    <n v="17"/>
    <n v="5.6"/>
    <n v="988.04"/>
  </r>
  <r>
    <x v="17"/>
    <s v="D004"/>
    <s v="Southwest Organics"/>
    <s v="Southwest"/>
    <s v="P005"/>
    <s v="Cheddar Cheese"/>
    <s v="Dairy"/>
    <n v="336"/>
    <n v="276"/>
    <n v="14"/>
    <n v="4.2"/>
    <n v="1622.81"/>
  </r>
  <r>
    <x v="17"/>
    <s v="D004"/>
    <s v="Southwest Organics"/>
    <s v="Southwest"/>
    <s v="P006"/>
    <s v="Chicken Breast"/>
    <s v="Meat"/>
    <n v="368"/>
    <n v="282"/>
    <n v="29"/>
    <n v="7.9"/>
    <n v="961.13"/>
  </r>
  <r>
    <x v="17"/>
    <s v="D005"/>
    <s v="Great Lakes Dairy"/>
    <s v="Midwest"/>
    <s v="P001"/>
    <s v="Leafy Greens"/>
    <s v="Produce"/>
    <n v="621"/>
    <n v="506"/>
    <n v="26"/>
    <n v="4.2"/>
    <n v="3987.06"/>
  </r>
  <r>
    <x v="17"/>
    <s v="D005"/>
    <s v="Great Lakes Dairy"/>
    <s v="Midwest"/>
    <s v="P002"/>
    <s v="Whole Milk"/>
    <s v="Dairy"/>
    <n v="343"/>
    <n v="292"/>
    <n v="17"/>
    <n v="5"/>
    <n v="2417.61"/>
  </r>
  <r>
    <x v="17"/>
    <s v="D005"/>
    <s v="Great Lakes Dairy"/>
    <s v="Midwest"/>
    <s v="P003"/>
    <s v="Ground Beef"/>
    <s v="Meat"/>
    <n v="522"/>
    <n v="450"/>
    <n v="28"/>
    <n v="5.4"/>
    <n v="1795.05"/>
  </r>
  <r>
    <x v="17"/>
    <s v="D005"/>
    <s v="Great Lakes Dairy"/>
    <s v="Midwest"/>
    <s v="P004"/>
    <s v="Tomatoes"/>
    <s v="Produce"/>
    <n v="491"/>
    <n v="422"/>
    <n v="37"/>
    <n v="7.5"/>
    <n v="2722.08"/>
  </r>
  <r>
    <x v="17"/>
    <s v="D005"/>
    <s v="Great Lakes Dairy"/>
    <s v="Midwest"/>
    <s v="P005"/>
    <s v="Cheddar Cheese"/>
    <s v="Dairy"/>
    <n v="508"/>
    <n v="358"/>
    <n v="32"/>
    <n v="6.3"/>
    <n v="1736.48"/>
  </r>
  <r>
    <x v="17"/>
    <s v="D005"/>
    <s v="Great Lakes Dairy"/>
    <s v="Midwest"/>
    <s v="P006"/>
    <s v="Chicken Breast"/>
    <s v="Meat"/>
    <n v="255"/>
    <n v="219"/>
    <n v="12"/>
    <n v="4.7"/>
    <n v="1054.55"/>
  </r>
  <r>
    <x v="18"/>
    <s v="D001"/>
    <s v="Green Valley Produce"/>
    <s v="Midwest"/>
    <s v="P001"/>
    <s v="Leafy Greens"/>
    <s v="Produce"/>
    <n v="446"/>
    <n v="350"/>
    <n v="30"/>
    <n v="6.7"/>
    <n v="2928.16"/>
  </r>
  <r>
    <x v="18"/>
    <s v="D001"/>
    <s v="Green Valley Produce"/>
    <s v="Midwest"/>
    <s v="P002"/>
    <s v="Whole Milk"/>
    <s v="Dairy"/>
    <n v="569"/>
    <n v="513"/>
    <n v="33"/>
    <n v="5.8"/>
    <n v="3031.97"/>
  </r>
  <r>
    <x v="18"/>
    <s v="D001"/>
    <s v="Green Valley Produce"/>
    <s v="Midwest"/>
    <s v="P003"/>
    <s v="Ground Beef"/>
    <s v="Meat"/>
    <n v="574"/>
    <n v="457"/>
    <n v="27"/>
    <n v="4.7"/>
    <n v="3849.86"/>
  </r>
  <r>
    <x v="18"/>
    <s v="D001"/>
    <s v="Green Valley Produce"/>
    <s v="Midwest"/>
    <s v="P004"/>
    <s v="Tomatoes"/>
    <s v="Produce"/>
    <n v="274"/>
    <n v="179"/>
    <n v="11"/>
    <n v="4"/>
    <n v="490.27"/>
  </r>
  <r>
    <x v="18"/>
    <s v="D001"/>
    <s v="Green Valley Produce"/>
    <s v="Midwest"/>
    <s v="P005"/>
    <s v="Cheddar Cheese"/>
    <s v="Dairy"/>
    <n v="261"/>
    <n v="236"/>
    <n v="9"/>
    <n v="3.4"/>
    <n v="1599.08"/>
  </r>
  <r>
    <x v="18"/>
    <s v="D001"/>
    <s v="Green Valley Produce"/>
    <s v="Midwest"/>
    <s v="P006"/>
    <s v="Chicken Breast"/>
    <s v="Meat"/>
    <n v="625"/>
    <n v="477"/>
    <n v="42"/>
    <n v="6.7"/>
    <n v="2731.27"/>
  </r>
  <r>
    <x v="18"/>
    <s v="D002"/>
    <s v="Fresh Coast Foods"/>
    <s v="Southeast"/>
    <s v="P001"/>
    <s v="Leafy Greens"/>
    <s v="Produce"/>
    <n v="356"/>
    <n v="258"/>
    <n v="22"/>
    <n v="6.2"/>
    <n v="959.55"/>
  </r>
  <r>
    <x v="18"/>
    <s v="D002"/>
    <s v="Fresh Coast Foods"/>
    <s v="Southeast"/>
    <s v="P002"/>
    <s v="Whole Milk"/>
    <s v="Dairy"/>
    <n v="359"/>
    <n v="285"/>
    <n v="23"/>
    <n v="6.4"/>
    <n v="2139.54"/>
  </r>
  <r>
    <x v="18"/>
    <s v="D002"/>
    <s v="Fresh Coast Foods"/>
    <s v="Southeast"/>
    <s v="P003"/>
    <s v="Ground Beef"/>
    <s v="Meat"/>
    <n v="267"/>
    <n v="195"/>
    <n v="23"/>
    <n v="8.6"/>
    <n v="766.71"/>
  </r>
  <r>
    <x v="18"/>
    <s v="D002"/>
    <s v="Fresh Coast Foods"/>
    <s v="Southeast"/>
    <s v="P004"/>
    <s v="Tomatoes"/>
    <s v="Produce"/>
    <n v="450"/>
    <n v="302"/>
    <n v="32"/>
    <n v="7.1"/>
    <n v="1858.2"/>
  </r>
  <r>
    <x v="18"/>
    <s v="D002"/>
    <s v="Fresh Coast Foods"/>
    <s v="Southeast"/>
    <s v="P005"/>
    <s v="Cheddar Cheese"/>
    <s v="Dairy"/>
    <n v="516"/>
    <n v="428"/>
    <n v="23"/>
    <n v="4.5"/>
    <n v="1102.52"/>
  </r>
  <r>
    <x v="18"/>
    <s v="D002"/>
    <s v="Fresh Coast Foods"/>
    <s v="Southeast"/>
    <s v="P006"/>
    <s v="Chicken Breast"/>
    <s v="Meat"/>
    <n v="340"/>
    <n v="285"/>
    <n v="23"/>
    <n v="6.8"/>
    <n v="1606.84"/>
  </r>
  <r>
    <x v="18"/>
    <s v="D003"/>
    <s v="Heartland Meats"/>
    <s v="Plains"/>
    <s v="P001"/>
    <s v="Leafy Greens"/>
    <s v="Produce"/>
    <n v="465"/>
    <n v="323"/>
    <n v="31"/>
    <n v="6.7"/>
    <n v="1328.37"/>
  </r>
  <r>
    <x v="18"/>
    <s v="D003"/>
    <s v="Heartland Meats"/>
    <s v="Plains"/>
    <s v="P002"/>
    <s v="Whole Milk"/>
    <s v="Dairy"/>
    <n v="320"/>
    <n v="274"/>
    <n v="18"/>
    <n v="5.6"/>
    <n v="1132.1400000000001"/>
  </r>
  <r>
    <x v="18"/>
    <s v="D003"/>
    <s v="Heartland Meats"/>
    <s v="Plains"/>
    <s v="P003"/>
    <s v="Ground Beef"/>
    <s v="Meat"/>
    <n v="265"/>
    <n v="191"/>
    <n v="26"/>
    <n v="9.8000000000000007"/>
    <n v="1046.0899999999999"/>
  </r>
  <r>
    <x v="18"/>
    <s v="D003"/>
    <s v="Heartland Meats"/>
    <s v="Plains"/>
    <s v="P004"/>
    <s v="Tomatoes"/>
    <s v="Produce"/>
    <n v="723"/>
    <n v="540"/>
    <n v="51"/>
    <n v="7.1"/>
    <n v="2541.31"/>
  </r>
  <r>
    <x v="18"/>
    <s v="D003"/>
    <s v="Heartland Meats"/>
    <s v="Plains"/>
    <s v="P005"/>
    <s v="Cheddar Cheese"/>
    <s v="Dairy"/>
    <n v="461"/>
    <n v="395"/>
    <n v="33"/>
    <n v="7.2"/>
    <n v="1260.8399999999999"/>
  </r>
  <r>
    <x v="18"/>
    <s v="D003"/>
    <s v="Heartland Meats"/>
    <s v="Plains"/>
    <s v="P006"/>
    <s v="Chicken Breast"/>
    <s v="Meat"/>
    <n v="721"/>
    <n v="469"/>
    <n v="56"/>
    <n v="7.8"/>
    <n v="1301.8900000000001"/>
  </r>
  <r>
    <x v="18"/>
    <s v="D004"/>
    <s v="Southwest Organics"/>
    <s v="Southwest"/>
    <s v="P001"/>
    <s v="Leafy Greens"/>
    <s v="Produce"/>
    <n v="572"/>
    <n v="430"/>
    <n v="41"/>
    <n v="7.2"/>
    <n v="3287.31"/>
  </r>
  <r>
    <x v="18"/>
    <s v="D004"/>
    <s v="Southwest Organics"/>
    <s v="Southwest"/>
    <s v="P002"/>
    <s v="Whole Milk"/>
    <s v="Dairy"/>
    <n v="766"/>
    <n v="664"/>
    <n v="49"/>
    <n v="6.4"/>
    <n v="2554.4699999999998"/>
  </r>
  <r>
    <x v="18"/>
    <s v="D004"/>
    <s v="Southwest Organics"/>
    <s v="Southwest"/>
    <s v="P003"/>
    <s v="Ground Beef"/>
    <s v="Meat"/>
    <n v="454"/>
    <n v="346"/>
    <n v="29"/>
    <n v="6.4"/>
    <n v="1026.69"/>
  </r>
  <r>
    <x v="18"/>
    <s v="D004"/>
    <s v="Southwest Organics"/>
    <s v="Southwest"/>
    <s v="P004"/>
    <s v="Tomatoes"/>
    <s v="Produce"/>
    <n v="581"/>
    <n v="396"/>
    <n v="37"/>
    <n v="6.4"/>
    <n v="1520.29"/>
  </r>
  <r>
    <x v="18"/>
    <s v="D004"/>
    <s v="Southwest Organics"/>
    <s v="Southwest"/>
    <s v="P005"/>
    <s v="Cheddar Cheese"/>
    <s v="Dairy"/>
    <n v="728"/>
    <n v="666"/>
    <n v="22"/>
    <n v="3"/>
    <n v="3523.52"/>
  </r>
  <r>
    <x v="18"/>
    <s v="D004"/>
    <s v="Southwest Organics"/>
    <s v="Southwest"/>
    <s v="P006"/>
    <s v="Chicken Breast"/>
    <s v="Meat"/>
    <n v="489"/>
    <n v="419"/>
    <n v="13"/>
    <n v="2.7"/>
    <n v="2195.7600000000002"/>
  </r>
  <r>
    <x v="18"/>
    <s v="D005"/>
    <s v="Great Lakes Dairy"/>
    <s v="Midwest"/>
    <s v="P001"/>
    <s v="Leafy Greens"/>
    <s v="Produce"/>
    <n v="577"/>
    <n v="406"/>
    <n v="38"/>
    <n v="6.6"/>
    <n v="2531.94"/>
  </r>
  <r>
    <x v="18"/>
    <s v="D005"/>
    <s v="Great Lakes Dairy"/>
    <s v="Midwest"/>
    <s v="P002"/>
    <s v="Whole Milk"/>
    <s v="Dairy"/>
    <n v="675"/>
    <n v="505"/>
    <n v="76"/>
    <n v="11.3"/>
    <n v="3613.43"/>
  </r>
  <r>
    <x v="18"/>
    <s v="D005"/>
    <s v="Great Lakes Dairy"/>
    <s v="Midwest"/>
    <s v="P003"/>
    <s v="Ground Beef"/>
    <s v="Meat"/>
    <n v="759"/>
    <n v="649"/>
    <n v="17"/>
    <n v="2.2000000000000002"/>
    <n v="3219.18"/>
  </r>
  <r>
    <x v="18"/>
    <s v="D005"/>
    <s v="Great Lakes Dairy"/>
    <s v="Midwest"/>
    <s v="P004"/>
    <s v="Tomatoes"/>
    <s v="Produce"/>
    <n v="438"/>
    <n v="348"/>
    <n v="33"/>
    <n v="7.5"/>
    <n v="890.03"/>
  </r>
  <r>
    <x v="18"/>
    <s v="D005"/>
    <s v="Great Lakes Dairy"/>
    <s v="Midwest"/>
    <s v="P005"/>
    <s v="Cheddar Cheese"/>
    <s v="Dairy"/>
    <n v="543"/>
    <n v="353"/>
    <n v="58"/>
    <n v="10.7"/>
    <n v="2422.7399999999998"/>
  </r>
  <r>
    <x v="18"/>
    <s v="D005"/>
    <s v="Great Lakes Dairy"/>
    <s v="Midwest"/>
    <s v="P006"/>
    <s v="Chicken Breast"/>
    <s v="Meat"/>
    <n v="306"/>
    <n v="215"/>
    <n v="29"/>
    <n v="9.5"/>
    <n v="1777.43"/>
  </r>
  <r>
    <x v="19"/>
    <s v="D001"/>
    <s v="Green Valley Produce"/>
    <s v="Midwest"/>
    <s v="P001"/>
    <s v="Leafy Greens"/>
    <s v="Produce"/>
    <n v="345"/>
    <n v="290"/>
    <n v="22"/>
    <n v="6.4"/>
    <n v="2286.2800000000002"/>
  </r>
  <r>
    <x v="19"/>
    <s v="D001"/>
    <s v="Green Valley Produce"/>
    <s v="Midwest"/>
    <s v="P002"/>
    <s v="Whole Milk"/>
    <s v="Dairy"/>
    <n v="732"/>
    <n v="557"/>
    <n v="59"/>
    <n v="8.1"/>
    <n v="3891.98"/>
  </r>
  <r>
    <x v="19"/>
    <s v="D001"/>
    <s v="Green Valley Produce"/>
    <s v="Midwest"/>
    <s v="P003"/>
    <s v="Ground Beef"/>
    <s v="Meat"/>
    <n v="794"/>
    <n v="536"/>
    <n v="57"/>
    <n v="7.2"/>
    <n v="1580.65"/>
  </r>
  <r>
    <x v="19"/>
    <s v="D001"/>
    <s v="Green Valley Produce"/>
    <s v="Midwest"/>
    <s v="P004"/>
    <s v="Tomatoes"/>
    <s v="Produce"/>
    <n v="781"/>
    <n v="520"/>
    <n v="54"/>
    <n v="6.9"/>
    <n v="2210.0300000000002"/>
  </r>
  <r>
    <x v="19"/>
    <s v="D001"/>
    <s v="Green Valley Produce"/>
    <s v="Midwest"/>
    <s v="P005"/>
    <s v="Cheddar Cheese"/>
    <s v="Dairy"/>
    <n v="522"/>
    <n v="469"/>
    <n v="32"/>
    <n v="6.1"/>
    <n v="2090.5700000000002"/>
  </r>
  <r>
    <x v="19"/>
    <s v="D001"/>
    <s v="Green Valley Produce"/>
    <s v="Midwest"/>
    <s v="P006"/>
    <s v="Chicken Breast"/>
    <s v="Meat"/>
    <n v="663"/>
    <n v="479"/>
    <n v="23"/>
    <n v="3.5"/>
    <n v="3439.04"/>
  </r>
  <r>
    <x v="19"/>
    <s v="D002"/>
    <s v="Fresh Coast Foods"/>
    <s v="Southeast"/>
    <s v="P001"/>
    <s v="Leafy Greens"/>
    <s v="Produce"/>
    <n v="798"/>
    <n v="542"/>
    <n v="41"/>
    <n v="5.0999999999999996"/>
    <n v="2376.2399999999998"/>
  </r>
  <r>
    <x v="19"/>
    <s v="D002"/>
    <s v="Fresh Coast Foods"/>
    <s v="Southeast"/>
    <s v="P002"/>
    <s v="Whole Milk"/>
    <s v="Dairy"/>
    <n v="323"/>
    <n v="256"/>
    <n v="20"/>
    <n v="6.2"/>
    <n v="1113.56"/>
  </r>
  <r>
    <x v="19"/>
    <s v="D002"/>
    <s v="Fresh Coast Foods"/>
    <s v="Southeast"/>
    <s v="P003"/>
    <s v="Ground Beef"/>
    <s v="Meat"/>
    <n v="471"/>
    <n v="414"/>
    <n v="26"/>
    <n v="5.5"/>
    <n v="1790.67"/>
  </r>
  <r>
    <x v="19"/>
    <s v="D002"/>
    <s v="Fresh Coast Foods"/>
    <s v="Southeast"/>
    <s v="P004"/>
    <s v="Tomatoes"/>
    <s v="Produce"/>
    <n v="241"/>
    <n v="170"/>
    <n v="17"/>
    <n v="7.1"/>
    <n v="1150.3800000000001"/>
  </r>
  <r>
    <x v="19"/>
    <s v="D002"/>
    <s v="Fresh Coast Foods"/>
    <s v="Southeast"/>
    <s v="P005"/>
    <s v="Cheddar Cheese"/>
    <s v="Dairy"/>
    <n v="564"/>
    <n v="426"/>
    <n v="20"/>
    <n v="3.5"/>
    <n v="3161.15"/>
  </r>
  <r>
    <x v="19"/>
    <s v="D002"/>
    <s v="Fresh Coast Foods"/>
    <s v="Southeast"/>
    <s v="P006"/>
    <s v="Chicken Breast"/>
    <s v="Meat"/>
    <n v="378"/>
    <n v="248"/>
    <n v="26"/>
    <n v="6.9"/>
    <n v="1733.14"/>
  </r>
  <r>
    <x v="19"/>
    <s v="D003"/>
    <s v="Heartland Meats"/>
    <s v="Plains"/>
    <s v="P001"/>
    <s v="Leafy Greens"/>
    <s v="Produce"/>
    <n v="455"/>
    <n v="307"/>
    <n v="31"/>
    <n v="6.8"/>
    <n v="991.22"/>
  </r>
  <r>
    <x v="19"/>
    <s v="D003"/>
    <s v="Heartland Meats"/>
    <s v="Plains"/>
    <s v="P002"/>
    <s v="Whole Milk"/>
    <s v="Dairy"/>
    <n v="263"/>
    <n v="229"/>
    <n v="11"/>
    <n v="4.2"/>
    <n v="1704.23"/>
  </r>
  <r>
    <x v="19"/>
    <s v="D003"/>
    <s v="Heartland Meats"/>
    <s v="Plains"/>
    <s v="P003"/>
    <s v="Ground Beef"/>
    <s v="Meat"/>
    <n v="581"/>
    <n v="485"/>
    <n v="28"/>
    <n v="4.8"/>
    <n v="2918.11"/>
  </r>
  <r>
    <x v="19"/>
    <s v="D003"/>
    <s v="Heartland Meats"/>
    <s v="Plains"/>
    <s v="P004"/>
    <s v="Tomatoes"/>
    <s v="Produce"/>
    <n v="276"/>
    <n v="181"/>
    <n v="20"/>
    <n v="7.2"/>
    <n v="934.07"/>
  </r>
  <r>
    <x v="19"/>
    <s v="D003"/>
    <s v="Heartland Meats"/>
    <s v="Plains"/>
    <s v="P005"/>
    <s v="Cheddar Cheese"/>
    <s v="Dairy"/>
    <n v="331"/>
    <n v="223"/>
    <n v="37"/>
    <n v="11.2"/>
    <n v="721.44"/>
  </r>
  <r>
    <x v="19"/>
    <s v="D003"/>
    <s v="Heartland Meats"/>
    <s v="Plains"/>
    <s v="P006"/>
    <s v="Chicken Breast"/>
    <s v="Meat"/>
    <n v="672"/>
    <n v="445"/>
    <n v="68"/>
    <n v="10.1"/>
    <n v="3046.73"/>
  </r>
  <r>
    <x v="19"/>
    <s v="D004"/>
    <s v="Southwest Organics"/>
    <s v="Southwest"/>
    <s v="P001"/>
    <s v="Leafy Greens"/>
    <s v="Produce"/>
    <n v="708"/>
    <n v="465"/>
    <n v="52"/>
    <n v="7.3"/>
    <n v="1761.56"/>
  </r>
  <r>
    <x v="19"/>
    <s v="D004"/>
    <s v="Southwest Organics"/>
    <s v="Southwest"/>
    <s v="P002"/>
    <s v="Whole Milk"/>
    <s v="Dairy"/>
    <n v="391"/>
    <n v="283"/>
    <n v="19"/>
    <n v="4.9000000000000004"/>
    <n v="1750.25"/>
  </r>
  <r>
    <x v="19"/>
    <s v="D004"/>
    <s v="Southwest Organics"/>
    <s v="Southwest"/>
    <s v="P003"/>
    <s v="Ground Beef"/>
    <s v="Meat"/>
    <n v="451"/>
    <n v="371"/>
    <n v="34"/>
    <n v="7.5"/>
    <n v="1993.82"/>
  </r>
  <r>
    <x v="19"/>
    <s v="D004"/>
    <s v="Southwest Organics"/>
    <s v="Southwest"/>
    <s v="P004"/>
    <s v="Tomatoes"/>
    <s v="Produce"/>
    <n v="289"/>
    <n v="209"/>
    <n v="10"/>
    <n v="3.5"/>
    <n v="1631.85"/>
  </r>
  <r>
    <x v="19"/>
    <s v="D004"/>
    <s v="Southwest Organics"/>
    <s v="Southwest"/>
    <s v="P005"/>
    <s v="Cheddar Cheese"/>
    <s v="Dairy"/>
    <n v="738"/>
    <n v="529"/>
    <n v="73"/>
    <n v="9.9"/>
    <n v="1384.49"/>
  </r>
  <r>
    <x v="19"/>
    <s v="D004"/>
    <s v="Southwest Organics"/>
    <s v="Southwest"/>
    <s v="P006"/>
    <s v="Chicken Breast"/>
    <s v="Meat"/>
    <n v="591"/>
    <n v="508"/>
    <n v="30"/>
    <n v="5.0999999999999996"/>
    <n v="2747.3"/>
  </r>
  <r>
    <x v="19"/>
    <s v="D005"/>
    <s v="Great Lakes Dairy"/>
    <s v="Midwest"/>
    <s v="P001"/>
    <s v="Leafy Greens"/>
    <s v="Produce"/>
    <n v="779"/>
    <n v="612"/>
    <n v="33"/>
    <n v="4.2"/>
    <n v="2700.92"/>
  </r>
  <r>
    <x v="19"/>
    <s v="D005"/>
    <s v="Great Lakes Dairy"/>
    <s v="Midwest"/>
    <s v="P002"/>
    <s v="Whole Milk"/>
    <s v="Dairy"/>
    <n v="424"/>
    <n v="278"/>
    <n v="37"/>
    <n v="8.6999999999999993"/>
    <n v="2043.83"/>
  </r>
  <r>
    <x v="19"/>
    <s v="D005"/>
    <s v="Great Lakes Dairy"/>
    <s v="Midwest"/>
    <s v="P003"/>
    <s v="Ground Beef"/>
    <s v="Meat"/>
    <n v="683"/>
    <n v="541"/>
    <n v="66"/>
    <n v="9.6999999999999993"/>
    <n v="4514.04"/>
  </r>
  <r>
    <x v="19"/>
    <s v="D005"/>
    <s v="Great Lakes Dairy"/>
    <s v="Midwest"/>
    <s v="P004"/>
    <s v="Tomatoes"/>
    <s v="Produce"/>
    <n v="302"/>
    <n v="216"/>
    <n v="18"/>
    <n v="6"/>
    <n v="1565.44"/>
  </r>
  <r>
    <x v="19"/>
    <s v="D005"/>
    <s v="Great Lakes Dairy"/>
    <s v="Midwest"/>
    <s v="P005"/>
    <s v="Cheddar Cheese"/>
    <s v="Dairy"/>
    <n v="257"/>
    <n v="220"/>
    <n v="17"/>
    <n v="6.6"/>
    <n v="1847.12"/>
  </r>
  <r>
    <x v="19"/>
    <s v="D005"/>
    <s v="Great Lakes Dairy"/>
    <s v="Midwest"/>
    <s v="P006"/>
    <s v="Chicken Breast"/>
    <s v="Meat"/>
    <n v="597"/>
    <n v="445"/>
    <n v="60"/>
    <n v="10.1"/>
    <n v="1582.69"/>
  </r>
  <r>
    <x v="20"/>
    <s v="D001"/>
    <s v="Green Valley Produce"/>
    <s v="Midwest"/>
    <s v="P001"/>
    <s v="Leafy Greens"/>
    <s v="Produce"/>
    <n v="525"/>
    <n v="455"/>
    <n v="40"/>
    <n v="7.6"/>
    <n v="1214.5"/>
  </r>
  <r>
    <x v="20"/>
    <s v="D001"/>
    <s v="Green Valley Produce"/>
    <s v="Midwest"/>
    <s v="P002"/>
    <s v="Whole Milk"/>
    <s v="Dairy"/>
    <n v="560"/>
    <n v="507"/>
    <n v="28"/>
    <n v="5"/>
    <n v="1840.11"/>
  </r>
  <r>
    <x v="20"/>
    <s v="D001"/>
    <s v="Green Valley Produce"/>
    <s v="Midwest"/>
    <s v="P003"/>
    <s v="Ground Beef"/>
    <s v="Meat"/>
    <n v="704"/>
    <n v="560"/>
    <n v="18"/>
    <n v="2.6"/>
    <n v="1588.72"/>
  </r>
  <r>
    <x v="20"/>
    <s v="D001"/>
    <s v="Green Valley Produce"/>
    <s v="Midwest"/>
    <s v="P004"/>
    <s v="Tomatoes"/>
    <s v="Produce"/>
    <n v="424"/>
    <n v="277"/>
    <n v="29"/>
    <n v="6.8"/>
    <n v="1713.19"/>
  </r>
  <r>
    <x v="20"/>
    <s v="D001"/>
    <s v="Green Valley Produce"/>
    <s v="Midwest"/>
    <s v="P005"/>
    <s v="Cheddar Cheese"/>
    <s v="Dairy"/>
    <n v="333"/>
    <n v="247"/>
    <n v="22"/>
    <n v="6.6"/>
    <n v="1904.2"/>
  </r>
  <r>
    <x v="20"/>
    <s v="D001"/>
    <s v="Green Valley Produce"/>
    <s v="Midwest"/>
    <s v="P006"/>
    <s v="Chicken Breast"/>
    <s v="Meat"/>
    <n v="260"/>
    <n v="170"/>
    <n v="27"/>
    <n v="10.4"/>
    <n v="1214.8499999999999"/>
  </r>
  <r>
    <x v="20"/>
    <s v="D002"/>
    <s v="Fresh Coast Foods"/>
    <s v="Southeast"/>
    <s v="P001"/>
    <s v="Leafy Greens"/>
    <s v="Produce"/>
    <n v="738"/>
    <n v="651"/>
    <n v="39"/>
    <n v="5.3"/>
    <n v="5306.65"/>
  </r>
  <r>
    <x v="20"/>
    <s v="D002"/>
    <s v="Fresh Coast Foods"/>
    <s v="Southeast"/>
    <s v="P002"/>
    <s v="Whole Milk"/>
    <s v="Dairy"/>
    <n v="605"/>
    <n v="488"/>
    <n v="27"/>
    <n v="4.5"/>
    <n v="4077.32"/>
  </r>
  <r>
    <x v="20"/>
    <s v="D002"/>
    <s v="Fresh Coast Foods"/>
    <s v="Southeast"/>
    <s v="P003"/>
    <s v="Ground Beef"/>
    <s v="Meat"/>
    <n v="647"/>
    <n v="558"/>
    <n v="46"/>
    <n v="7.1"/>
    <n v="1978.23"/>
  </r>
  <r>
    <x v="20"/>
    <s v="D002"/>
    <s v="Fresh Coast Foods"/>
    <s v="Southeast"/>
    <s v="P004"/>
    <s v="Tomatoes"/>
    <s v="Produce"/>
    <n v="775"/>
    <n v="648"/>
    <n v="64"/>
    <n v="8.3000000000000007"/>
    <n v="2487.9499999999998"/>
  </r>
  <r>
    <x v="20"/>
    <s v="D002"/>
    <s v="Fresh Coast Foods"/>
    <s v="Southeast"/>
    <s v="P005"/>
    <s v="Cheddar Cheese"/>
    <s v="Dairy"/>
    <n v="379"/>
    <n v="285"/>
    <n v="25"/>
    <n v="6.6"/>
    <n v="1016.38"/>
  </r>
  <r>
    <x v="20"/>
    <s v="D002"/>
    <s v="Fresh Coast Foods"/>
    <s v="Southeast"/>
    <s v="P006"/>
    <s v="Chicken Breast"/>
    <s v="Meat"/>
    <n v="201"/>
    <n v="182"/>
    <n v="9"/>
    <n v="4.5"/>
    <n v="1540.76"/>
  </r>
  <r>
    <x v="20"/>
    <s v="D003"/>
    <s v="Heartland Meats"/>
    <s v="Plains"/>
    <s v="P001"/>
    <s v="Leafy Greens"/>
    <s v="Produce"/>
    <n v="781"/>
    <n v="514"/>
    <n v="83"/>
    <n v="10.6"/>
    <n v="4268.87"/>
  </r>
  <r>
    <x v="20"/>
    <s v="D003"/>
    <s v="Heartland Meats"/>
    <s v="Plains"/>
    <s v="P002"/>
    <s v="Whole Milk"/>
    <s v="Dairy"/>
    <n v="426"/>
    <n v="350"/>
    <n v="19"/>
    <n v="4.5"/>
    <n v="1570.45"/>
  </r>
  <r>
    <x v="20"/>
    <s v="D003"/>
    <s v="Heartland Meats"/>
    <s v="Plains"/>
    <s v="P003"/>
    <s v="Ground Beef"/>
    <s v="Meat"/>
    <n v="279"/>
    <n v="199"/>
    <n v="22"/>
    <n v="7.9"/>
    <n v="1554.57"/>
  </r>
  <r>
    <x v="20"/>
    <s v="D003"/>
    <s v="Heartland Meats"/>
    <s v="Plains"/>
    <s v="P004"/>
    <s v="Tomatoes"/>
    <s v="Produce"/>
    <n v="290"/>
    <n v="252"/>
    <n v="19"/>
    <n v="6.6"/>
    <n v="1137.6500000000001"/>
  </r>
  <r>
    <x v="20"/>
    <s v="D003"/>
    <s v="Heartland Meats"/>
    <s v="Plains"/>
    <s v="P005"/>
    <s v="Cheddar Cheese"/>
    <s v="Dairy"/>
    <n v="211"/>
    <n v="152"/>
    <n v="7"/>
    <n v="3.3"/>
    <n v="614.07000000000005"/>
  </r>
  <r>
    <x v="20"/>
    <s v="D003"/>
    <s v="Heartland Meats"/>
    <s v="Plains"/>
    <s v="P006"/>
    <s v="Chicken Breast"/>
    <s v="Meat"/>
    <n v="310"/>
    <n v="261"/>
    <n v="12"/>
    <n v="3.9"/>
    <n v="1309.68"/>
  </r>
  <r>
    <x v="20"/>
    <s v="D004"/>
    <s v="Southwest Organics"/>
    <s v="Southwest"/>
    <s v="P001"/>
    <s v="Leafy Greens"/>
    <s v="Produce"/>
    <n v="370"/>
    <n v="328"/>
    <n v="16"/>
    <n v="4.3"/>
    <n v="1894.58"/>
  </r>
  <r>
    <x v="20"/>
    <s v="D004"/>
    <s v="Southwest Organics"/>
    <s v="Southwest"/>
    <s v="P002"/>
    <s v="Whole Milk"/>
    <s v="Dairy"/>
    <n v="303"/>
    <n v="264"/>
    <n v="18"/>
    <n v="5.9"/>
    <n v="1861.06"/>
  </r>
  <r>
    <x v="20"/>
    <s v="D004"/>
    <s v="Southwest Organics"/>
    <s v="Southwest"/>
    <s v="P003"/>
    <s v="Ground Beef"/>
    <s v="Meat"/>
    <n v="430"/>
    <n v="298"/>
    <n v="29"/>
    <n v="6.7"/>
    <n v="1272.3"/>
  </r>
  <r>
    <x v="20"/>
    <s v="D004"/>
    <s v="Southwest Organics"/>
    <s v="Southwest"/>
    <s v="P004"/>
    <s v="Tomatoes"/>
    <s v="Produce"/>
    <n v="526"/>
    <n v="378"/>
    <n v="22"/>
    <n v="4.2"/>
    <n v="2958.83"/>
  </r>
  <r>
    <x v="20"/>
    <s v="D004"/>
    <s v="Southwest Organics"/>
    <s v="Southwest"/>
    <s v="P005"/>
    <s v="Cheddar Cheese"/>
    <s v="Dairy"/>
    <n v="364"/>
    <n v="308"/>
    <n v="27"/>
    <n v="7.4"/>
    <n v="942.06"/>
  </r>
  <r>
    <x v="20"/>
    <s v="D004"/>
    <s v="Southwest Organics"/>
    <s v="Southwest"/>
    <s v="P006"/>
    <s v="Chicken Breast"/>
    <s v="Meat"/>
    <n v="694"/>
    <n v="583"/>
    <n v="42"/>
    <n v="6.1"/>
    <n v="3581.9"/>
  </r>
  <r>
    <x v="20"/>
    <s v="D005"/>
    <s v="Great Lakes Dairy"/>
    <s v="Midwest"/>
    <s v="P001"/>
    <s v="Leafy Greens"/>
    <s v="Produce"/>
    <n v="644"/>
    <n v="445"/>
    <n v="24"/>
    <n v="3.7"/>
    <n v="1619.76"/>
  </r>
  <r>
    <x v="20"/>
    <s v="D005"/>
    <s v="Great Lakes Dairy"/>
    <s v="Midwest"/>
    <s v="P002"/>
    <s v="Whole Milk"/>
    <s v="Dairy"/>
    <n v="767"/>
    <n v="648"/>
    <n v="38"/>
    <n v="5"/>
    <n v="2714.56"/>
  </r>
  <r>
    <x v="20"/>
    <s v="D005"/>
    <s v="Great Lakes Dairy"/>
    <s v="Midwest"/>
    <s v="P003"/>
    <s v="Ground Beef"/>
    <s v="Meat"/>
    <n v="443"/>
    <n v="299"/>
    <n v="32"/>
    <n v="7.2"/>
    <n v="1628.26"/>
  </r>
  <r>
    <x v="20"/>
    <s v="D005"/>
    <s v="Great Lakes Dairy"/>
    <s v="Midwest"/>
    <s v="P004"/>
    <s v="Tomatoes"/>
    <s v="Produce"/>
    <n v="255"/>
    <n v="190"/>
    <n v="13"/>
    <n v="5.0999999999999996"/>
    <n v="1229.7"/>
  </r>
  <r>
    <x v="20"/>
    <s v="D005"/>
    <s v="Great Lakes Dairy"/>
    <s v="Midwest"/>
    <s v="P005"/>
    <s v="Cheddar Cheese"/>
    <s v="Dairy"/>
    <n v="691"/>
    <n v="486"/>
    <n v="21"/>
    <n v="3"/>
    <n v="2065.92"/>
  </r>
  <r>
    <x v="20"/>
    <s v="D005"/>
    <s v="Great Lakes Dairy"/>
    <s v="Midwest"/>
    <s v="P006"/>
    <s v="Chicken Breast"/>
    <s v="Meat"/>
    <n v="283"/>
    <n v="220"/>
    <n v="17"/>
    <n v="6"/>
    <n v="1171.6500000000001"/>
  </r>
  <r>
    <x v="21"/>
    <s v="D001"/>
    <s v="Green Valley Produce"/>
    <s v="Midwest"/>
    <s v="P001"/>
    <s v="Leafy Greens"/>
    <s v="Produce"/>
    <n v="471"/>
    <n v="317"/>
    <n v="30"/>
    <n v="6.4"/>
    <n v="2476.71"/>
  </r>
  <r>
    <x v="21"/>
    <s v="D001"/>
    <s v="Green Valley Produce"/>
    <s v="Midwest"/>
    <s v="P002"/>
    <s v="Whole Milk"/>
    <s v="Dairy"/>
    <n v="578"/>
    <n v="404"/>
    <n v="26"/>
    <n v="4.5"/>
    <n v="1648.48"/>
  </r>
  <r>
    <x v="21"/>
    <s v="D001"/>
    <s v="Green Valley Produce"/>
    <s v="Midwest"/>
    <s v="P003"/>
    <s v="Ground Beef"/>
    <s v="Meat"/>
    <n v="475"/>
    <n v="381"/>
    <n v="27"/>
    <n v="5.7"/>
    <n v="1173.56"/>
  </r>
  <r>
    <x v="21"/>
    <s v="D001"/>
    <s v="Green Valley Produce"/>
    <s v="Midwest"/>
    <s v="P004"/>
    <s v="Tomatoes"/>
    <s v="Produce"/>
    <n v="552"/>
    <n v="479"/>
    <n v="34"/>
    <n v="6.2"/>
    <n v="1851.37"/>
  </r>
  <r>
    <x v="21"/>
    <s v="D001"/>
    <s v="Green Valley Produce"/>
    <s v="Midwest"/>
    <s v="P005"/>
    <s v="Cheddar Cheese"/>
    <s v="Dairy"/>
    <n v="262"/>
    <n v="229"/>
    <n v="14"/>
    <n v="5.3"/>
    <n v="1308.3"/>
  </r>
  <r>
    <x v="21"/>
    <s v="D001"/>
    <s v="Green Valley Produce"/>
    <s v="Midwest"/>
    <s v="P006"/>
    <s v="Chicken Breast"/>
    <s v="Meat"/>
    <n v="686"/>
    <n v="551"/>
    <n v="28"/>
    <n v="4.0999999999999996"/>
    <n v="2682.72"/>
  </r>
  <r>
    <x v="21"/>
    <s v="D002"/>
    <s v="Fresh Coast Foods"/>
    <s v="Southeast"/>
    <s v="P001"/>
    <s v="Leafy Greens"/>
    <s v="Produce"/>
    <n v="235"/>
    <n v="184"/>
    <n v="22"/>
    <n v="9.4"/>
    <n v="1208"/>
  </r>
  <r>
    <x v="21"/>
    <s v="D002"/>
    <s v="Fresh Coast Foods"/>
    <s v="Southeast"/>
    <s v="P002"/>
    <s v="Whole Milk"/>
    <s v="Dairy"/>
    <n v="350"/>
    <n v="238"/>
    <n v="26"/>
    <n v="7.4"/>
    <n v="2000.68"/>
  </r>
  <r>
    <x v="21"/>
    <s v="D002"/>
    <s v="Fresh Coast Foods"/>
    <s v="Southeast"/>
    <s v="P003"/>
    <s v="Ground Beef"/>
    <s v="Meat"/>
    <n v="416"/>
    <n v="361"/>
    <n v="16"/>
    <n v="3.8"/>
    <n v="3043.11"/>
  </r>
  <r>
    <x v="21"/>
    <s v="D002"/>
    <s v="Fresh Coast Foods"/>
    <s v="Southeast"/>
    <s v="P004"/>
    <s v="Tomatoes"/>
    <s v="Produce"/>
    <n v="645"/>
    <n v="454"/>
    <n v="47"/>
    <n v="7.3"/>
    <n v="2755.91"/>
  </r>
  <r>
    <x v="21"/>
    <s v="D002"/>
    <s v="Fresh Coast Foods"/>
    <s v="Southeast"/>
    <s v="P005"/>
    <s v="Cheddar Cheese"/>
    <s v="Dairy"/>
    <n v="527"/>
    <n v="472"/>
    <n v="18"/>
    <n v="3.4"/>
    <n v="2279.1"/>
  </r>
  <r>
    <x v="21"/>
    <s v="D002"/>
    <s v="Fresh Coast Foods"/>
    <s v="Southeast"/>
    <s v="P006"/>
    <s v="Chicken Breast"/>
    <s v="Meat"/>
    <n v="606"/>
    <n v="484"/>
    <n v="45"/>
    <n v="7.4"/>
    <n v="3873.44"/>
  </r>
  <r>
    <x v="21"/>
    <s v="D003"/>
    <s v="Heartland Meats"/>
    <s v="Plains"/>
    <s v="P001"/>
    <s v="Leafy Greens"/>
    <s v="Produce"/>
    <n v="212"/>
    <n v="182"/>
    <n v="12"/>
    <n v="5.7"/>
    <n v="913.2"/>
  </r>
  <r>
    <x v="21"/>
    <s v="D003"/>
    <s v="Heartland Meats"/>
    <s v="Plains"/>
    <s v="P002"/>
    <s v="Whole Milk"/>
    <s v="Dairy"/>
    <n v="624"/>
    <n v="430"/>
    <n v="51"/>
    <n v="8.1999999999999993"/>
    <n v="3564.27"/>
  </r>
  <r>
    <x v="21"/>
    <s v="D003"/>
    <s v="Heartland Meats"/>
    <s v="Plains"/>
    <s v="P003"/>
    <s v="Ground Beef"/>
    <s v="Meat"/>
    <n v="302"/>
    <n v="271"/>
    <n v="8"/>
    <n v="2.6"/>
    <n v="1142.69"/>
  </r>
  <r>
    <x v="21"/>
    <s v="D003"/>
    <s v="Heartland Meats"/>
    <s v="Plains"/>
    <s v="P004"/>
    <s v="Tomatoes"/>
    <s v="Produce"/>
    <n v="748"/>
    <n v="663"/>
    <n v="34"/>
    <n v="4.5"/>
    <n v="4262.25"/>
  </r>
  <r>
    <x v="21"/>
    <s v="D003"/>
    <s v="Heartland Meats"/>
    <s v="Plains"/>
    <s v="P005"/>
    <s v="Cheddar Cheese"/>
    <s v="Dairy"/>
    <n v="785"/>
    <n v="639"/>
    <n v="25"/>
    <n v="3.2"/>
    <n v="2149.0300000000002"/>
  </r>
  <r>
    <x v="21"/>
    <s v="D003"/>
    <s v="Heartland Meats"/>
    <s v="Plains"/>
    <s v="P006"/>
    <s v="Chicken Breast"/>
    <s v="Meat"/>
    <n v="611"/>
    <n v="403"/>
    <n v="57"/>
    <n v="9.3000000000000007"/>
    <n v="1581.97"/>
  </r>
  <r>
    <x v="21"/>
    <s v="D004"/>
    <s v="Southwest Organics"/>
    <s v="Southwest"/>
    <s v="P001"/>
    <s v="Leafy Greens"/>
    <s v="Produce"/>
    <n v="686"/>
    <n v="616"/>
    <n v="21"/>
    <n v="3.1"/>
    <n v="4561.0600000000004"/>
  </r>
  <r>
    <x v="21"/>
    <s v="D004"/>
    <s v="Southwest Organics"/>
    <s v="Southwest"/>
    <s v="P002"/>
    <s v="Whole Milk"/>
    <s v="Dairy"/>
    <n v="510"/>
    <n v="374"/>
    <n v="53"/>
    <n v="10.4"/>
    <n v="2471.81"/>
  </r>
  <r>
    <x v="21"/>
    <s v="D004"/>
    <s v="Southwest Organics"/>
    <s v="Southwest"/>
    <s v="P003"/>
    <s v="Ground Beef"/>
    <s v="Meat"/>
    <n v="433"/>
    <n v="297"/>
    <n v="43"/>
    <n v="9.9"/>
    <n v="2214.12"/>
  </r>
  <r>
    <x v="21"/>
    <s v="D004"/>
    <s v="Southwest Organics"/>
    <s v="Southwest"/>
    <s v="P004"/>
    <s v="Tomatoes"/>
    <s v="Produce"/>
    <n v="475"/>
    <n v="402"/>
    <n v="17"/>
    <n v="3.6"/>
    <n v="2070.42"/>
  </r>
  <r>
    <x v="21"/>
    <s v="D004"/>
    <s v="Southwest Organics"/>
    <s v="Southwest"/>
    <s v="P005"/>
    <s v="Cheddar Cheese"/>
    <s v="Dairy"/>
    <n v="616"/>
    <n v="523"/>
    <n v="49"/>
    <n v="8"/>
    <n v="3883.85"/>
  </r>
  <r>
    <x v="21"/>
    <s v="D004"/>
    <s v="Southwest Organics"/>
    <s v="Southwest"/>
    <s v="P006"/>
    <s v="Chicken Breast"/>
    <s v="Meat"/>
    <n v="727"/>
    <n v="627"/>
    <n v="38"/>
    <n v="5.2"/>
    <n v="3085.03"/>
  </r>
  <r>
    <x v="21"/>
    <s v="D005"/>
    <s v="Great Lakes Dairy"/>
    <s v="Midwest"/>
    <s v="P001"/>
    <s v="Leafy Greens"/>
    <s v="Produce"/>
    <n v="736"/>
    <n v="653"/>
    <n v="18"/>
    <n v="2.4"/>
    <n v="4895.92"/>
  </r>
  <r>
    <x v="21"/>
    <s v="D005"/>
    <s v="Great Lakes Dairy"/>
    <s v="Midwest"/>
    <s v="P002"/>
    <s v="Whole Milk"/>
    <s v="Dairy"/>
    <n v="259"/>
    <n v="185"/>
    <n v="23"/>
    <n v="8.9"/>
    <n v="1244.6400000000001"/>
  </r>
  <r>
    <x v="21"/>
    <s v="D005"/>
    <s v="Great Lakes Dairy"/>
    <s v="Midwest"/>
    <s v="P003"/>
    <s v="Ground Beef"/>
    <s v="Meat"/>
    <n v="480"/>
    <n v="359"/>
    <n v="29"/>
    <n v="6"/>
    <n v="2885.8"/>
  </r>
  <r>
    <x v="21"/>
    <s v="D005"/>
    <s v="Great Lakes Dairy"/>
    <s v="Midwest"/>
    <s v="P004"/>
    <s v="Tomatoes"/>
    <s v="Produce"/>
    <n v="231"/>
    <n v="165"/>
    <n v="15"/>
    <n v="6.5"/>
    <n v="1363.42"/>
  </r>
  <r>
    <x v="21"/>
    <s v="D005"/>
    <s v="Great Lakes Dairy"/>
    <s v="Midwest"/>
    <s v="P005"/>
    <s v="Cheddar Cheese"/>
    <s v="Dairy"/>
    <n v="685"/>
    <n v="553"/>
    <n v="26"/>
    <n v="3.8"/>
    <n v="4350.42"/>
  </r>
  <r>
    <x v="21"/>
    <s v="D005"/>
    <s v="Great Lakes Dairy"/>
    <s v="Midwest"/>
    <s v="P006"/>
    <s v="Chicken Breast"/>
    <s v="Meat"/>
    <n v="292"/>
    <n v="212"/>
    <n v="14"/>
    <n v="4.8"/>
    <n v="1257.9100000000001"/>
  </r>
  <r>
    <x v="22"/>
    <s v="D001"/>
    <s v="Green Valley Produce"/>
    <s v="Midwest"/>
    <s v="P001"/>
    <s v="Leafy Greens"/>
    <s v="Produce"/>
    <n v="419"/>
    <n v="369"/>
    <n v="26"/>
    <n v="6.2"/>
    <n v="1518.25"/>
  </r>
  <r>
    <x v="22"/>
    <s v="D001"/>
    <s v="Green Valley Produce"/>
    <s v="Midwest"/>
    <s v="P002"/>
    <s v="Whole Milk"/>
    <s v="Dairy"/>
    <n v="619"/>
    <n v="488"/>
    <n v="61"/>
    <n v="9.9"/>
    <n v="3217.48"/>
  </r>
  <r>
    <x v="22"/>
    <s v="D001"/>
    <s v="Green Valley Produce"/>
    <s v="Midwest"/>
    <s v="P003"/>
    <s v="Ground Beef"/>
    <s v="Meat"/>
    <n v="685"/>
    <n v="613"/>
    <n v="38"/>
    <n v="5.5"/>
    <n v="1563.63"/>
  </r>
  <r>
    <x v="22"/>
    <s v="D001"/>
    <s v="Green Valley Produce"/>
    <s v="Midwest"/>
    <s v="P004"/>
    <s v="Tomatoes"/>
    <s v="Produce"/>
    <n v="458"/>
    <n v="372"/>
    <n v="38"/>
    <n v="8.3000000000000007"/>
    <n v="2513.31"/>
  </r>
  <r>
    <x v="22"/>
    <s v="D001"/>
    <s v="Green Valley Produce"/>
    <s v="Midwest"/>
    <s v="P005"/>
    <s v="Cheddar Cheese"/>
    <s v="Dairy"/>
    <n v="481"/>
    <n v="367"/>
    <n v="25"/>
    <n v="5.2"/>
    <n v="1472.4"/>
  </r>
  <r>
    <x v="22"/>
    <s v="D001"/>
    <s v="Green Valley Produce"/>
    <s v="Midwest"/>
    <s v="P006"/>
    <s v="Chicken Breast"/>
    <s v="Meat"/>
    <n v="677"/>
    <n v="495"/>
    <n v="52"/>
    <n v="7.7"/>
    <n v="2973.43"/>
  </r>
  <r>
    <x v="22"/>
    <s v="D002"/>
    <s v="Fresh Coast Foods"/>
    <s v="Southeast"/>
    <s v="P001"/>
    <s v="Leafy Greens"/>
    <s v="Produce"/>
    <n v="207"/>
    <n v="163"/>
    <n v="17"/>
    <n v="8.1999999999999993"/>
    <n v="773.5"/>
  </r>
  <r>
    <x v="22"/>
    <s v="D002"/>
    <s v="Fresh Coast Foods"/>
    <s v="Southeast"/>
    <s v="P002"/>
    <s v="Whole Milk"/>
    <s v="Dairy"/>
    <n v="489"/>
    <n v="357"/>
    <n v="14"/>
    <n v="2.9"/>
    <n v="3009.57"/>
  </r>
  <r>
    <x v="22"/>
    <s v="D002"/>
    <s v="Fresh Coast Foods"/>
    <s v="Southeast"/>
    <s v="P003"/>
    <s v="Ground Beef"/>
    <s v="Meat"/>
    <n v="532"/>
    <n v="469"/>
    <n v="29"/>
    <n v="5.5"/>
    <n v="3683.64"/>
  </r>
  <r>
    <x v="22"/>
    <s v="D002"/>
    <s v="Fresh Coast Foods"/>
    <s v="Southeast"/>
    <s v="P004"/>
    <s v="Tomatoes"/>
    <s v="Produce"/>
    <n v="505"/>
    <n v="353"/>
    <n v="31"/>
    <n v="6.1"/>
    <n v="1002.75"/>
  </r>
  <r>
    <x v="22"/>
    <s v="D002"/>
    <s v="Fresh Coast Foods"/>
    <s v="Southeast"/>
    <s v="P005"/>
    <s v="Cheddar Cheese"/>
    <s v="Dairy"/>
    <n v="613"/>
    <n v="507"/>
    <n v="45"/>
    <n v="7.3"/>
    <n v="3261.23"/>
  </r>
  <r>
    <x v="22"/>
    <s v="D002"/>
    <s v="Fresh Coast Foods"/>
    <s v="Southeast"/>
    <s v="P006"/>
    <s v="Chicken Breast"/>
    <s v="Meat"/>
    <n v="502"/>
    <n v="361"/>
    <n v="31"/>
    <n v="6.2"/>
    <n v="979"/>
  </r>
  <r>
    <x v="22"/>
    <s v="D003"/>
    <s v="Heartland Meats"/>
    <s v="Plains"/>
    <s v="P001"/>
    <s v="Leafy Greens"/>
    <s v="Produce"/>
    <n v="785"/>
    <n v="683"/>
    <n v="46"/>
    <n v="5.9"/>
    <n v="4520.03"/>
  </r>
  <r>
    <x v="22"/>
    <s v="D003"/>
    <s v="Heartland Meats"/>
    <s v="Plains"/>
    <s v="P002"/>
    <s v="Whole Milk"/>
    <s v="Dairy"/>
    <n v="687"/>
    <n v="614"/>
    <n v="36"/>
    <n v="5.2"/>
    <n v="4649.5200000000004"/>
  </r>
  <r>
    <x v="22"/>
    <s v="D003"/>
    <s v="Heartland Meats"/>
    <s v="Plains"/>
    <s v="P003"/>
    <s v="Ground Beef"/>
    <s v="Meat"/>
    <n v="771"/>
    <n v="538"/>
    <n v="26"/>
    <n v="3.4"/>
    <n v="2179.9299999999998"/>
  </r>
  <r>
    <x v="22"/>
    <s v="D003"/>
    <s v="Heartland Meats"/>
    <s v="Plains"/>
    <s v="P004"/>
    <s v="Tomatoes"/>
    <s v="Produce"/>
    <n v="772"/>
    <n v="660"/>
    <n v="42"/>
    <n v="5.4"/>
    <n v="2979.1"/>
  </r>
  <r>
    <x v="22"/>
    <s v="D003"/>
    <s v="Heartland Meats"/>
    <s v="Plains"/>
    <s v="P005"/>
    <s v="Cheddar Cheese"/>
    <s v="Dairy"/>
    <n v="291"/>
    <n v="206"/>
    <n v="22"/>
    <n v="7.6"/>
    <n v="1034.7"/>
  </r>
  <r>
    <x v="22"/>
    <s v="D003"/>
    <s v="Heartland Meats"/>
    <s v="Plains"/>
    <s v="P006"/>
    <s v="Chicken Breast"/>
    <s v="Meat"/>
    <n v="539"/>
    <n v="404"/>
    <n v="37"/>
    <n v="6.9"/>
    <n v="1295.5"/>
  </r>
  <r>
    <x v="22"/>
    <s v="D004"/>
    <s v="Southwest Organics"/>
    <s v="Southwest"/>
    <s v="P001"/>
    <s v="Leafy Greens"/>
    <s v="Produce"/>
    <n v="254"/>
    <n v="224"/>
    <n v="18"/>
    <n v="7.1"/>
    <n v="655.71"/>
  </r>
  <r>
    <x v="22"/>
    <s v="D004"/>
    <s v="Southwest Organics"/>
    <s v="Southwest"/>
    <s v="P002"/>
    <s v="Whole Milk"/>
    <s v="Dairy"/>
    <n v="399"/>
    <n v="313"/>
    <n v="28"/>
    <n v="7"/>
    <n v="1342.81"/>
  </r>
  <r>
    <x v="22"/>
    <s v="D004"/>
    <s v="Southwest Organics"/>
    <s v="Southwest"/>
    <s v="P003"/>
    <s v="Ground Beef"/>
    <s v="Meat"/>
    <n v="255"/>
    <n v="225"/>
    <n v="17"/>
    <n v="6.7"/>
    <n v="1025.0999999999999"/>
  </r>
  <r>
    <x v="22"/>
    <s v="D004"/>
    <s v="Southwest Organics"/>
    <s v="Southwest"/>
    <s v="P004"/>
    <s v="Tomatoes"/>
    <s v="Produce"/>
    <n v="783"/>
    <n v="697"/>
    <n v="32"/>
    <n v="4.0999999999999996"/>
    <n v="5349.03"/>
  </r>
  <r>
    <x v="22"/>
    <s v="D004"/>
    <s v="Southwest Organics"/>
    <s v="Southwest"/>
    <s v="P005"/>
    <s v="Cheddar Cheese"/>
    <s v="Dairy"/>
    <n v="384"/>
    <n v="330"/>
    <n v="22"/>
    <n v="5.7"/>
    <n v="1175.1099999999999"/>
  </r>
  <r>
    <x v="22"/>
    <s v="D004"/>
    <s v="Southwest Organics"/>
    <s v="Southwest"/>
    <s v="P006"/>
    <s v="Chicken Breast"/>
    <s v="Meat"/>
    <n v="259"/>
    <n v="168"/>
    <n v="20"/>
    <n v="7.7"/>
    <n v="589.95000000000005"/>
  </r>
  <r>
    <x v="22"/>
    <s v="D005"/>
    <s v="Great Lakes Dairy"/>
    <s v="Midwest"/>
    <s v="P001"/>
    <s v="Leafy Greens"/>
    <s v="Produce"/>
    <n v="362"/>
    <n v="283"/>
    <n v="19"/>
    <n v="5.2"/>
    <n v="1750.89"/>
  </r>
  <r>
    <x v="22"/>
    <s v="D005"/>
    <s v="Great Lakes Dairy"/>
    <s v="Midwest"/>
    <s v="P002"/>
    <s v="Whole Milk"/>
    <s v="Dairy"/>
    <n v="639"/>
    <n v="484"/>
    <n v="51"/>
    <n v="8"/>
    <n v="1319.55"/>
  </r>
  <r>
    <x v="22"/>
    <s v="D005"/>
    <s v="Great Lakes Dairy"/>
    <s v="Midwest"/>
    <s v="P003"/>
    <s v="Ground Beef"/>
    <s v="Meat"/>
    <n v="404"/>
    <n v="342"/>
    <n v="35"/>
    <n v="8.6999999999999993"/>
    <n v="2408.0500000000002"/>
  </r>
  <r>
    <x v="22"/>
    <s v="D005"/>
    <s v="Great Lakes Dairy"/>
    <s v="Midwest"/>
    <s v="P004"/>
    <s v="Tomatoes"/>
    <s v="Produce"/>
    <n v="743"/>
    <n v="521"/>
    <n v="66"/>
    <n v="8.9"/>
    <n v="2080.3200000000002"/>
  </r>
  <r>
    <x v="22"/>
    <s v="D005"/>
    <s v="Great Lakes Dairy"/>
    <s v="Midwest"/>
    <s v="P005"/>
    <s v="Cheddar Cheese"/>
    <s v="Dairy"/>
    <n v="552"/>
    <n v="405"/>
    <n v="28"/>
    <n v="5.0999999999999996"/>
    <n v="1756.36"/>
  </r>
  <r>
    <x v="22"/>
    <s v="D005"/>
    <s v="Great Lakes Dairy"/>
    <s v="Midwest"/>
    <s v="P006"/>
    <s v="Chicken Breast"/>
    <s v="Meat"/>
    <n v="266"/>
    <n v="232"/>
    <n v="9"/>
    <n v="3.4"/>
    <n v="1593.14"/>
  </r>
  <r>
    <x v="23"/>
    <s v="D001"/>
    <s v="Green Valley Produce"/>
    <s v="Midwest"/>
    <s v="P001"/>
    <s v="Leafy Greens"/>
    <s v="Produce"/>
    <n v="736"/>
    <n v="545"/>
    <n v="82"/>
    <n v="11.1"/>
    <n v="2483.2399999999998"/>
  </r>
  <r>
    <x v="23"/>
    <s v="D001"/>
    <s v="Green Valley Produce"/>
    <s v="Midwest"/>
    <s v="P002"/>
    <s v="Whole Milk"/>
    <s v="Dairy"/>
    <n v="701"/>
    <n v="523"/>
    <n v="53"/>
    <n v="7.6"/>
    <n v="4188.83"/>
  </r>
  <r>
    <x v="23"/>
    <s v="D001"/>
    <s v="Green Valley Produce"/>
    <s v="Midwest"/>
    <s v="P003"/>
    <s v="Ground Beef"/>
    <s v="Meat"/>
    <n v="613"/>
    <n v="401"/>
    <n v="53"/>
    <n v="8.6"/>
    <n v="1510.62"/>
  </r>
  <r>
    <x v="23"/>
    <s v="D001"/>
    <s v="Green Valley Produce"/>
    <s v="Midwest"/>
    <s v="P004"/>
    <s v="Tomatoes"/>
    <s v="Produce"/>
    <n v="222"/>
    <n v="179"/>
    <n v="9"/>
    <n v="4.0999999999999996"/>
    <n v="1146.18"/>
  </r>
  <r>
    <x v="23"/>
    <s v="D001"/>
    <s v="Green Valley Produce"/>
    <s v="Midwest"/>
    <s v="P005"/>
    <s v="Cheddar Cheese"/>
    <s v="Dairy"/>
    <n v="238"/>
    <n v="178"/>
    <n v="20"/>
    <n v="8.4"/>
    <n v="1110.51"/>
  </r>
  <r>
    <x v="23"/>
    <s v="D001"/>
    <s v="Green Valley Produce"/>
    <s v="Midwest"/>
    <s v="P006"/>
    <s v="Chicken Breast"/>
    <s v="Meat"/>
    <n v="249"/>
    <n v="206"/>
    <n v="9"/>
    <n v="3.6"/>
    <n v="1367.53"/>
  </r>
  <r>
    <x v="23"/>
    <s v="D002"/>
    <s v="Fresh Coast Foods"/>
    <s v="Southeast"/>
    <s v="P001"/>
    <s v="Leafy Greens"/>
    <s v="Produce"/>
    <n v="626"/>
    <n v="481"/>
    <n v="23"/>
    <n v="3.7"/>
    <n v="3228.09"/>
  </r>
  <r>
    <x v="23"/>
    <s v="D002"/>
    <s v="Fresh Coast Foods"/>
    <s v="Southeast"/>
    <s v="P002"/>
    <s v="Whole Milk"/>
    <s v="Dairy"/>
    <n v="410"/>
    <n v="343"/>
    <n v="20"/>
    <n v="4.9000000000000004"/>
    <n v="2219.21"/>
  </r>
  <r>
    <x v="23"/>
    <s v="D002"/>
    <s v="Fresh Coast Foods"/>
    <s v="Southeast"/>
    <s v="P003"/>
    <s v="Ground Beef"/>
    <s v="Meat"/>
    <n v="732"/>
    <n v="529"/>
    <n v="42"/>
    <n v="5.7"/>
    <n v="3958.99"/>
  </r>
  <r>
    <x v="23"/>
    <s v="D002"/>
    <s v="Fresh Coast Foods"/>
    <s v="Southeast"/>
    <s v="P004"/>
    <s v="Tomatoes"/>
    <s v="Produce"/>
    <n v="307"/>
    <n v="241"/>
    <n v="17"/>
    <n v="5.5"/>
    <n v="1737.26"/>
  </r>
  <r>
    <x v="23"/>
    <s v="D002"/>
    <s v="Fresh Coast Foods"/>
    <s v="Southeast"/>
    <s v="P005"/>
    <s v="Cheddar Cheese"/>
    <s v="Dairy"/>
    <n v="709"/>
    <n v="498"/>
    <n v="32"/>
    <n v="4.5"/>
    <n v="2808.16"/>
  </r>
  <r>
    <x v="23"/>
    <s v="D002"/>
    <s v="Fresh Coast Foods"/>
    <s v="Southeast"/>
    <s v="P006"/>
    <s v="Chicken Breast"/>
    <s v="Meat"/>
    <n v="406"/>
    <n v="303"/>
    <n v="19"/>
    <n v="4.7"/>
    <n v="1754.02"/>
  </r>
  <r>
    <x v="23"/>
    <s v="D003"/>
    <s v="Heartland Meats"/>
    <s v="Plains"/>
    <s v="P001"/>
    <s v="Leafy Greens"/>
    <s v="Produce"/>
    <n v="412"/>
    <n v="344"/>
    <n v="17"/>
    <n v="4.0999999999999996"/>
    <n v="886.31"/>
  </r>
  <r>
    <x v="23"/>
    <s v="D003"/>
    <s v="Heartland Meats"/>
    <s v="Plains"/>
    <s v="P002"/>
    <s v="Whole Milk"/>
    <s v="Dairy"/>
    <n v="291"/>
    <n v="260"/>
    <n v="18"/>
    <n v="6.2"/>
    <n v="882.67"/>
  </r>
  <r>
    <x v="23"/>
    <s v="D003"/>
    <s v="Heartland Meats"/>
    <s v="Plains"/>
    <s v="P003"/>
    <s v="Ground Beef"/>
    <s v="Meat"/>
    <n v="292"/>
    <n v="251"/>
    <n v="15"/>
    <n v="5.0999999999999996"/>
    <n v="1990.1"/>
  </r>
  <r>
    <x v="23"/>
    <s v="D003"/>
    <s v="Heartland Meats"/>
    <s v="Plains"/>
    <s v="P004"/>
    <s v="Tomatoes"/>
    <s v="Produce"/>
    <n v="436"/>
    <n v="337"/>
    <n v="31"/>
    <n v="7.1"/>
    <n v="943.76"/>
  </r>
  <r>
    <x v="23"/>
    <s v="D003"/>
    <s v="Heartland Meats"/>
    <s v="Plains"/>
    <s v="P005"/>
    <s v="Cheddar Cheese"/>
    <s v="Dairy"/>
    <n v="378"/>
    <n v="334"/>
    <n v="19"/>
    <n v="5"/>
    <n v="2191.2399999999998"/>
  </r>
  <r>
    <x v="23"/>
    <s v="D003"/>
    <s v="Heartland Meats"/>
    <s v="Plains"/>
    <s v="P006"/>
    <s v="Chicken Breast"/>
    <s v="Meat"/>
    <n v="636"/>
    <n v="540"/>
    <n v="35"/>
    <n v="5.5"/>
    <n v="1498.68"/>
  </r>
  <r>
    <x v="23"/>
    <s v="D004"/>
    <s v="Southwest Organics"/>
    <s v="Southwest"/>
    <s v="P001"/>
    <s v="Leafy Greens"/>
    <s v="Produce"/>
    <n v="341"/>
    <n v="282"/>
    <n v="13"/>
    <n v="3.8"/>
    <n v="1445.61"/>
  </r>
  <r>
    <x v="23"/>
    <s v="D004"/>
    <s v="Southwest Organics"/>
    <s v="Southwest"/>
    <s v="P002"/>
    <s v="Whole Milk"/>
    <s v="Dairy"/>
    <n v="474"/>
    <n v="420"/>
    <n v="27"/>
    <n v="5.7"/>
    <n v="1510.83"/>
  </r>
  <r>
    <x v="23"/>
    <s v="D004"/>
    <s v="Southwest Organics"/>
    <s v="Southwest"/>
    <s v="P003"/>
    <s v="Ground Beef"/>
    <s v="Meat"/>
    <n v="610"/>
    <n v="462"/>
    <n v="49"/>
    <n v="8"/>
    <n v="3067.41"/>
  </r>
  <r>
    <x v="23"/>
    <s v="D004"/>
    <s v="Southwest Organics"/>
    <s v="Southwest"/>
    <s v="P004"/>
    <s v="Tomatoes"/>
    <s v="Produce"/>
    <n v="689"/>
    <n v="596"/>
    <n v="48"/>
    <n v="7"/>
    <n v="1894.29"/>
  </r>
  <r>
    <x v="23"/>
    <s v="D004"/>
    <s v="Southwest Organics"/>
    <s v="Southwest"/>
    <s v="P005"/>
    <s v="Cheddar Cheese"/>
    <s v="Dairy"/>
    <n v="260"/>
    <n v="237"/>
    <n v="8"/>
    <n v="3.1"/>
    <n v="1888.26"/>
  </r>
  <r>
    <x v="23"/>
    <s v="D004"/>
    <s v="Southwest Organics"/>
    <s v="Southwest"/>
    <s v="P006"/>
    <s v="Chicken Breast"/>
    <s v="Meat"/>
    <n v="694"/>
    <n v="601"/>
    <n v="28"/>
    <n v="4"/>
    <n v="2871.88"/>
  </r>
  <r>
    <x v="23"/>
    <s v="D005"/>
    <s v="Great Lakes Dairy"/>
    <s v="Midwest"/>
    <s v="P001"/>
    <s v="Leafy Greens"/>
    <s v="Produce"/>
    <n v="567"/>
    <n v="462"/>
    <n v="51"/>
    <n v="9"/>
    <n v="3171.02"/>
  </r>
  <r>
    <x v="23"/>
    <s v="D005"/>
    <s v="Great Lakes Dairy"/>
    <s v="Midwest"/>
    <s v="P002"/>
    <s v="Whole Milk"/>
    <s v="Dairy"/>
    <n v="333"/>
    <n v="259"/>
    <n v="27"/>
    <n v="8.1"/>
    <n v="1332.33"/>
  </r>
  <r>
    <x v="23"/>
    <s v="D005"/>
    <s v="Great Lakes Dairy"/>
    <s v="Midwest"/>
    <s v="P003"/>
    <s v="Ground Beef"/>
    <s v="Meat"/>
    <n v="264"/>
    <n v="190"/>
    <n v="19"/>
    <n v="7.2"/>
    <n v="1247.8399999999999"/>
  </r>
  <r>
    <x v="23"/>
    <s v="D005"/>
    <s v="Great Lakes Dairy"/>
    <s v="Midwest"/>
    <s v="P004"/>
    <s v="Tomatoes"/>
    <s v="Produce"/>
    <n v="790"/>
    <n v="667"/>
    <n v="55"/>
    <n v="7"/>
    <n v="5161.82"/>
  </r>
  <r>
    <x v="23"/>
    <s v="D005"/>
    <s v="Great Lakes Dairy"/>
    <s v="Midwest"/>
    <s v="P005"/>
    <s v="Cheddar Cheese"/>
    <s v="Dairy"/>
    <n v="731"/>
    <n v="578"/>
    <n v="36"/>
    <n v="4.9000000000000004"/>
    <n v="3739.82"/>
  </r>
  <r>
    <x v="23"/>
    <s v="D005"/>
    <s v="Great Lakes Dairy"/>
    <s v="Midwest"/>
    <s v="P006"/>
    <s v="Chicken Breast"/>
    <s v="Meat"/>
    <n v="454"/>
    <n v="354"/>
    <n v="35"/>
    <n v="7.7"/>
    <n v="1200.74"/>
  </r>
  <r>
    <x v="24"/>
    <s v="D001"/>
    <s v="Green Valley Produce"/>
    <s v="Midwest"/>
    <s v="P001"/>
    <s v="Leafy Greens"/>
    <s v="Produce"/>
    <n v="771"/>
    <n v="686"/>
    <n v="20"/>
    <n v="2.6"/>
    <n v="5560.87"/>
  </r>
  <r>
    <x v="24"/>
    <s v="D001"/>
    <s v="Green Valley Produce"/>
    <s v="Midwest"/>
    <s v="P002"/>
    <s v="Whole Milk"/>
    <s v="Dairy"/>
    <n v="717"/>
    <n v="630"/>
    <n v="55"/>
    <n v="7.7"/>
    <n v="1857.99"/>
  </r>
  <r>
    <x v="24"/>
    <s v="D001"/>
    <s v="Green Valley Produce"/>
    <s v="Midwest"/>
    <s v="P003"/>
    <s v="Ground Beef"/>
    <s v="Meat"/>
    <n v="703"/>
    <n v="517"/>
    <n v="35"/>
    <n v="5"/>
    <n v="2864.99"/>
  </r>
  <r>
    <x v="24"/>
    <s v="D001"/>
    <s v="Green Valley Produce"/>
    <s v="Midwest"/>
    <s v="P004"/>
    <s v="Tomatoes"/>
    <s v="Produce"/>
    <n v="763"/>
    <n v="628"/>
    <n v="31"/>
    <n v="4.0999999999999996"/>
    <n v="3299.87"/>
  </r>
  <r>
    <x v="24"/>
    <s v="D001"/>
    <s v="Green Valley Produce"/>
    <s v="Midwest"/>
    <s v="P005"/>
    <s v="Cheddar Cheese"/>
    <s v="Dairy"/>
    <n v="786"/>
    <n v="605"/>
    <n v="60"/>
    <n v="7.6"/>
    <n v="1943.41"/>
  </r>
  <r>
    <x v="24"/>
    <s v="D001"/>
    <s v="Green Valley Produce"/>
    <s v="Midwest"/>
    <s v="P006"/>
    <s v="Chicken Breast"/>
    <s v="Meat"/>
    <n v="709"/>
    <n v="603"/>
    <n v="25"/>
    <n v="3.5"/>
    <n v="1637.14"/>
  </r>
  <r>
    <x v="24"/>
    <s v="D002"/>
    <s v="Fresh Coast Foods"/>
    <s v="Southeast"/>
    <s v="P001"/>
    <s v="Leafy Greens"/>
    <s v="Produce"/>
    <n v="762"/>
    <n v="495"/>
    <n v="45"/>
    <n v="5.9"/>
    <n v="3076.13"/>
  </r>
  <r>
    <x v="24"/>
    <s v="D002"/>
    <s v="Fresh Coast Foods"/>
    <s v="Southeast"/>
    <s v="P002"/>
    <s v="Whole Milk"/>
    <s v="Dairy"/>
    <n v="511"/>
    <n v="454"/>
    <n v="29"/>
    <n v="5.7"/>
    <n v="2377.71"/>
  </r>
  <r>
    <x v="24"/>
    <s v="D002"/>
    <s v="Fresh Coast Foods"/>
    <s v="Southeast"/>
    <s v="P003"/>
    <s v="Ground Beef"/>
    <s v="Meat"/>
    <n v="549"/>
    <n v="410"/>
    <n v="18"/>
    <n v="3.3"/>
    <n v="2142.9699999999998"/>
  </r>
  <r>
    <x v="24"/>
    <s v="D002"/>
    <s v="Fresh Coast Foods"/>
    <s v="Southeast"/>
    <s v="P004"/>
    <s v="Tomatoes"/>
    <s v="Produce"/>
    <n v="773"/>
    <n v="662"/>
    <n v="51"/>
    <n v="6.6"/>
    <n v="3098.01"/>
  </r>
  <r>
    <x v="24"/>
    <s v="D002"/>
    <s v="Fresh Coast Foods"/>
    <s v="Southeast"/>
    <s v="P005"/>
    <s v="Cheddar Cheese"/>
    <s v="Dairy"/>
    <n v="663"/>
    <n v="451"/>
    <n v="51"/>
    <n v="7.7"/>
    <n v="2051.21"/>
  </r>
  <r>
    <x v="24"/>
    <s v="D002"/>
    <s v="Fresh Coast Foods"/>
    <s v="Southeast"/>
    <s v="P006"/>
    <s v="Chicken Breast"/>
    <s v="Meat"/>
    <n v="498"/>
    <n v="397"/>
    <n v="18"/>
    <n v="3.6"/>
    <n v="3128.86"/>
  </r>
  <r>
    <x v="24"/>
    <s v="D003"/>
    <s v="Heartland Meats"/>
    <s v="Plains"/>
    <s v="P001"/>
    <s v="Leafy Greens"/>
    <s v="Produce"/>
    <n v="704"/>
    <n v="484"/>
    <n v="69"/>
    <n v="9.8000000000000007"/>
    <n v="1520.62"/>
  </r>
  <r>
    <x v="24"/>
    <s v="D003"/>
    <s v="Heartland Meats"/>
    <s v="Plains"/>
    <s v="P002"/>
    <s v="Whole Milk"/>
    <s v="Dairy"/>
    <n v="400"/>
    <n v="280"/>
    <n v="36"/>
    <n v="9"/>
    <n v="1467.84"/>
  </r>
  <r>
    <x v="24"/>
    <s v="D003"/>
    <s v="Heartland Meats"/>
    <s v="Plains"/>
    <s v="P003"/>
    <s v="Ground Beef"/>
    <s v="Meat"/>
    <n v="395"/>
    <n v="333"/>
    <n v="15"/>
    <n v="3.8"/>
    <n v="2683.9"/>
  </r>
  <r>
    <x v="24"/>
    <s v="D003"/>
    <s v="Heartland Meats"/>
    <s v="Plains"/>
    <s v="P004"/>
    <s v="Tomatoes"/>
    <s v="Produce"/>
    <n v="326"/>
    <n v="279"/>
    <n v="19"/>
    <n v="5.8"/>
    <n v="2298.16"/>
  </r>
  <r>
    <x v="24"/>
    <s v="D003"/>
    <s v="Heartland Meats"/>
    <s v="Plains"/>
    <s v="P005"/>
    <s v="Cheddar Cheese"/>
    <s v="Dairy"/>
    <n v="337"/>
    <n v="306"/>
    <n v="17"/>
    <n v="5"/>
    <n v="1780.72"/>
  </r>
  <r>
    <x v="24"/>
    <s v="D003"/>
    <s v="Heartland Meats"/>
    <s v="Plains"/>
    <s v="P006"/>
    <s v="Chicken Breast"/>
    <s v="Meat"/>
    <n v="643"/>
    <n v="563"/>
    <n v="32"/>
    <n v="5"/>
    <n v="4519.1899999999996"/>
  </r>
  <r>
    <x v="24"/>
    <s v="D004"/>
    <s v="Southwest Organics"/>
    <s v="Southwest"/>
    <s v="P001"/>
    <s v="Leafy Greens"/>
    <s v="Produce"/>
    <n v="381"/>
    <n v="318"/>
    <n v="23"/>
    <n v="6"/>
    <n v="992.58"/>
  </r>
  <r>
    <x v="24"/>
    <s v="D004"/>
    <s v="Southwest Organics"/>
    <s v="Southwest"/>
    <s v="P002"/>
    <s v="Whole Milk"/>
    <s v="Dairy"/>
    <n v="529"/>
    <n v="415"/>
    <n v="43"/>
    <n v="8.1"/>
    <n v="3318.12"/>
  </r>
  <r>
    <x v="24"/>
    <s v="D004"/>
    <s v="Southwest Organics"/>
    <s v="Southwest"/>
    <s v="P003"/>
    <s v="Ground Beef"/>
    <s v="Meat"/>
    <n v="454"/>
    <n v="328"/>
    <n v="53"/>
    <n v="11.7"/>
    <n v="1711.2"/>
  </r>
  <r>
    <x v="24"/>
    <s v="D004"/>
    <s v="Southwest Organics"/>
    <s v="Southwest"/>
    <s v="P004"/>
    <s v="Tomatoes"/>
    <s v="Produce"/>
    <n v="336"/>
    <n v="230"/>
    <n v="33"/>
    <n v="9.8000000000000007"/>
    <n v="1281.97"/>
  </r>
  <r>
    <x v="24"/>
    <s v="D004"/>
    <s v="Southwest Organics"/>
    <s v="Southwest"/>
    <s v="P005"/>
    <s v="Cheddar Cheese"/>
    <s v="Dairy"/>
    <n v="760"/>
    <n v="670"/>
    <n v="58"/>
    <n v="7.6"/>
    <n v="4217.9799999999996"/>
  </r>
  <r>
    <x v="24"/>
    <s v="D004"/>
    <s v="Southwest Organics"/>
    <s v="Southwest"/>
    <s v="P006"/>
    <s v="Chicken Breast"/>
    <s v="Meat"/>
    <n v="405"/>
    <n v="286"/>
    <n v="38"/>
    <n v="9.4"/>
    <n v="2295.77"/>
  </r>
  <r>
    <x v="24"/>
    <s v="D005"/>
    <s v="Great Lakes Dairy"/>
    <s v="Midwest"/>
    <s v="P001"/>
    <s v="Leafy Greens"/>
    <s v="Produce"/>
    <n v="335"/>
    <n v="306"/>
    <n v="23"/>
    <n v="6.9"/>
    <n v="1690.15"/>
  </r>
  <r>
    <x v="24"/>
    <s v="D005"/>
    <s v="Great Lakes Dairy"/>
    <s v="Midwest"/>
    <s v="P002"/>
    <s v="Whole Milk"/>
    <s v="Dairy"/>
    <n v="530"/>
    <n v="446"/>
    <n v="35"/>
    <n v="6.6"/>
    <n v="2674.59"/>
  </r>
  <r>
    <x v="24"/>
    <s v="D005"/>
    <s v="Great Lakes Dairy"/>
    <s v="Midwest"/>
    <s v="P003"/>
    <s v="Ground Beef"/>
    <s v="Meat"/>
    <n v="627"/>
    <n v="521"/>
    <n v="44"/>
    <n v="7"/>
    <n v="4045.49"/>
  </r>
  <r>
    <x v="24"/>
    <s v="D005"/>
    <s v="Great Lakes Dairy"/>
    <s v="Midwest"/>
    <s v="P004"/>
    <s v="Tomatoes"/>
    <s v="Produce"/>
    <n v="632"/>
    <n v="548"/>
    <n v="18"/>
    <n v="2.8"/>
    <n v="1847.83"/>
  </r>
  <r>
    <x v="24"/>
    <s v="D005"/>
    <s v="Great Lakes Dairy"/>
    <s v="Midwest"/>
    <s v="P005"/>
    <s v="Cheddar Cheese"/>
    <s v="Dairy"/>
    <n v="257"/>
    <n v="180"/>
    <n v="18"/>
    <n v="7"/>
    <n v="759.54"/>
  </r>
  <r>
    <x v="24"/>
    <s v="D005"/>
    <s v="Great Lakes Dairy"/>
    <s v="Midwest"/>
    <s v="P006"/>
    <s v="Chicken Breast"/>
    <s v="Meat"/>
    <n v="456"/>
    <n v="314"/>
    <n v="29"/>
    <n v="6.4"/>
    <n v="1169.3399999999999"/>
  </r>
  <r>
    <x v="25"/>
    <s v="D001"/>
    <s v="Green Valley Produce"/>
    <s v="Midwest"/>
    <s v="P001"/>
    <s v="Leafy Greens"/>
    <s v="Produce"/>
    <n v="754"/>
    <n v="496"/>
    <n v="59"/>
    <n v="7.8"/>
    <n v="3823.27"/>
  </r>
  <r>
    <x v="25"/>
    <s v="D001"/>
    <s v="Green Valley Produce"/>
    <s v="Midwest"/>
    <s v="P002"/>
    <s v="Whole Milk"/>
    <s v="Dairy"/>
    <n v="775"/>
    <n v="684"/>
    <n v="45"/>
    <n v="5.8"/>
    <n v="2685.09"/>
  </r>
  <r>
    <x v="25"/>
    <s v="D001"/>
    <s v="Green Valley Produce"/>
    <s v="Midwest"/>
    <s v="P003"/>
    <s v="Ground Beef"/>
    <s v="Meat"/>
    <n v="494"/>
    <n v="413"/>
    <n v="18"/>
    <n v="3.6"/>
    <n v="2064.75"/>
  </r>
  <r>
    <x v="25"/>
    <s v="D001"/>
    <s v="Green Valley Produce"/>
    <s v="Midwest"/>
    <s v="P004"/>
    <s v="Tomatoes"/>
    <s v="Produce"/>
    <n v="520"/>
    <n v="473"/>
    <n v="26"/>
    <n v="5"/>
    <n v="1758.86"/>
  </r>
  <r>
    <x v="25"/>
    <s v="D001"/>
    <s v="Green Valley Produce"/>
    <s v="Midwest"/>
    <s v="P005"/>
    <s v="Cheddar Cheese"/>
    <s v="Dairy"/>
    <n v="653"/>
    <n v="570"/>
    <n v="46"/>
    <n v="7"/>
    <n v="3639.9"/>
  </r>
  <r>
    <x v="25"/>
    <s v="D001"/>
    <s v="Green Valley Produce"/>
    <s v="Midwest"/>
    <s v="P006"/>
    <s v="Chicken Breast"/>
    <s v="Meat"/>
    <n v="759"/>
    <n v="644"/>
    <n v="43"/>
    <n v="5.7"/>
    <n v="2357.6799999999998"/>
  </r>
  <r>
    <x v="25"/>
    <s v="D002"/>
    <s v="Fresh Coast Foods"/>
    <s v="Southeast"/>
    <s v="P001"/>
    <s v="Leafy Greens"/>
    <s v="Produce"/>
    <n v="659"/>
    <n v="459"/>
    <n v="45"/>
    <n v="6.8"/>
    <n v="1626.13"/>
  </r>
  <r>
    <x v="25"/>
    <s v="D002"/>
    <s v="Fresh Coast Foods"/>
    <s v="Southeast"/>
    <s v="P002"/>
    <s v="Whole Milk"/>
    <s v="Dairy"/>
    <n v="726"/>
    <n v="495"/>
    <n v="28"/>
    <n v="3.9"/>
    <n v="2022.29"/>
  </r>
  <r>
    <x v="25"/>
    <s v="D002"/>
    <s v="Fresh Coast Foods"/>
    <s v="Southeast"/>
    <s v="P003"/>
    <s v="Ground Beef"/>
    <s v="Meat"/>
    <n v="364"/>
    <n v="293"/>
    <n v="15"/>
    <n v="4.0999999999999996"/>
    <n v="1980.13"/>
  </r>
  <r>
    <x v="25"/>
    <s v="D002"/>
    <s v="Fresh Coast Foods"/>
    <s v="Southeast"/>
    <s v="P004"/>
    <s v="Tomatoes"/>
    <s v="Produce"/>
    <n v="358"/>
    <n v="236"/>
    <n v="39"/>
    <n v="10.9"/>
    <n v="1685.5"/>
  </r>
  <r>
    <x v="25"/>
    <s v="D002"/>
    <s v="Fresh Coast Foods"/>
    <s v="Southeast"/>
    <s v="P005"/>
    <s v="Cheddar Cheese"/>
    <s v="Dairy"/>
    <n v="508"/>
    <n v="397"/>
    <n v="30"/>
    <n v="5.9"/>
    <n v="2860.06"/>
  </r>
  <r>
    <x v="25"/>
    <s v="D002"/>
    <s v="Fresh Coast Foods"/>
    <s v="Southeast"/>
    <s v="P006"/>
    <s v="Chicken Breast"/>
    <s v="Meat"/>
    <n v="525"/>
    <n v="415"/>
    <n v="42"/>
    <n v="8"/>
    <n v="2995.28"/>
  </r>
  <r>
    <x v="25"/>
    <s v="D003"/>
    <s v="Heartland Meats"/>
    <s v="Plains"/>
    <s v="P001"/>
    <s v="Leafy Greens"/>
    <s v="Produce"/>
    <n v="363"/>
    <n v="276"/>
    <n v="17"/>
    <n v="4.7"/>
    <n v="1056.3"/>
  </r>
  <r>
    <x v="25"/>
    <s v="D003"/>
    <s v="Heartland Meats"/>
    <s v="Plains"/>
    <s v="P002"/>
    <s v="Whole Milk"/>
    <s v="Dairy"/>
    <n v="418"/>
    <n v="346"/>
    <n v="17"/>
    <n v="4.0999999999999996"/>
    <n v="2837.84"/>
  </r>
  <r>
    <x v="25"/>
    <s v="D003"/>
    <s v="Heartland Meats"/>
    <s v="Plains"/>
    <s v="P003"/>
    <s v="Ground Beef"/>
    <s v="Meat"/>
    <n v="743"/>
    <n v="578"/>
    <n v="58"/>
    <n v="7.8"/>
    <n v="3696.77"/>
  </r>
  <r>
    <x v="25"/>
    <s v="D003"/>
    <s v="Heartland Meats"/>
    <s v="Plains"/>
    <s v="P004"/>
    <s v="Tomatoes"/>
    <s v="Produce"/>
    <n v="317"/>
    <n v="263"/>
    <n v="23"/>
    <n v="7.3"/>
    <n v="1625.92"/>
  </r>
  <r>
    <x v="25"/>
    <s v="D003"/>
    <s v="Heartland Meats"/>
    <s v="Plains"/>
    <s v="P005"/>
    <s v="Cheddar Cheese"/>
    <s v="Dairy"/>
    <n v="449"/>
    <n v="408"/>
    <n v="18"/>
    <n v="4"/>
    <n v="3262.2"/>
  </r>
  <r>
    <x v="25"/>
    <s v="D003"/>
    <s v="Heartland Meats"/>
    <s v="Plains"/>
    <s v="P006"/>
    <s v="Chicken Breast"/>
    <s v="Meat"/>
    <n v="316"/>
    <n v="238"/>
    <n v="18"/>
    <n v="5.7"/>
    <n v="1896.39"/>
  </r>
  <r>
    <x v="25"/>
    <s v="D004"/>
    <s v="Southwest Organics"/>
    <s v="Southwest"/>
    <s v="P001"/>
    <s v="Leafy Greens"/>
    <s v="Produce"/>
    <n v="583"/>
    <n v="459"/>
    <n v="36"/>
    <n v="6.2"/>
    <n v="1963.88"/>
  </r>
  <r>
    <x v="25"/>
    <s v="D004"/>
    <s v="Southwest Organics"/>
    <s v="Southwest"/>
    <s v="P002"/>
    <s v="Whole Milk"/>
    <s v="Dairy"/>
    <n v="397"/>
    <n v="292"/>
    <n v="11"/>
    <n v="2.8"/>
    <n v="2432.29"/>
  </r>
  <r>
    <x v="25"/>
    <s v="D004"/>
    <s v="Southwest Organics"/>
    <s v="Southwest"/>
    <s v="P003"/>
    <s v="Ground Beef"/>
    <s v="Meat"/>
    <n v="750"/>
    <n v="595"/>
    <n v="39"/>
    <n v="5.2"/>
    <n v="3734.87"/>
  </r>
  <r>
    <x v="25"/>
    <s v="D004"/>
    <s v="Southwest Organics"/>
    <s v="Southwest"/>
    <s v="P004"/>
    <s v="Tomatoes"/>
    <s v="Produce"/>
    <n v="418"/>
    <n v="369"/>
    <n v="12"/>
    <n v="2.9"/>
    <n v="2113.09"/>
  </r>
  <r>
    <x v="25"/>
    <s v="D004"/>
    <s v="Southwest Organics"/>
    <s v="Southwest"/>
    <s v="P005"/>
    <s v="Cheddar Cheese"/>
    <s v="Dairy"/>
    <n v="645"/>
    <n v="531"/>
    <n v="54"/>
    <n v="8.4"/>
    <n v="1817.36"/>
  </r>
  <r>
    <x v="25"/>
    <s v="D004"/>
    <s v="Southwest Organics"/>
    <s v="Southwest"/>
    <s v="P006"/>
    <s v="Chicken Breast"/>
    <s v="Meat"/>
    <n v="670"/>
    <n v="565"/>
    <n v="14"/>
    <n v="2.1"/>
    <n v="2015.89"/>
  </r>
  <r>
    <x v="25"/>
    <s v="D005"/>
    <s v="Great Lakes Dairy"/>
    <s v="Midwest"/>
    <s v="P001"/>
    <s v="Leafy Greens"/>
    <s v="Produce"/>
    <n v="457"/>
    <n v="365"/>
    <n v="22"/>
    <n v="4.8"/>
    <n v="1478.94"/>
  </r>
  <r>
    <x v="25"/>
    <s v="D005"/>
    <s v="Great Lakes Dairy"/>
    <s v="Midwest"/>
    <s v="P002"/>
    <s v="Whole Milk"/>
    <s v="Dairy"/>
    <n v="597"/>
    <n v="460"/>
    <n v="30"/>
    <n v="5"/>
    <n v="2225.0300000000002"/>
  </r>
  <r>
    <x v="25"/>
    <s v="D005"/>
    <s v="Great Lakes Dairy"/>
    <s v="Midwest"/>
    <s v="P003"/>
    <s v="Ground Beef"/>
    <s v="Meat"/>
    <n v="321"/>
    <n v="255"/>
    <n v="23"/>
    <n v="7.2"/>
    <n v="1794.12"/>
  </r>
  <r>
    <x v="25"/>
    <s v="D005"/>
    <s v="Great Lakes Dairy"/>
    <s v="Midwest"/>
    <s v="P004"/>
    <s v="Tomatoes"/>
    <s v="Produce"/>
    <n v="799"/>
    <n v="529"/>
    <n v="74"/>
    <n v="9.3000000000000007"/>
    <n v="2918.5"/>
  </r>
  <r>
    <x v="25"/>
    <s v="D005"/>
    <s v="Great Lakes Dairy"/>
    <s v="Midwest"/>
    <s v="P005"/>
    <s v="Cheddar Cheese"/>
    <s v="Dairy"/>
    <n v="496"/>
    <n v="427"/>
    <n v="13"/>
    <n v="2.6"/>
    <n v="3028.13"/>
  </r>
  <r>
    <x v="25"/>
    <s v="D005"/>
    <s v="Great Lakes Dairy"/>
    <s v="Midwest"/>
    <s v="P006"/>
    <s v="Chicken Breast"/>
    <s v="Meat"/>
    <n v="648"/>
    <n v="487"/>
    <n v="37"/>
    <n v="5.7"/>
    <n v="1674.28"/>
  </r>
  <r>
    <x v="26"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00">
  <r>
    <d v="2024-01-01T00:00:00"/>
    <s v="D001"/>
    <s v="Green Valley Produce"/>
    <s v="P001"/>
    <x v="0"/>
    <n v="34"/>
    <n v="36"/>
    <x v="0"/>
    <x v="0"/>
  </r>
  <r>
    <d v="2024-01-01T00:00:00"/>
    <s v="D001"/>
    <s v="Green Valley Produce"/>
    <s v="P002"/>
    <x v="1"/>
    <n v="38"/>
    <n v="40.4"/>
    <x v="0"/>
    <x v="0"/>
  </r>
  <r>
    <d v="2024-01-01T00:00:00"/>
    <s v="D001"/>
    <s v="Green Valley Produce"/>
    <s v="P003"/>
    <x v="2"/>
    <n v="32"/>
    <n v="33.5"/>
    <x v="0"/>
    <x v="0"/>
  </r>
  <r>
    <d v="2024-01-01T00:00:00"/>
    <s v="D001"/>
    <s v="Green Valley Produce"/>
    <s v="P004"/>
    <x v="3"/>
    <n v="50"/>
    <n v="52.5"/>
    <x v="0"/>
    <x v="0"/>
  </r>
  <r>
    <d v="2024-01-01T00:00:00"/>
    <s v="D001"/>
    <s v="Green Valley Produce"/>
    <s v="P005"/>
    <x v="4"/>
    <n v="38"/>
    <n v="40.5"/>
    <x v="0"/>
    <x v="0"/>
  </r>
  <r>
    <d v="2024-01-01T00:00:00"/>
    <s v="D001"/>
    <s v="Green Valley Produce"/>
    <s v="P006"/>
    <x v="5"/>
    <n v="32"/>
    <n v="34.799999999999997"/>
    <x v="0"/>
    <x v="0"/>
  </r>
  <r>
    <d v="2024-01-01T00:00:00"/>
    <s v="D002"/>
    <s v="Fresh Coast Foods"/>
    <s v="P001"/>
    <x v="0"/>
    <n v="34"/>
    <n v="47"/>
    <x v="1"/>
    <x v="1"/>
  </r>
  <r>
    <d v="2024-01-01T00:00:00"/>
    <s v="D002"/>
    <s v="Fresh Coast Foods"/>
    <s v="P002"/>
    <x v="1"/>
    <n v="38"/>
    <n v="44.3"/>
    <x v="1"/>
    <x v="2"/>
  </r>
  <r>
    <d v="2024-01-01T00:00:00"/>
    <s v="D002"/>
    <s v="Fresh Coast Foods"/>
    <s v="P003"/>
    <x v="2"/>
    <n v="32"/>
    <n v="32.6"/>
    <x v="0"/>
    <x v="0"/>
  </r>
  <r>
    <d v="2024-01-01T00:00:00"/>
    <s v="D002"/>
    <s v="Fresh Coast Foods"/>
    <s v="P004"/>
    <x v="3"/>
    <n v="50"/>
    <n v="49.3"/>
    <x v="0"/>
    <x v="0"/>
  </r>
  <r>
    <d v="2024-01-01T00:00:00"/>
    <s v="D002"/>
    <s v="Fresh Coast Foods"/>
    <s v="P005"/>
    <x v="4"/>
    <n v="38"/>
    <n v="40"/>
    <x v="0"/>
    <x v="0"/>
  </r>
  <r>
    <d v="2024-01-01T00:00:00"/>
    <s v="D002"/>
    <s v="Fresh Coast Foods"/>
    <s v="P006"/>
    <x v="5"/>
    <n v="32"/>
    <n v="31.8"/>
    <x v="0"/>
    <x v="0"/>
  </r>
  <r>
    <d v="2024-01-01T00:00:00"/>
    <s v="D003"/>
    <s v="Heartland Meats"/>
    <s v="P001"/>
    <x v="0"/>
    <n v="34"/>
    <n v="36.4"/>
    <x v="0"/>
    <x v="0"/>
  </r>
  <r>
    <d v="2024-01-01T00:00:00"/>
    <s v="D003"/>
    <s v="Heartland Meats"/>
    <s v="P002"/>
    <x v="1"/>
    <n v="38"/>
    <n v="45.5"/>
    <x v="1"/>
    <x v="2"/>
  </r>
  <r>
    <d v="2024-01-01T00:00:00"/>
    <s v="D003"/>
    <s v="Heartland Meats"/>
    <s v="P003"/>
    <x v="2"/>
    <n v="32"/>
    <n v="32"/>
    <x v="0"/>
    <x v="0"/>
  </r>
  <r>
    <d v="2024-01-01T00:00:00"/>
    <s v="D003"/>
    <s v="Heartland Meats"/>
    <s v="P004"/>
    <x v="3"/>
    <n v="50"/>
    <n v="61.4"/>
    <x v="1"/>
    <x v="1"/>
  </r>
  <r>
    <d v="2024-01-01T00:00:00"/>
    <s v="D003"/>
    <s v="Heartland Meats"/>
    <s v="P005"/>
    <x v="4"/>
    <n v="38"/>
    <n v="37.200000000000003"/>
    <x v="0"/>
    <x v="0"/>
  </r>
  <r>
    <d v="2024-01-01T00:00:00"/>
    <s v="D003"/>
    <s v="Heartland Meats"/>
    <s v="P006"/>
    <x v="5"/>
    <n v="32"/>
    <n v="35"/>
    <x v="0"/>
    <x v="0"/>
  </r>
  <r>
    <d v="2024-01-01T00:00:00"/>
    <s v="D004"/>
    <s v="Southwest Organics"/>
    <s v="P001"/>
    <x v="0"/>
    <n v="34"/>
    <n v="35.6"/>
    <x v="0"/>
    <x v="0"/>
  </r>
  <r>
    <d v="2024-01-01T00:00:00"/>
    <s v="D004"/>
    <s v="Southwest Organics"/>
    <s v="P002"/>
    <x v="1"/>
    <n v="38"/>
    <n v="49.4"/>
    <x v="1"/>
    <x v="1"/>
  </r>
  <r>
    <d v="2024-01-01T00:00:00"/>
    <s v="D004"/>
    <s v="Southwest Organics"/>
    <s v="P003"/>
    <x v="2"/>
    <n v="32"/>
    <n v="31.8"/>
    <x v="0"/>
    <x v="0"/>
  </r>
  <r>
    <d v="2024-01-01T00:00:00"/>
    <s v="D004"/>
    <s v="Southwest Organics"/>
    <s v="P004"/>
    <x v="3"/>
    <n v="50"/>
    <n v="52.8"/>
    <x v="0"/>
    <x v="0"/>
  </r>
  <r>
    <d v="2024-01-01T00:00:00"/>
    <s v="D004"/>
    <s v="Southwest Organics"/>
    <s v="P005"/>
    <x v="4"/>
    <n v="38"/>
    <n v="39.700000000000003"/>
    <x v="0"/>
    <x v="0"/>
  </r>
  <r>
    <d v="2024-01-01T00:00:00"/>
    <s v="D004"/>
    <s v="Southwest Organics"/>
    <s v="P006"/>
    <x v="5"/>
    <n v="32"/>
    <n v="32.1"/>
    <x v="0"/>
    <x v="0"/>
  </r>
  <r>
    <d v="2024-01-01T00:00:00"/>
    <s v="D005"/>
    <s v="Great Lakes Dairy"/>
    <s v="P001"/>
    <x v="0"/>
    <n v="34"/>
    <n v="41.5"/>
    <x v="1"/>
    <x v="2"/>
  </r>
  <r>
    <d v="2024-01-01T00:00:00"/>
    <s v="D005"/>
    <s v="Great Lakes Dairy"/>
    <s v="P002"/>
    <x v="1"/>
    <n v="38"/>
    <n v="38.299999999999997"/>
    <x v="0"/>
    <x v="0"/>
  </r>
  <r>
    <d v="2024-01-01T00:00:00"/>
    <s v="D005"/>
    <s v="Great Lakes Dairy"/>
    <s v="P003"/>
    <x v="2"/>
    <n v="32"/>
    <n v="33.799999999999997"/>
    <x v="0"/>
    <x v="0"/>
  </r>
  <r>
    <d v="2024-01-01T00:00:00"/>
    <s v="D005"/>
    <s v="Great Lakes Dairy"/>
    <s v="P004"/>
    <x v="3"/>
    <n v="50"/>
    <n v="60.5"/>
    <x v="1"/>
    <x v="1"/>
  </r>
  <r>
    <d v="2024-01-01T00:00:00"/>
    <s v="D005"/>
    <s v="Great Lakes Dairy"/>
    <s v="P005"/>
    <x v="4"/>
    <n v="38"/>
    <n v="40.799999999999997"/>
    <x v="0"/>
    <x v="0"/>
  </r>
  <r>
    <d v="2024-01-01T00:00:00"/>
    <s v="D005"/>
    <s v="Great Lakes Dairy"/>
    <s v="P006"/>
    <x v="5"/>
    <n v="32"/>
    <n v="40.5"/>
    <x v="1"/>
    <x v="2"/>
  </r>
  <r>
    <d v="2024-01-02T00:00:00"/>
    <s v="D001"/>
    <s v="Green Valley Produce"/>
    <s v="P001"/>
    <x v="0"/>
    <n v="34"/>
    <n v="35.799999999999997"/>
    <x v="0"/>
    <x v="0"/>
  </r>
  <r>
    <d v="2024-01-02T00:00:00"/>
    <s v="D001"/>
    <s v="Green Valley Produce"/>
    <s v="P002"/>
    <x v="1"/>
    <n v="38"/>
    <n v="38.1"/>
    <x v="0"/>
    <x v="0"/>
  </r>
  <r>
    <d v="2024-01-02T00:00:00"/>
    <s v="D001"/>
    <s v="Green Valley Produce"/>
    <s v="P003"/>
    <x v="2"/>
    <n v="32"/>
    <n v="33.700000000000003"/>
    <x v="0"/>
    <x v="0"/>
  </r>
  <r>
    <d v="2024-01-02T00:00:00"/>
    <s v="D001"/>
    <s v="Green Valley Produce"/>
    <s v="P004"/>
    <x v="3"/>
    <n v="50"/>
    <n v="50.9"/>
    <x v="0"/>
    <x v="0"/>
  </r>
  <r>
    <d v="2024-01-02T00:00:00"/>
    <s v="D001"/>
    <s v="Green Valley Produce"/>
    <s v="P005"/>
    <x v="4"/>
    <n v="38"/>
    <n v="40.1"/>
    <x v="0"/>
    <x v="0"/>
  </r>
  <r>
    <d v="2024-01-02T00:00:00"/>
    <s v="D001"/>
    <s v="Green Valley Produce"/>
    <s v="P006"/>
    <x v="5"/>
    <n v="32"/>
    <n v="31.4"/>
    <x v="0"/>
    <x v="0"/>
  </r>
  <r>
    <d v="2024-01-02T00:00:00"/>
    <s v="D002"/>
    <s v="Fresh Coast Foods"/>
    <s v="P001"/>
    <x v="0"/>
    <n v="34"/>
    <n v="33.299999999999997"/>
    <x v="0"/>
    <x v="0"/>
  </r>
  <r>
    <d v="2024-01-02T00:00:00"/>
    <s v="D002"/>
    <s v="Fresh Coast Foods"/>
    <s v="P002"/>
    <x v="1"/>
    <n v="38"/>
    <n v="40.299999999999997"/>
    <x v="0"/>
    <x v="0"/>
  </r>
  <r>
    <d v="2024-01-02T00:00:00"/>
    <s v="D002"/>
    <s v="Fresh Coast Foods"/>
    <s v="P003"/>
    <x v="2"/>
    <n v="32"/>
    <n v="31.8"/>
    <x v="0"/>
    <x v="0"/>
  </r>
  <r>
    <d v="2024-01-02T00:00:00"/>
    <s v="D002"/>
    <s v="Fresh Coast Foods"/>
    <s v="P004"/>
    <x v="3"/>
    <n v="50"/>
    <n v="51.5"/>
    <x v="0"/>
    <x v="0"/>
  </r>
  <r>
    <d v="2024-01-02T00:00:00"/>
    <s v="D002"/>
    <s v="Fresh Coast Foods"/>
    <s v="P005"/>
    <x v="4"/>
    <n v="38"/>
    <n v="40.6"/>
    <x v="0"/>
    <x v="0"/>
  </r>
  <r>
    <d v="2024-01-02T00:00:00"/>
    <s v="D002"/>
    <s v="Fresh Coast Foods"/>
    <s v="P006"/>
    <x v="5"/>
    <n v="32"/>
    <n v="33.5"/>
    <x v="0"/>
    <x v="0"/>
  </r>
  <r>
    <d v="2024-01-02T00:00:00"/>
    <s v="D003"/>
    <s v="Heartland Meats"/>
    <s v="P001"/>
    <x v="0"/>
    <n v="34"/>
    <n v="35.299999999999997"/>
    <x v="0"/>
    <x v="0"/>
  </r>
  <r>
    <d v="2024-01-02T00:00:00"/>
    <s v="D003"/>
    <s v="Heartland Meats"/>
    <s v="P002"/>
    <x v="1"/>
    <n v="38"/>
    <n v="37.9"/>
    <x v="0"/>
    <x v="0"/>
  </r>
  <r>
    <d v="2024-01-02T00:00:00"/>
    <s v="D003"/>
    <s v="Heartland Meats"/>
    <s v="P003"/>
    <x v="2"/>
    <n v="32"/>
    <n v="40.1"/>
    <x v="1"/>
    <x v="2"/>
  </r>
  <r>
    <d v="2024-01-02T00:00:00"/>
    <s v="D003"/>
    <s v="Heartland Meats"/>
    <s v="P004"/>
    <x v="3"/>
    <n v="50"/>
    <n v="51.2"/>
    <x v="0"/>
    <x v="0"/>
  </r>
  <r>
    <d v="2024-01-02T00:00:00"/>
    <s v="D003"/>
    <s v="Heartland Meats"/>
    <s v="P005"/>
    <x v="4"/>
    <n v="38"/>
    <n v="37.6"/>
    <x v="0"/>
    <x v="0"/>
  </r>
  <r>
    <d v="2024-01-02T00:00:00"/>
    <s v="D003"/>
    <s v="Heartland Meats"/>
    <s v="P006"/>
    <x v="5"/>
    <n v="32"/>
    <n v="34.6"/>
    <x v="0"/>
    <x v="0"/>
  </r>
  <r>
    <d v="2024-01-02T00:00:00"/>
    <s v="D004"/>
    <s v="Southwest Organics"/>
    <s v="P001"/>
    <x v="0"/>
    <n v="34"/>
    <n v="36.4"/>
    <x v="0"/>
    <x v="0"/>
  </r>
  <r>
    <d v="2024-01-02T00:00:00"/>
    <s v="D004"/>
    <s v="Southwest Organics"/>
    <s v="P002"/>
    <x v="1"/>
    <n v="38"/>
    <n v="48"/>
    <x v="1"/>
    <x v="1"/>
  </r>
  <r>
    <d v="2024-01-02T00:00:00"/>
    <s v="D004"/>
    <s v="Southwest Organics"/>
    <s v="P003"/>
    <x v="2"/>
    <n v="32"/>
    <n v="40.9"/>
    <x v="1"/>
    <x v="2"/>
  </r>
  <r>
    <d v="2024-01-02T00:00:00"/>
    <s v="D004"/>
    <s v="Southwest Organics"/>
    <s v="P004"/>
    <x v="3"/>
    <n v="50"/>
    <n v="57.9"/>
    <x v="1"/>
    <x v="2"/>
  </r>
  <r>
    <d v="2024-01-02T00:00:00"/>
    <s v="D004"/>
    <s v="Southwest Organics"/>
    <s v="P005"/>
    <x v="4"/>
    <n v="38"/>
    <n v="40.9"/>
    <x v="0"/>
    <x v="0"/>
  </r>
  <r>
    <d v="2024-01-02T00:00:00"/>
    <s v="D004"/>
    <s v="Southwest Organics"/>
    <s v="P006"/>
    <x v="5"/>
    <n v="32"/>
    <n v="34"/>
    <x v="0"/>
    <x v="0"/>
  </r>
  <r>
    <d v="2024-01-02T00:00:00"/>
    <s v="D005"/>
    <s v="Great Lakes Dairy"/>
    <s v="P001"/>
    <x v="0"/>
    <n v="34"/>
    <n v="41.3"/>
    <x v="1"/>
    <x v="2"/>
  </r>
  <r>
    <d v="2024-01-02T00:00:00"/>
    <s v="D005"/>
    <s v="Great Lakes Dairy"/>
    <s v="P002"/>
    <x v="1"/>
    <n v="38"/>
    <n v="39.299999999999997"/>
    <x v="0"/>
    <x v="0"/>
  </r>
  <r>
    <d v="2024-01-02T00:00:00"/>
    <s v="D005"/>
    <s v="Great Lakes Dairy"/>
    <s v="P003"/>
    <x v="2"/>
    <n v="32"/>
    <n v="31.6"/>
    <x v="0"/>
    <x v="0"/>
  </r>
  <r>
    <d v="2024-01-02T00:00:00"/>
    <s v="D005"/>
    <s v="Great Lakes Dairy"/>
    <s v="P004"/>
    <x v="3"/>
    <n v="50"/>
    <n v="52.8"/>
    <x v="0"/>
    <x v="0"/>
  </r>
  <r>
    <d v="2024-01-02T00:00:00"/>
    <s v="D005"/>
    <s v="Great Lakes Dairy"/>
    <s v="P005"/>
    <x v="4"/>
    <n v="38"/>
    <n v="50.1"/>
    <x v="1"/>
    <x v="1"/>
  </r>
  <r>
    <d v="2024-01-02T00:00:00"/>
    <s v="D005"/>
    <s v="Great Lakes Dairy"/>
    <s v="P006"/>
    <x v="5"/>
    <n v="32"/>
    <n v="32.1"/>
    <x v="0"/>
    <x v="0"/>
  </r>
  <r>
    <d v="2024-01-03T00:00:00"/>
    <s v="D001"/>
    <s v="Green Valley Produce"/>
    <s v="P001"/>
    <x v="0"/>
    <n v="34"/>
    <n v="35.700000000000003"/>
    <x v="0"/>
    <x v="0"/>
  </r>
  <r>
    <d v="2024-01-03T00:00:00"/>
    <s v="D001"/>
    <s v="Green Valley Produce"/>
    <s v="P002"/>
    <x v="1"/>
    <n v="38"/>
    <n v="40.200000000000003"/>
    <x v="0"/>
    <x v="0"/>
  </r>
  <r>
    <d v="2024-01-03T00:00:00"/>
    <s v="D001"/>
    <s v="Green Valley Produce"/>
    <s v="P003"/>
    <x v="2"/>
    <n v="32"/>
    <n v="34.700000000000003"/>
    <x v="0"/>
    <x v="0"/>
  </r>
  <r>
    <d v="2024-01-03T00:00:00"/>
    <s v="D001"/>
    <s v="Green Valley Produce"/>
    <s v="P004"/>
    <x v="3"/>
    <n v="50"/>
    <n v="49.2"/>
    <x v="0"/>
    <x v="0"/>
  </r>
  <r>
    <d v="2024-01-03T00:00:00"/>
    <s v="D001"/>
    <s v="Green Valley Produce"/>
    <s v="P005"/>
    <x v="4"/>
    <n v="38"/>
    <n v="37.4"/>
    <x v="0"/>
    <x v="0"/>
  </r>
  <r>
    <d v="2024-01-03T00:00:00"/>
    <s v="D001"/>
    <s v="Green Valley Produce"/>
    <s v="P006"/>
    <x v="5"/>
    <n v="32"/>
    <n v="33.5"/>
    <x v="0"/>
    <x v="0"/>
  </r>
  <r>
    <d v="2024-01-03T00:00:00"/>
    <s v="D002"/>
    <s v="Fresh Coast Foods"/>
    <s v="P001"/>
    <x v="0"/>
    <n v="34"/>
    <n v="36"/>
    <x v="0"/>
    <x v="0"/>
  </r>
  <r>
    <d v="2024-01-03T00:00:00"/>
    <s v="D002"/>
    <s v="Fresh Coast Foods"/>
    <s v="P002"/>
    <x v="1"/>
    <n v="38"/>
    <n v="39.299999999999997"/>
    <x v="0"/>
    <x v="0"/>
  </r>
  <r>
    <d v="2024-01-03T00:00:00"/>
    <s v="D002"/>
    <s v="Fresh Coast Foods"/>
    <s v="P003"/>
    <x v="2"/>
    <n v="32"/>
    <n v="32.5"/>
    <x v="0"/>
    <x v="0"/>
  </r>
  <r>
    <d v="2024-01-03T00:00:00"/>
    <s v="D002"/>
    <s v="Fresh Coast Foods"/>
    <s v="P004"/>
    <x v="3"/>
    <n v="50"/>
    <n v="52.6"/>
    <x v="0"/>
    <x v="0"/>
  </r>
  <r>
    <d v="2024-01-03T00:00:00"/>
    <s v="D002"/>
    <s v="Fresh Coast Foods"/>
    <s v="P005"/>
    <x v="4"/>
    <n v="38"/>
    <n v="46"/>
    <x v="1"/>
    <x v="2"/>
  </r>
  <r>
    <d v="2024-01-03T00:00:00"/>
    <s v="D002"/>
    <s v="Fresh Coast Foods"/>
    <s v="P006"/>
    <x v="5"/>
    <n v="32"/>
    <n v="31.9"/>
    <x v="0"/>
    <x v="0"/>
  </r>
  <r>
    <d v="2024-01-03T00:00:00"/>
    <s v="D003"/>
    <s v="Heartland Meats"/>
    <s v="P001"/>
    <x v="0"/>
    <n v="34"/>
    <n v="36.299999999999997"/>
    <x v="0"/>
    <x v="0"/>
  </r>
  <r>
    <d v="2024-01-03T00:00:00"/>
    <s v="D003"/>
    <s v="Heartland Meats"/>
    <s v="P002"/>
    <x v="1"/>
    <n v="38"/>
    <n v="40.200000000000003"/>
    <x v="0"/>
    <x v="0"/>
  </r>
  <r>
    <d v="2024-01-03T00:00:00"/>
    <s v="D003"/>
    <s v="Heartland Meats"/>
    <s v="P003"/>
    <x v="2"/>
    <n v="32"/>
    <n v="31"/>
    <x v="0"/>
    <x v="0"/>
  </r>
  <r>
    <d v="2024-01-03T00:00:00"/>
    <s v="D003"/>
    <s v="Heartland Meats"/>
    <s v="P004"/>
    <x v="3"/>
    <n v="50"/>
    <n v="50.8"/>
    <x v="0"/>
    <x v="0"/>
  </r>
  <r>
    <d v="2024-01-03T00:00:00"/>
    <s v="D003"/>
    <s v="Heartland Meats"/>
    <s v="P005"/>
    <x v="4"/>
    <n v="38"/>
    <n v="39.1"/>
    <x v="0"/>
    <x v="0"/>
  </r>
  <r>
    <d v="2024-01-03T00:00:00"/>
    <s v="D003"/>
    <s v="Heartland Meats"/>
    <s v="P006"/>
    <x v="5"/>
    <n v="32"/>
    <n v="31.6"/>
    <x v="0"/>
    <x v="0"/>
  </r>
  <r>
    <d v="2024-01-03T00:00:00"/>
    <s v="D004"/>
    <s v="Southwest Organics"/>
    <s v="P001"/>
    <x v="0"/>
    <n v="34"/>
    <n v="44.8"/>
    <x v="1"/>
    <x v="1"/>
  </r>
  <r>
    <d v="2024-01-03T00:00:00"/>
    <s v="D004"/>
    <s v="Southwest Organics"/>
    <s v="P002"/>
    <x v="1"/>
    <n v="38"/>
    <n v="39.6"/>
    <x v="0"/>
    <x v="0"/>
  </r>
  <r>
    <d v="2024-01-03T00:00:00"/>
    <s v="D004"/>
    <s v="Southwest Organics"/>
    <s v="P003"/>
    <x v="2"/>
    <n v="32"/>
    <n v="32.299999999999997"/>
    <x v="0"/>
    <x v="0"/>
  </r>
  <r>
    <d v="2024-01-03T00:00:00"/>
    <s v="D004"/>
    <s v="Southwest Organics"/>
    <s v="P004"/>
    <x v="3"/>
    <n v="50"/>
    <n v="61.4"/>
    <x v="1"/>
    <x v="1"/>
  </r>
  <r>
    <d v="2024-01-03T00:00:00"/>
    <s v="D004"/>
    <s v="Southwest Organics"/>
    <s v="P005"/>
    <x v="4"/>
    <n v="38"/>
    <n v="39.4"/>
    <x v="0"/>
    <x v="0"/>
  </r>
  <r>
    <d v="2024-01-03T00:00:00"/>
    <s v="D004"/>
    <s v="Southwest Organics"/>
    <s v="P006"/>
    <x v="5"/>
    <n v="32"/>
    <n v="32.6"/>
    <x v="0"/>
    <x v="0"/>
  </r>
  <r>
    <d v="2024-01-03T00:00:00"/>
    <s v="D005"/>
    <s v="Great Lakes Dairy"/>
    <s v="P001"/>
    <x v="0"/>
    <n v="34"/>
    <n v="33.5"/>
    <x v="0"/>
    <x v="0"/>
  </r>
  <r>
    <d v="2024-01-03T00:00:00"/>
    <s v="D005"/>
    <s v="Great Lakes Dairy"/>
    <s v="P002"/>
    <x v="1"/>
    <n v="38"/>
    <n v="37.5"/>
    <x v="0"/>
    <x v="0"/>
  </r>
  <r>
    <d v="2024-01-03T00:00:00"/>
    <s v="D005"/>
    <s v="Great Lakes Dairy"/>
    <s v="P003"/>
    <x v="2"/>
    <n v="32"/>
    <n v="34.6"/>
    <x v="0"/>
    <x v="0"/>
  </r>
  <r>
    <d v="2024-01-03T00:00:00"/>
    <s v="D005"/>
    <s v="Great Lakes Dairy"/>
    <s v="P004"/>
    <x v="3"/>
    <n v="50"/>
    <n v="57.3"/>
    <x v="1"/>
    <x v="2"/>
  </r>
  <r>
    <d v="2024-01-03T00:00:00"/>
    <s v="D005"/>
    <s v="Great Lakes Dairy"/>
    <s v="P005"/>
    <x v="4"/>
    <n v="38"/>
    <n v="39.1"/>
    <x v="0"/>
    <x v="0"/>
  </r>
  <r>
    <d v="2024-01-03T00:00:00"/>
    <s v="D005"/>
    <s v="Great Lakes Dairy"/>
    <s v="P006"/>
    <x v="5"/>
    <n v="32"/>
    <n v="34.9"/>
    <x v="0"/>
    <x v="0"/>
  </r>
  <r>
    <d v="2024-01-04T00:00:00"/>
    <s v="D001"/>
    <s v="Green Valley Produce"/>
    <s v="P001"/>
    <x v="0"/>
    <n v="34"/>
    <n v="36.5"/>
    <x v="0"/>
    <x v="0"/>
  </r>
  <r>
    <d v="2024-01-04T00:00:00"/>
    <s v="D001"/>
    <s v="Green Valley Produce"/>
    <s v="P002"/>
    <x v="1"/>
    <n v="38"/>
    <n v="40.299999999999997"/>
    <x v="0"/>
    <x v="0"/>
  </r>
  <r>
    <d v="2024-01-04T00:00:00"/>
    <s v="D001"/>
    <s v="Green Valley Produce"/>
    <s v="P003"/>
    <x v="2"/>
    <n v="32"/>
    <n v="31.9"/>
    <x v="0"/>
    <x v="0"/>
  </r>
  <r>
    <d v="2024-01-04T00:00:00"/>
    <s v="D001"/>
    <s v="Green Valley Produce"/>
    <s v="P004"/>
    <x v="3"/>
    <n v="50"/>
    <n v="50.9"/>
    <x v="0"/>
    <x v="0"/>
  </r>
  <r>
    <d v="2024-01-04T00:00:00"/>
    <s v="D001"/>
    <s v="Green Valley Produce"/>
    <s v="P005"/>
    <x v="4"/>
    <n v="38"/>
    <n v="37.9"/>
    <x v="0"/>
    <x v="0"/>
  </r>
  <r>
    <d v="2024-01-04T00:00:00"/>
    <s v="D001"/>
    <s v="Green Valley Produce"/>
    <s v="P006"/>
    <x v="5"/>
    <n v="32"/>
    <n v="31.6"/>
    <x v="0"/>
    <x v="0"/>
  </r>
  <r>
    <d v="2024-01-04T00:00:00"/>
    <s v="D002"/>
    <s v="Fresh Coast Foods"/>
    <s v="P001"/>
    <x v="0"/>
    <n v="34"/>
    <n v="36.1"/>
    <x v="0"/>
    <x v="0"/>
  </r>
  <r>
    <d v="2024-01-04T00:00:00"/>
    <s v="D002"/>
    <s v="Fresh Coast Foods"/>
    <s v="P002"/>
    <x v="1"/>
    <n v="38"/>
    <n v="39"/>
    <x v="0"/>
    <x v="0"/>
  </r>
  <r>
    <d v="2024-01-04T00:00:00"/>
    <s v="D002"/>
    <s v="Fresh Coast Foods"/>
    <s v="P003"/>
    <x v="2"/>
    <n v="32"/>
    <n v="43.5"/>
    <x v="1"/>
    <x v="1"/>
  </r>
  <r>
    <d v="2024-01-04T00:00:00"/>
    <s v="D002"/>
    <s v="Fresh Coast Foods"/>
    <s v="P004"/>
    <x v="3"/>
    <n v="50"/>
    <n v="51.4"/>
    <x v="0"/>
    <x v="0"/>
  </r>
  <r>
    <d v="2024-01-04T00:00:00"/>
    <s v="D002"/>
    <s v="Fresh Coast Foods"/>
    <s v="P005"/>
    <x v="4"/>
    <n v="38"/>
    <n v="47"/>
    <x v="1"/>
    <x v="2"/>
  </r>
  <r>
    <d v="2024-01-04T00:00:00"/>
    <s v="D002"/>
    <s v="Fresh Coast Foods"/>
    <s v="P006"/>
    <x v="5"/>
    <n v="32"/>
    <n v="38.1"/>
    <x v="1"/>
    <x v="2"/>
  </r>
  <r>
    <d v="2024-01-04T00:00:00"/>
    <s v="D003"/>
    <s v="Heartland Meats"/>
    <s v="P001"/>
    <x v="0"/>
    <n v="34"/>
    <n v="36.6"/>
    <x v="0"/>
    <x v="0"/>
  </r>
  <r>
    <d v="2024-01-04T00:00:00"/>
    <s v="D003"/>
    <s v="Heartland Meats"/>
    <s v="P002"/>
    <x v="1"/>
    <n v="38"/>
    <n v="40.299999999999997"/>
    <x v="0"/>
    <x v="0"/>
  </r>
  <r>
    <d v="2024-01-04T00:00:00"/>
    <s v="D003"/>
    <s v="Heartland Meats"/>
    <s v="P003"/>
    <x v="2"/>
    <n v="32"/>
    <n v="31.7"/>
    <x v="0"/>
    <x v="0"/>
  </r>
  <r>
    <d v="2024-01-04T00:00:00"/>
    <s v="D003"/>
    <s v="Heartland Meats"/>
    <s v="P004"/>
    <x v="3"/>
    <n v="50"/>
    <n v="51.4"/>
    <x v="0"/>
    <x v="0"/>
  </r>
  <r>
    <d v="2024-01-04T00:00:00"/>
    <s v="D003"/>
    <s v="Heartland Meats"/>
    <s v="P005"/>
    <x v="4"/>
    <n v="38"/>
    <n v="39.1"/>
    <x v="0"/>
    <x v="0"/>
  </r>
  <r>
    <d v="2024-01-04T00:00:00"/>
    <s v="D003"/>
    <s v="Heartland Meats"/>
    <s v="P006"/>
    <x v="5"/>
    <n v="32"/>
    <n v="31.4"/>
    <x v="0"/>
    <x v="0"/>
  </r>
  <r>
    <d v="2024-01-04T00:00:00"/>
    <s v="D004"/>
    <s v="Southwest Organics"/>
    <s v="P001"/>
    <x v="0"/>
    <n v="34"/>
    <n v="36.6"/>
    <x v="0"/>
    <x v="0"/>
  </r>
  <r>
    <d v="2024-01-04T00:00:00"/>
    <s v="D004"/>
    <s v="Southwest Organics"/>
    <s v="P002"/>
    <x v="1"/>
    <n v="38"/>
    <n v="37"/>
    <x v="0"/>
    <x v="0"/>
  </r>
  <r>
    <d v="2024-01-04T00:00:00"/>
    <s v="D004"/>
    <s v="Southwest Organics"/>
    <s v="P003"/>
    <x v="2"/>
    <n v="32"/>
    <n v="33.700000000000003"/>
    <x v="0"/>
    <x v="0"/>
  </r>
  <r>
    <d v="2024-01-04T00:00:00"/>
    <s v="D004"/>
    <s v="Southwest Organics"/>
    <s v="P004"/>
    <x v="3"/>
    <n v="50"/>
    <n v="50.7"/>
    <x v="0"/>
    <x v="0"/>
  </r>
  <r>
    <d v="2024-01-04T00:00:00"/>
    <s v="D004"/>
    <s v="Southwest Organics"/>
    <s v="P005"/>
    <x v="4"/>
    <n v="38"/>
    <n v="39.799999999999997"/>
    <x v="0"/>
    <x v="0"/>
  </r>
  <r>
    <d v="2024-01-04T00:00:00"/>
    <s v="D004"/>
    <s v="Southwest Organics"/>
    <s v="P006"/>
    <x v="5"/>
    <n v="32"/>
    <n v="34.799999999999997"/>
    <x v="0"/>
    <x v="0"/>
  </r>
  <r>
    <d v="2024-01-04T00:00:00"/>
    <s v="D005"/>
    <s v="Great Lakes Dairy"/>
    <s v="P001"/>
    <x v="0"/>
    <n v="34"/>
    <n v="36.1"/>
    <x v="0"/>
    <x v="0"/>
  </r>
  <r>
    <d v="2024-01-04T00:00:00"/>
    <s v="D005"/>
    <s v="Great Lakes Dairy"/>
    <s v="P002"/>
    <x v="1"/>
    <n v="38"/>
    <n v="40.200000000000003"/>
    <x v="0"/>
    <x v="0"/>
  </r>
  <r>
    <d v="2024-01-04T00:00:00"/>
    <s v="D005"/>
    <s v="Great Lakes Dairy"/>
    <s v="P003"/>
    <x v="2"/>
    <n v="32"/>
    <n v="34.299999999999997"/>
    <x v="0"/>
    <x v="0"/>
  </r>
  <r>
    <d v="2024-01-04T00:00:00"/>
    <s v="D005"/>
    <s v="Great Lakes Dairy"/>
    <s v="P004"/>
    <x v="3"/>
    <n v="50"/>
    <n v="50.7"/>
    <x v="0"/>
    <x v="0"/>
  </r>
  <r>
    <d v="2024-01-04T00:00:00"/>
    <s v="D005"/>
    <s v="Great Lakes Dairy"/>
    <s v="P005"/>
    <x v="4"/>
    <n v="38"/>
    <n v="40.1"/>
    <x v="0"/>
    <x v="0"/>
  </r>
  <r>
    <d v="2024-01-04T00:00:00"/>
    <s v="D005"/>
    <s v="Great Lakes Dairy"/>
    <s v="P006"/>
    <x v="5"/>
    <n v="32"/>
    <n v="31.3"/>
    <x v="0"/>
    <x v="0"/>
  </r>
  <r>
    <d v="2024-01-05T00:00:00"/>
    <s v="D001"/>
    <s v="Green Valley Produce"/>
    <s v="P001"/>
    <x v="0"/>
    <n v="34"/>
    <n v="35.200000000000003"/>
    <x v="0"/>
    <x v="0"/>
  </r>
  <r>
    <d v="2024-01-05T00:00:00"/>
    <s v="D001"/>
    <s v="Green Valley Produce"/>
    <s v="P002"/>
    <x v="1"/>
    <n v="38"/>
    <n v="37"/>
    <x v="0"/>
    <x v="0"/>
  </r>
  <r>
    <d v="2024-01-05T00:00:00"/>
    <s v="D001"/>
    <s v="Green Valley Produce"/>
    <s v="P003"/>
    <x v="2"/>
    <n v="32"/>
    <n v="31"/>
    <x v="0"/>
    <x v="0"/>
  </r>
  <r>
    <d v="2024-01-05T00:00:00"/>
    <s v="D001"/>
    <s v="Green Valley Produce"/>
    <s v="P004"/>
    <x v="3"/>
    <n v="50"/>
    <n v="51.1"/>
    <x v="0"/>
    <x v="0"/>
  </r>
  <r>
    <d v="2024-01-05T00:00:00"/>
    <s v="D001"/>
    <s v="Green Valley Produce"/>
    <s v="P005"/>
    <x v="4"/>
    <n v="38"/>
    <n v="37.799999999999997"/>
    <x v="0"/>
    <x v="0"/>
  </r>
  <r>
    <d v="2024-01-05T00:00:00"/>
    <s v="D001"/>
    <s v="Green Valley Produce"/>
    <s v="P006"/>
    <x v="5"/>
    <n v="32"/>
    <n v="32.6"/>
    <x v="0"/>
    <x v="0"/>
  </r>
  <r>
    <d v="2024-01-05T00:00:00"/>
    <s v="D002"/>
    <s v="Fresh Coast Foods"/>
    <s v="P001"/>
    <x v="0"/>
    <n v="34"/>
    <n v="43.4"/>
    <x v="1"/>
    <x v="2"/>
  </r>
  <r>
    <d v="2024-01-05T00:00:00"/>
    <s v="D002"/>
    <s v="Fresh Coast Foods"/>
    <s v="P002"/>
    <x v="1"/>
    <n v="38"/>
    <n v="38"/>
    <x v="0"/>
    <x v="0"/>
  </r>
  <r>
    <d v="2024-01-05T00:00:00"/>
    <s v="D002"/>
    <s v="Fresh Coast Foods"/>
    <s v="P003"/>
    <x v="2"/>
    <n v="32"/>
    <n v="33.299999999999997"/>
    <x v="0"/>
    <x v="0"/>
  </r>
  <r>
    <d v="2024-01-05T00:00:00"/>
    <s v="D002"/>
    <s v="Fresh Coast Foods"/>
    <s v="P004"/>
    <x v="3"/>
    <n v="50"/>
    <n v="53"/>
    <x v="0"/>
    <x v="0"/>
  </r>
  <r>
    <d v="2024-01-05T00:00:00"/>
    <s v="D002"/>
    <s v="Fresh Coast Foods"/>
    <s v="P005"/>
    <x v="4"/>
    <n v="38"/>
    <n v="37.799999999999997"/>
    <x v="0"/>
    <x v="0"/>
  </r>
  <r>
    <d v="2024-01-05T00:00:00"/>
    <s v="D002"/>
    <s v="Fresh Coast Foods"/>
    <s v="P006"/>
    <x v="5"/>
    <n v="32"/>
    <n v="33.200000000000003"/>
    <x v="0"/>
    <x v="0"/>
  </r>
  <r>
    <d v="2024-01-05T00:00:00"/>
    <s v="D003"/>
    <s v="Heartland Meats"/>
    <s v="P001"/>
    <x v="0"/>
    <n v="34"/>
    <n v="44.5"/>
    <x v="1"/>
    <x v="1"/>
  </r>
  <r>
    <d v="2024-01-05T00:00:00"/>
    <s v="D003"/>
    <s v="Heartland Meats"/>
    <s v="P002"/>
    <x v="1"/>
    <n v="38"/>
    <n v="41"/>
    <x v="0"/>
    <x v="0"/>
  </r>
  <r>
    <d v="2024-01-05T00:00:00"/>
    <s v="D003"/>
    <s v="Heartland Meats"/>
    <s v="P003"/>
    <x v="2"/>
    <n v="32"/>
    <n v="34.1"/>
    <x v="0"/>
    <x v="0"/>
  </r>
  <r>
    <d v="2024-01-05T00:00:00"/>
    <s v="D003"/>
    <s v="Heartland Meats"/>
    <s v="P004"/>
    <x v="3"/>
    <n v="50"/>
    <n v="49.6"/>
    <x v="0"/>
    <x v="0"/>
  </r>
  <r>
    <d v="2024-01-05T00:00:00"/>
    <s v="D003"/>
    <s v="Heartland Meats"/>
    <s v="P005"/>
    <x v="4"/>
    <n v="38"/>
    <n v="37.5"/>
    <x v="0"/>
    <x v="0"/>
  </r>
  <r>
    <d v="2024-01-05T00:00:00"/>
    <s v="D003"/>
    <s v="Heartland Meats"/>
    <s v="P006"/>
    <x v="5"/>
    <n v="32"/>
    <n v="34.1"/>
    <x v="0"/>
    <x v="0"/>
  </r>
  <r>
    <d v="2024-01-05T00:00:00"/>
    <s v="D004"/>
    <s v="Southwest Organics"/>
    <s v="P001"/>
    <x v="0"/>
    <n v="34"/>
    <n v="33.4"/>
    <x v="0"/>
    <x v="0"/>
  </r>
  <r>
    <d v="2024-01-05T00:00:00"/>
    <s v="D004"/>
    <s v="Southwest Organics"/>
    <s v="P002"/>
    <x v="1"/>
    <n v="38"/>
    <n v="40.1"/>
    <x v="0"/>
    <x v="0"/>
  </r>
  <r>
    <d v="2024-01-05T00:00:00"/>
    <s v="D004"/>
    <s v="Southwest Organics"/>
    <s v="P003"/>
    <x v="2"/>
    <n v="32"/>
    <n v="33.5"/>
    <x v="0"/>
    <x v="0"/>
  </r>
  <r>
    <d v="2024-01-05T00:00:00"/>
    <s v="D004"/>
    <s v="Southwest Organics"/>
    <s v="P004"/>
    <x v="3"/>
    <n v="50"/>
    <n v="49.2"/>
    <x v="0"/>
    <x v="0"/>
  </r>
  <r>
    <d v="2024-01-05T00:00:00"/>
    <s v="D004"/>
    <s v="Southwest Organics"/>
    <s v="P005"/>
    <x v="4"/>
    <n v="38"/>
    <n v="39.5"/>
    <x v="0"/>
    <x v="0"/>
  </r>
  <r>
    <d v="2024-01-05T00:00:00"/>
    <s v="D004"/>
    <s v="Southwest Organics"/>
    <s v="P006"/>
    <x v="5"/>
    <n v="32"/>
    <n v="34.299999999999997"/>
    <x v="0"/>
    <x v="0"/>
  </r>
  <r>
    <d v="2024-01-05T00:00:00"/>
    <s v="D005"/>
    <s v="Great Lakes Dairy"/>
    <s v="P001"/>
    <x v="0"/>
    <n v="34"/>
    <n v="35.4"/>
    <x v="0"/>
    <x v="0"/>
  </r>
  <r>
    <d v="2024-01-05T00:00:00"/>
    <s v="D005"/>
    <s v="Great Lakes Dairy"/>
    <s v="P002"/>
    <x v="1"/>
    <n v="38"/>
    <n v="46.1"/>
    <x v="1"/>
    <x v="2"/>
  </r>
  <r>
    <d v="2024-01-05T00:00:00"/>
    <s v="D005"/>
    <s v="Great Lakes Dairy"/>
    <s v="P003"/>
    <x v="2"/>
    <n v="32"/>
    <n v="33.4"/>
    <x v="0"/>
    <x v="0"/>
  </r>
  <r>
    <d v="2024-01-05T00:00:00"/>
    <s v="D005"/>
    <s v="Great Lakes Dairy"/>
    <s v="P004"/>
    <x v="3"/>
    <n v="50"/>
    <n v="52.7"/>
    <x v="0"/>
    <x v="0"/>
  </r>
  <r>
    <d v="2024-01-05T00:00:00"/>
    <s v="D005"/>
    <s v="Great Lakes Dairy"/>
    <s v="P005"/>
    <x v="4"/>
    <n v="38"/>
    <n v="39.6"/>
    <x v="0"/>
    <x v="0"/>
  </r>
  <r>
    <d v="2024-01-05T00:00:00"/>
    <s v="D005"/>
    <s v="Great Lakes Dairy"/>
    <s v="P006"/>
    <x v="5"/>
    <n v="32"/>
    <n v="34.9"/>
    <x v="0"/>
    <x v="0"/>
  </r>
  <r>
    <d v="2024-01-06T00:00:00"/>
    <s v="D001"/>
    <s v="Green Valley Produce"/>
    <s v="P001"/>
    <x v="0"/>
    <n v="34"/>
    <n v="46.2"/>
    <x v="1"/>
    <x v="1"/>
  </r>
  <r>
    <d v="2024-01-06T00:00:00"/>
    <s v="D001"/>
    <s v="Green Valley Produce"/>
    <s v="P002"/>
    <x v="1"/>
    <n v="38"/>
    <n v="48"/>
    <x v="1"/>
    <x v="2"/>
  </r>
  <r>
    <d v="2024-01-06T00:00:00"/>
    <s v="D001"/>
    <s v="Green Valley Produce"/>
    <s v="P003"/>
    <x v="2"/>
    <n v="32"/>
    <n v="44.8"/>
    <x v="1"/>
    <x v="1"/>
  </r>
  <r>
    <d v="2024-01-06T00:00:00"/>
    <s v="D001"/>
    <s v="Green Valley Produce"/>
    <s v="P004"/>
    <x v="3"/>
    <n v="50"/>
    <n v="51.1"/>
    <x v="0"/>
    <x v="0"/>
  </r>
  <r>
    <d v="2024-01-06T00:00:00"/>
    <s v="D001"/>
    <s v="Green Valley Produce"/>
    <s v="P005"/>
    <x v="4"/>
    <n v="38"/>
    <n v="40.1"/>
    <x v="0"/>
    <x v="0"/>
  </r>
  <r>
    <d v="2024-01-06T00:00:00"/>
    <s v="D001"/>
    <s v="Green Valley Produce"/>
    <s v="P006"/>
    <x v="5"/>
    <n v="32"/>
    <n v="33.799999999999997"/>
    <x v="0"/>
    <x v="0"/>
  </r>
  <r>
    <d v="2024-01-06T00:00:00"/>
    <s v="D002"/>
    <s v="Fresh Coast Foods"/>
    <s v="P001"/>
    <x v="0"/>
    <n v="34"/>
    <n v="35.700000000000003"/>
    <x v="0"/>
    <x v="0"/>
  </r>
  <r>
    <d v="2024-01-06T00:00:00"/>
    <s v="D002"/>
    <s v="Fresh Coast Foods"/>
    <s v="P002"/>
    <x v="1"/>
    <n v="38"/>
    <n v="39.6"/>
    <x v="0"/>
    <x v="0"/>
  </r>
  <r>
    <d v="2024-01-06T00:00:00"/>
    <s v="D002"/>
    <s v="Fresh Coast Foods"/>
    <s v="P003"/>
    <x v="2"/>
    <n v="32"/>
    <n v="31.3"/>
    <x v="0"/>
    <x v="0"/>
  </r>
  <r>
    <d v="2024-01-06T00:00:00"/>
    <s v="D002"/>
    <s v="Fresh Coast Foods"/>
    <s v="P004"/>
    <x v="3"/>
    <n v="50"/>
    <n v="50.6"/>
    <x v="0"/>
    <x v="0"/>
  </r>
  <r>
    <d v="2024-01-06T00:00:00"/>
    <s v="D002"/>
    <s v="Fresh Coast Foods"/>
    <s v="P005"/>
    <x v="4"/>
    <n v="38"/>
    <n v="38.6"/>
    <x v="0"/>
    <x v="0"/>
  </r>
  <r>
    <d v="2024-01-06T00:00:00"/>
    <s v="D002"/>
    <s v="Fresh Coast Foods"/>
    <s v="P006"/>
    <x v="5"/>
    <n v="32"/>
    <n v="31.1"/>
    <x v="0"/>
    <x v="0"/>
  </r>
  <r>
    <d v="2024-01-06T00:00:00"/>
    <s v="D003"/>
    <s v="Heartland Meats"/>
    <s v="P001"/>
    <x v="0"/>
    <n v="34"/>
    <n v="36.700000000000003"/>
    <x v="0"/>
    <x v="0"/>
  </r>
  <r>
    <d v="2024-01-06T00:00:00"/>
    <s v="D003"/>
    <s v="Heartland Meats"/>
    <s v="P002"/>
    <x v="1"/>
    <n v="38"/>
    <n v="39.9"/>
    <x v="0"/>
    <x v="0"/>
  </r>
  <r>
    <d v="2024-01-06T00:00:00"/>
    <s v="D003"/>
    <s v="Heartland Meats"/>
    <s v="P003"/>
    <x v="2"/>
    <n v="32"/>
    <n v="33.299999999999997"/>
    <x v="0"/>
    <x v="0"/>
  </r>
  <r>
    <d v="2024-01-06T00:00:00"/>
    <s v="D003"/>
    <s v="Heartland Meats"/>
    <s v="P004"/>
    <x v="3"/>
    <n v="50"/>
    <n v="52.3"/>
    <x v="0"/>
    <x v="0"/>
  </r>
  <r>
    <d v="2024-01-06T00:00:00"/>
    <s v="D003"/>
    <s v="Heartland Meats"/>
    <s v="P005"/>
    <x v="4"/>
    <n v="38"/>
    <n v="40.9"/>
    <x v="0"/>
    <x v="0"/>
  </r>
  <r>
    <d v="2024-01-06T00:00:00"/>
    <s v="D003"/>
    <s v="Heartland Meats"/>
    <s v="P006"/>
    <x v="5"/>
    <n v="32"/>
    <n v="32.6"/>
    <x v="0"/>
    <x v="0"/>
  </r>
  <r>
    <d v="2024-01-06T00:00:00"/>
    <s v="D004"/>
    <s v="Southwest Organics"/>
    <s v="P001"/>
    <x v="0"/>
    <n v="34"/>
    <n v="41.4"/>
    <x v="1"/>
    <x v="2"/>
  </r>
  <r>
    <d v="2024-01-06T00:00:00"/>
    <s v="D004"/>
    <s v="Southwest Organics"/>
    <s v="P002"/>
    <x v="1"/>
    <n v="38"/>
    <n v="39.200000000000003"/>
    <x v="0"/>
    <x v="0"/>
  </r>
  <r>
    <d v="2024-01-06T00:00:00"/>
    <s v="D004"/>
    <s v="Southwest Organics"/>
    <s v="P003"/>
    <x v="2"/>
    <n v="32"/>
    <n v="32.4"/>
    <x v="0"/>
    <x v="0"/>
  </r>
  <r>
    <d v="2024-01-06T00:00:00"/>
    <s v="D004"/>
    <s v="Southwest Organics"/>
    <s v="P004"/>
    <x v="3"/>
    <n v="50"/>
    <n v="60.1"/>
    <x v="1"/>
    <x v="1"/>
  </r>
  <r>
    <d v="2024-01-06T00:00:00"/>
    <s v="D004"/>
    <s v="Southwest Organics"/>
    <s v="P005"/>
    <x v="4"/>
    <n v="38"/>
    <n v="39.200000000000003"/>
    <x v="0"/>
    <x v="0"/>
  </r>
  <r>
    <d v="2024-01-06T00:00:00"/>
    <s v="D004"/>
    <s v="Southwest Organics"/>
    <s v="P006"/>
    <x v="5"/>
    <n v="32"/>
    <n v="32"/>
    <x v="0"/>
    <x v="0"/>
  </r>
  <r>
    <d v="2024-01-06T00:00:00"/>
    <s v="D005"/>
    <s v="Great Lakes Dairy"/>
    <s v="P001"/>
    <x v="0"/>
    <n v="34"/>
    <n v="34.5"/>
    <x v="0"/>
    <x v="0"/>
  </r>
  <r>
    <d v="2024-01-06T00:00:00"/>
    <s v="D005"/>
    <s v="Great Lakes Dairy"/>
    <s v="P002"/>
    <x v="1"/>
    <n v="38"/>
    <n v="38"/>
    <x v="0"/>
    <x v="0"/>
  </r>
  <r>
    <d v="2024-01-06T00:00:00"/>
    <s v="D005"/>
    <s v="Great Lakes Dairy"/>
    <s v="P003"/>
    <x v="2"/>
    <n v="32"/>
    <n v="34.1"/>
    <x v="0"/>
    <x v="0"/>
  </r>
  <r>
    <d v="2024-01-06T00:00:00"/>
    <s v="D005"/>
    <s v="Great Lakes Dairy"/>
    <s v="P004"/>
    <x v="3"/>
    <n v="50"/>
    <n v="52.6"/>
    <x v="0"/>
    <x v="0"/>
  </r>
  <r>
    <d v="2024-01-06T00:00:00"/>
    <s v="D005"/>
    <s v="Great Lakes Dairy"/>
    <s v="P005"/>
    <x v="4"/>
    <n v="38"/>
    <n v="38.9"/>
    <x v="0"/>
    <x v="0"/>
  </r>
  <r>
    <d v="2024-01-06T00:00:00"/>
    <s v="D005"/>
    <s v="Great Lakes Dairy"/>
    <s v="P006"/>
    <x v="5"/>
    <n v="32"/>
    <n v="32.5"/>
    <x v="0"/>
    <x v="0"/>
  </r>
  <r>
    <d v="2024-01-07T00:00:00"/>
    <s v="D001"/>
    <s v="Green Valley Produce"/>
    <s v="P001"/>
    <x v="0"/>
    <n v="34"/>
    <n v="33.9"/>
    <x v="0"/>
    <x v="0"/>
  </r>
  <r>
    <d v="2024-01-07T00:00:00"/>
    <s v="D001"/>
    <s v="Green Valley Produce"/>
    <s v="P002"/>
    <x v="1"/>
    <n v="38"/>
    <n v="40.200000000000003"/>
    <x v="0"/>
    <x v="0"/>
  </r>
  <r>
    <d v="2024-01-07T00:00:00"/>
    <s v="D001"/>
    <s v="Green Valley Produce"/>
    <s v="P003"/>
    <x v="2"/>
    <n v="32"/>
    <n v="32.4"/>
    <x v="0"/>
    <x v="0"/>
  </r>
  <r>
    <d v="2024-01-07T00:00:00"/>
    <s v="D001"/>
    <s v="Green Valley Produce"/>
    <s v="P004"/>
    <x v="3"/>
    <n v="50"/>
    <n v="51.8"/>
    <x v="0"/>
    <x v="0"/>
  </r>
  <r>
    <d v="2024-01-07T00:00:00"/>
    <s v="D001"/>
    <s v="Green Valley Produce"/>
    <s v="P005"/>
    <x v="4"/>
    <n v="38"/>
    <n v="38.1"/>
    <x v="0"/>
    <x v="0"/>
  </r>
  <r>
    <d v="2024-01-07T00:00:00"/>
    <s v="D001"/>
    <s v="Green Valley Produce"/>
    <s v="P006"/>
    <x v="5"/>
    <n v="32"/>
    <n v="34"/>
    <x v="0"/>
    <x v="0"/>
  </r>
  <r>
    <d v="2024-01-07T00:00:00"/>
    <s v="D002"/>
    <s v="Fresh Coast Foods"/>
    <s v="P001"/>
    <x v="0"/>
    <n v="34"/>
    <n v="35.200000000000003"/>
    <x v="0"/>
    <x v="0"/>
  </r>
  <r>
    <d v="2024-01-07T00:00:00"/>
    <s v="D002"/>
    <s v="Fresh Coast Foods"/>
    <s v="P002"/>
    <x v="1"/>
    <n v="38"/>
    <n v="46.5"/>
    <x v="1"/>
    <x v="2"/>
  </r>
  <r>
    <d v="2024-01-07T00:00:00"/>
    <s v="D002"/>
    <s v="Fresh Coast Foods"/>
    <s v="P003"/>
    <x v="2"/>
    <n v="32"/>
    <n v="33.299999999999997"/>
    <x v="0"/>
    <x v="0"/>
  </r>
  <r>
    <d v="2024-01-07T00:00:00"/>
    <s v="D002"/>
    <s v="Fresh Coast Foods"/>
    <s v="P004"/>
    <x v="3"/>
    <n v="50"/>
    <n v="52"/>
    <x v="0"/>
    <x v="0"/>
  </r>
  <r>
    <d v="2024-01-07T00:00:00"/>
    <s v="D002"/>
    <s v="Fresh Coast Foods"/>
    <s v="P005"/>
    <x v="4"/>
    <n v="38"/>
    <n v="37.799999999999997"/>
    <x v="0"/>
    <x v="0"/>
  </r>
  <r>
    <d v="2024-01-07T00:00:00"/>
    <s v="D002"/>
    <s v="Fresh Coast Foods"/>
    <s v="P006"/>
    <x v="5"/>
    <n v="32"/>
    <n v="31.9"/>
    <x v="0"/>
    <x v="0"/>
  </r>
  <r>
    <d v="2024-01-07T00:00:00"/>
    <s v="D003"/>
    <s v="Heartland Meats"/>
    <s v="P001"/>
    <x v="0"/>
    <n v="34"/>
    <n v="34.1"/>
    <x v="0"/>
    <x v="0"/>
  </r>
  <r>
    <d v="2024-01-07T00:00:00"/>
    <s v="D003"/>
    <s v="Heartland Meats"/>
    <s v="P002"/>
    <x v="1"/>
    <n v="38"/>
    <n v="40.299999999999997"/>
    <x v="0"/>
    <x v="0"/>
  </r>
  <r>
    <d v="2024-01-07T00:00:00"/>
    <s v="D003"/>
    <s v="Heartland Meats"/>
    <s v="P003"/>
    <x v="2"/>
    <n v="32"/>
    <n v="32.4"/>
    <x v="0"/>
    <x v="0"/>
  </r>
  <r>
    <d v="2024-01-07T00:00:00"/>
    <s v="D003"/>
    <s v="Heartland Meats"/>
    <s v="P004"/>
    <x v="3"/>
    <n v="50"/>
    <n v="49.5"/>
    <x v="0"/>
    <x v="0"/>
  </r>
  <r>
    <d v="2024-01-07T00:00:00"/>
    <s v="D003"/>
    <s v="Heartland Meats"/>
    <s v="P005"/>
    <x v="4"/>
    <n v="38"/>
    <n v="51.6"/>
    <x v="1"/>
    <x v="1"/>
  </r>
  <r>
    <d v="2024-01-07T00:00:00"/>
    <s v="D003"/>
    <s v="Heartland Meats"/>
    <s v="P006"/>
    <x v="5"/>
    <n v="32"/>
    <n v="31"/>
    <x v="0"/>
    <x v="0"/>
  </r>
  <r>
    <d v="2024-01-07T00:00:00"/>
    <s v="D004"/>
    <s v="Southwest Organics"/>
    <s v="P001"/>
    <x v="0"/>
    <n v="34"/>
    <n v="36.799999999999997"/>
    <x v="0"/>
    <x v="0"/>
  </r>
  <r>
    <d v="2024-01-07T00:00:00"/>
    <s v="D004"/>
    <s v="Southwest Organics"/>
    <s v="P002"/>
    <x v="1"/>
    <n v="38"/>
    <n v="38.5"/>
    <x v="0"/>
    <x v="0"/>
  </r>
  <r>
    <d v="2024-01-07T00:00:00"/>
    <s v="D004"/>
    <s v="Southwest Organics"/>
    <s v="P003"/>
    <x v="2"/>
    <n v="32"/>
    <n v="34.6"/>
    <x v="0"/>
    <x v="0"/>
  </r>
  <r>
    <d v="2024-01-07T00:00:00"/>
    <s v="D004"/>
    <s v="Southwest Organics"/>
    <s v="P004"/>
    <x v="3"/>
    <n v="50"/>
    <n v="51.3"/>
    <x v="0"/>
    <x v="0"/>
  </r>
  <r>
    <d v="2024-01-07T00:00:00"/>
    <s v="D004"/>
    <s v="Southwest Organics"/>
    <s v="P005"/>
    <x v="4"/>
    <n v="38"/>
    <n v="37.700000000000003"/>
    <x v="0"/>
    <x v="0"/>
  </r>
  <r>
    <d v="2024-01-07T00:00:00"/>
    <s v="D004"/>
    <s v="Southwest Organics"/>
    <s v="P006"/>
    <x v="5"/>
    <n v="32"/>
    <n v="33"/>
    <x v="0"/>
    <x v="0"/>
  </r>
  <r>
    <d v="2024-01-07T00:00:00"/>
    <s v="D005"/>
    <s v="Great Lakes Dairy"/>
    <s v="P001"/>
    <x v="0"/>
    <n v="34"/>
    <n v="36"/>
    <x v="0"/>
    <x v="0"/>
  </r>
  <r>
    <d v="2024-01-07T00:00:00"/>
    <s v="D005"/>
    <s v="Great Lakes Dairy"/>
    <s v="P002"/>
    <x v="1"/>
    <n v="38"/>
    <n v="48.2"/>
    <x v="1"/>
    <x v="1"/>
  </r>
  <r>
    <d v="2024-01-07T00:00:00"/>
    <s v="D005"/>
    <s v="Great Lakes Dairy"/>
    <s v="P003"/>
    <x v="2"/>
    <n v="32"/>
    <n v="34.799999999999997"/>
    <x v="0"/>
    <x v="0"/>
  </r>
  <r>
    <d v="2024-01-07T00:00:00"/>
    <s v="D005"/>
    <s v="Great Lakes Dairy"/>
    <s v="P004"/>
    <x v="3"/>
    <n v="50"/>
    <n v="58.8"/>
    <x v="1"/>
    <x v="2"/>
  </r>
  <r>
    <d v="2024-01-07T00:00:00"/>
    <s v="D005"/>
    <s v="Great Lakes Dairy"/>
    <s v="P005"/>
    <x v="4"/>
    <n v="38"/>
    <n v="40.1"/>
    <x v="0"/>
    <x v="0"/>
  </r>
  <r>
    <d v="2024-01-07T00:00:00"/>
    <s v="D005"/>
    <s v="Great Lakes Dairy"/>
    <s v="P006"/>
    <x v="5"/>
    <n v="32"/>
    <n v="31.5"/>
    <x v="0"/>
    <x v="0"/>
  </r>
  <r>
    <d v="2024-01-08T00:00:00"/>
    <s v="D001"/>
    <s v="Green Valley Produce"/>
    <s v="P001"/>
    <x v="0"/>
    <n v="34"/>
    <n v="34.299999999999997"/>
    <x v="0"/>
    <x v="0"/>
  </r>
  <r>
    <d v="2024-01-08T00:00:00"/>
    <s v="D001"/>
    <s v="Green Valley Produce"/>
    <s v="P002"/>
    <x v="1"/>
    <n v="38"/>
    <n v="49.4"/>
    <x v="1"/>
    <x v="1"/>
  </r>
  <r>
    <d v="2024-01-08T00:00:00"/>
    <s v="D001"/>
    <s v="Green Valley Produce"/>
    <s v="P003"/>
    <x v="2"/>
    <n v="32"/>
    <n v="31.4"/>
    <x v="0"/>
    <x v="0"/>
  </r>
  <r>
    <d v="2024-01-08T00:00:00"/>
    <s v="D001"/>
    <s v="Green Valley Produce"/>
    <s v="P004"/>
    <x v="3"/>
    <n v="50"/>
    <n v="52.4"/>
    <x v="0"/>
    <x v="0"/>
  </r>
  <r>
    <d v="2024-01-08T00:00:00"/>
    <s v="D001"/>
    <s v="Green Valley Produce"/>
    <s v="P005"/>
    <x v="4"/>
    <n v="38"/>
    <n v="38.1"/>
    <x v="0"/>
    <x v="0"/>
  </r>
  <r>
    <d v="2024-01-08T00:00:00"/>
    <s v="D001"/>
    <s v="Green Valley Produce"/>
    <s v="P006"/>
    <x v="5"/>
    <n v="32"/>
    <n v="34.799999999999997"/>
    <x v="0"/>
    <x v="0"/>
  </r>
  <r>
    <d v="2024-01-08T00:00:00"/>
    <s v="D002"/>
    <s v="Fresh Coast Foods"/>
    <s v="P001"/>
    <x v="0"/>
    <n v="34"/>
    <n v="33.700000000000003"/>
    <x v="0"/>
    <x v="0"/>
  </r>
  <r>
    <d v="2024-01-08T00:00:00"/>
    <s v="D002"/>
    <s v="Fresh Coast Foods"/>
    <s v="P002"/>
    <x v="1"/>
    <n v="38"/>
    <n v="38.700000000000003"/>
    <x v="0"/>
    <x v="0"/>
  </r>
  <r>
    <d v="2024-01-08T00:00:00"/>
    <s v="D002"/>
    <s v="Fresh Coast Foods"/>
    <s v="P003"/>
    <x v="2"/>
    <n v="32"/>
    <n v="32.5"/>
    <x v="0"/>
    <x v="0"/>
  </r>
  <r>
    <d v="2024-01-08T00:00:00"/>
    <s v="D002"/>
    <s v="Fresh Coast Foods"/>
    <s v="P004"/>
    <x v="3"/>
    <n v="50"/>
    <n v="50.8"/>
    <x v="0"/>
    <x v="0"/>
  </r>
  <r>
    <d v="2024-01-08T00:00:00"/>
    <s v="D002"/>
    <s v="Fresh Coast Foods"/>
    <s v="P005"/>
    <x v="4"/>
    <n v="38"/>
    <n v="40.9"/>
    <x v="0"/>
    <x v="0"/>
  </r>
  <r>
    <d v="2024-01-08T00:00:00"/>
    <s v="D002"/>
    <s v="Fresh Coast Foods"/>
    <s v="P006"/>
    <x v="5"/>
    <n v="32"/>
    <n v="34.299999999999997"/>
    <x v="0"/>
    <x v="0"/>
  </r>
  <r>
    <d v="2024-01-08T00:00:00"/>
    <s v="D003"/>
    <s v="Heartland Meats"/>
    <s v="P001"/>
    <x v="0"/>
    <n v="34"/>
    <n v="36.200000000000003"/>
    <x v="0"/>
    <x v="0"/>
  </r>
  <r>
    <d v="2024-01-08T00:00:00"/>
    <s v="D003"/>
    <s v="Heartland Meats"/>
    <s v="P002"/>
    <x v="1"/>
    <n v="38"/>
    <n v="40.4"/>
    <x v="0"/>
    <x v="0"/>
  </r>
  <r>
    <d v="2024-01-08T00:00:00"/>
    <s v="D003"/>
    <s v="Heartland Meats"/>
    <s v="P003"/>
    <x v="2"/>
    <n v="32"/>
    <n v="34.200000000000003"/>
    <x v="0"/>
    <x v="0"/>
  </r>
  <r>
    <d v="2024-01-08T00:00:00"/>
    <s v="D003"/>
    <s v="Heartland Meats"/>
    <s v="P004"/>
    <x v="3"/>
    <n v="50"/>
    <n v="50.9"/>
    <x v="0"/>
    <x v="0"/>
  </r>
  <r>
    <d v="2024-01-08T00:00:00"/>
    <s v="D003"/>
    <s v="Heartland Meats"/>
    <s v="P005"/>
    <x v="4"/>
    <n v="38"/>
    <n v="47.4"/>
    <x v="1"/>
    <x v="2"/>
  </r>
  <r>
    <d v="2024-01-08T00:00:00"/>
    <s v="D003"/>
    <s v="Heartland Meats"/>
    <s v="P006"/>
    <x v="5"/>
    <n v="32"/>
    <n v="45.1"/>
    <x v="1"/>
    <x v="1"/>
  </r>
  <r>
    <d v="2024-01-08T00:00:00"/>
    <s v="D004"/>
    <s v="Southwest Organics"/>
    <s v="P001"/>
    <x v="0"/>
    <n v="34"/>
    <n v="35.1"/>
    <x v="0"/>
    <x v="0"/>
  </r>
  <r>
    <d v="2024-01-08T00:00:00"/>
    <s v="D004"/>
    <s v="Southwest Organics"/>
    <s v="P002"/>
    <x v="1"/>
    <n v="38"/>
    <n v="38.9"/>
    <x v="0"/>
    <x v="0"/>
  </r>
  <r>
    <d v="2024-01-08T00:00:00"/>
    <s v="D004"/>
    <s v="Southwest Organics"/>
    <s v="P003"/>
    <x v="2"/>
    <n v="32"/>
    <n v="34.4"/>
    <x v="0"/>
    <x v="0"/>
  </r>
  <r>
    <d v="2024-01-08T00:00:00"/>
    <s v="D004"/>
    <s v="Southwest Organics"/>
    <s v="P004"/>
    <x v="3"/>
    <n v="50"/>
    <n v="56.8"/>
    <x v="1"/>
    <x v="2"/>
  </r>
  <r>
    <d v="2024-01-08T00:00:00"/>
    <s v="D004"/>
    <s v="Southwest Organics"/>
    <s v="P005"/>
    <x v="4"/>
    <n v="38"/>
    <n v="45.7"/>
    <x v="1"/>
    <x v="2"/>
  </r>
  <r>
    <d v="2024-01-08T00:00:00"/>
    <s v="D004"/>
    <s v="Southwest Organics"/>
    <s v="P006"/>
    <x v="5"/>
    <n v="32"/>
    <n v="34.4"/>
    <x v="0"/>
    <x v="0"/>
  </r>
  <r>
    <d v="2024-01-08T00:00:00"/>
    <s v="D005"/>
    <s v="Great Lakes Dairy"/>
    <s v="P001"/>
    <x v="0"/>
    <n v="34"/>
    <n v="46"/>
    <x v="1"/>
    <x v="1"/>
  </r>
  <r>
    <d v="2024-01-08T00:00:00"/>
    <s v="D005"/>
    <s v="Great Lakes Dairy"/>
    <s v="P002"/>
    <x v="1"/>
    <n v="38"/>
    <n v="38.4"/>
    <x v="0"/>
    <x v="0"/>
  </r>
  <r>
    <d v="2024-01-08T00:00:00"/>
    <s v="D005"/>
    <s v="Great Lakes Dairy"/>
    <s v="P003"/>
    <x v="2"/>
    <n v="32"/>
    <n v="34.200000000000003"/>
    <x v="0"/>
    <x v="0"/>
  </r>
  <r>
    <d v="2024-01-08T00:00:00"/>
    <s v="D005"/>
    <s v="Great Lakes Dairy"/>
    <s v="P004"/>
    <x v="3"/>
    <n v="50"/>
    <n v="50.6"/>
    <x v="0"/>
    <x v="0"/>
  </r>
  <r>
    <d v="2024-01-08T00:00:00"/>
    <s v="D005"/>
    <s v="Great Lakes Dairy"/>
    <s v="P005"/>
    <x v="4"/>
    <n v="38"/>
    <n v="39.700000000000003"/>
    <x v="0"/>
    <x v="0"/>
  </r>
  <r>
    <d v="2024-01-08T00:00:00"/>
    <s v="D005"/>
    <s v="Great Lakes Dairy"/>
    <s v="P006"/>
    <x v="5"/>
    <n v="32"/>
    <n v="33.299999999999997"/>
    <x v="0"/>
    <x v="0"/>
  </r>
  <r>
    <d v="2024-01-09T00:00:00"/>
    <s v="D001"/>
    <s v="Green Valley Produce"/>
    <s v="P001"/>
    <x v="0"/>
    <n v="34"/>
    <n v="35.200000000000003"/>
    <x v="0"/>
    <x v="0"/>
  </r>
  <r>
    <d v="2024-01-09T00:00:00"/>
    <s v="D001"/>
    <s v="Green Valley Produce"/>
    <s v="P002"/>
    <x v="1"/>
    <n v="38"/>
    <n v="38.1"/>
    <x v="0"/>
    <x v="0"/>
  </r>
  <r>
    <d v="2024-01-09T00:00:00"/>
    <s v="D001"/>
    <s v="Green Valley Produce"/>
    <s v="P003"/>
    <x v="2"/>
    <n v="32"/>
    <n v="33"/>
    <x v="0"/>
    <x v="0"/>
  </r>
  <r>
    <d v="2024-01-09T00:00:00"/>
    <s v="D001"/>
    <s v="Green Valley Produce"/>
    <s v="P004"/>
    <x v="3"/>
    <n v="50"/>
    <n v="50.8"/>
    <x v="0"/>
    <x v="0"/>
  </r>
  <r>
    <d v="2024-01-09T00:00:00"/>
    <s v="D001"/>
    <s v="Green Valley Produce"/>
    <s v="P005"/>
    <x v="4"/>
    <n v="38"/>
    <n v="48.9"/>
    <x v="1"/>
    <x v="1"/>
  </r>
  <r>
    <d v="2024-01-09T00:00:00"/>
    <s v="D001"/>
    <s v="Green Valley Produce"/>
    <s v="P006"/>
    <x v="5"/>
    <n v="32"/>
    <n v="34.799999999999997"/>
    <x v="0"/>
    <x v="0"/>
  </r>
  <r>
    <d v="2024-01-09T00:00:00"/>
    <s v="D002"/>
    <s v="Fresh Coast Foods"/>
    <s v="P001"/>
    <x v="0"/>
    <n v="34"/>
    <n v="35.6"/>
    <x v="0"/>
    <x v="0"/>
  </r>
  <r>
    <d v="2024-01-09T00:00:00"/>
    <s v="D002"/>
    <s v="Fresh Coast Foods"/>
    <s v="P002"/>
    <x v="1"/>
    <n v="38"/>
    <n v="38.700000000000003"/>
    <x v="0"/>
    <x v="0"/>
  </r>
  <r>
    <d v="2024-01-09T00:00:00"/>
    <s v="D002"/>
    <s v="Fresh Coast Foods"/>
    <s v="P003"/>
    <x v="2"/>
    <n v="32"/>
    <n v="32.6"/>
    <x v="0"/>
    <x v="0"/>
  </r>
  <r>
    <d v="2024-01-09T00:00:00"/>
    <s v="D002"/>
    <s v="Fresh Coast Foods"/>
    <s v="P004"/>
    <x v="3"/>
    <n v="50"/>
    <n v="49.3"/>
    <x v="0"/>
    <x v="0"/>
  </r>
  <r>
    <d v="2024-01-09T00:00:00"/>
    <s v="D002"/>
    <s v="Fresh Coast Foods"/>
    <s v="P005"/>
    <x v="4"/>
    <n v="38"/>
    <n v="38.299999999999997"/>
    <x v="0"/>
    <x v="0"/>
  </r>
  <r>
    <d v="2024-01-09T00:00:00"/>
    <s v="D002"/>
    <s v="Fresh Coast Foods"/>
    <s v="P006"/>
    <x v="5"/>
    <n v="32"/>
    <n v="33.799999999999997"/>
    <x v="0"/>
    <x v="0"/>
  </r>
  <r>
    <d v="2024-01-09T00:00:00"/>
    <s v="D003"/>
    <s v="Heartland Meats"/>
    <s v="P001"/>
    <x v="0"/>
    <n v="34"/>
    <n v="34.6"/>
    <x v="0"/>
    <x v="0"/>
  </r>
  <r>
    <d v="2024-01-09T00:00:00"/>
    <s v="D003"/>
    <s v="Heartland Meats"/>
    <s v="P002"/>
    <x v="1"/>
    <n v="38"/>
    <n v="40.1"/>
    <x v="0"/>
    <x v="0"/>
  </r>
  <r>
    <d v="2024-01-09T00:00:00"/>
    <s v="D003"/>
    <s v="Heartland Meats"/>
    <s v="P003"/>
    <x v="2"/>
    <n v="32"/>
    <n v="34"/>
    <x v="0"/>
    <x v="0"/>
  </r>
  <r>
    <d v="2024-01-09T00:00:00"/>
    <s v="D003"/>
    <s v="Heartland Meats"/>
    <s v="P004"/>
    <x v="3"/>
    <n v="50"/>
    <n v="50.8"/>
    <x v="0"/>
    <x v="0"/>
  </r>
  <r>
    <d v="2024-01-09T00:00:00"/>
    <s v="D003"/>
    <s v="Heartland Meats"/>
    <s v="P005"/>
    <x v="4"/>
    <n v="38"/>
    <n v="50.8"/>
    <x v="1"/>
    <x v="1"/>
  </r>
  <r>
    <d v="2024-01-09T00:00:00"/>
    <s v="D003"/>
    <s v="Heartland Meats"/>
    <s v="P006"/>
    <x v="5"/>
    <n v="32"/>
    <n v="39.9"/>
    <x v="1"/>
    <x v="2"/>
  </r>
  <r>
    <d v="2024-01-09T00:00:00"/>
    <s v="D004"/>
    <s v="Southwest Organics"/>
    <s v="P001"/>
    <x v="0"/>
    <n v="34"/>
    <n v="36"/>
    <x v="0"/>
    <x v="0"/>
  </r>
  <r>
    <d v="2024-01-09T00:00:00"/>
    <s v="D004"/>
    <s v="Southwest Organics"/>
    <s v="P002"/>
    <x v="1"/>
    <n v="38"/>
    <n v="37.799999999999997"/>
    <x v="0"/>
    <x v="0"/>
  </r>
  <r>
    <d v="2024-01-09T00:00:00"/>
    <s v="D004"/>
    <s v="Southwest Organics"/>
    <s v="P003"/>
    <x v="2"/>
    <n v="32"/>
    <n v="31.4"/>
    <x v="0"/>
    <x v="0"/>
  </r>
  <r>
    <d v="2024-01-09T00:00:00"/>
    <s v="D004"/>
    <s v="Southwest Organics"/>
    <s v="P004"/>
    <x v="3"/>
    <n v="50"/>
    <n v="50.9"/>
    <x v="0"/>
    <x v="0"/>
  </r>
  <r>
    <d v="2024-01-09T00:00:00"/>
    <s v="D004"/>
    <s v="Southwest Organics"/>
    <s v="P005"/>
    <x v="4"/>
    <n v="38"/>
    <n v="50.2"/>
    <x v="1"/>
    <x v="1"/>
  </r>
  <r>
    <d v="2024-01-09T00:00:00"/>
    <s v="D004"/>
    <s v="Southwest Organics"/>
    <s v="P006"/>
    <x v="5"/>
    <n v="32"/>
    <n v="35"/>
    <x v="0"/>
    <x v="0"/>
  </r>
  <r>
    <d v="2024-01-09T00:00:00"/>
    <s v="D005"/>
    <s v="Great Lakes Dairy"/>
    <s v="P001"/>
    <x v="0"/>
    <n v="34"/>
    <n v="44.9"/>
    <x v="1"/>
    <x v="1"/>
  </r>
  <r>
    <d v="2024-01-09T00:00:00"/>
    <s v="D005"/>
    <s v="Great Lakes Dairy"/>
    <s v="P002"/>
    <x v="1"/>
    <n v="38"/>
    <n v="51.5"/>
    <x v="1"/>
    <x v="1"/>
  </r>
  <r>
    <d v="2024-01-09T00:00:00"/>
    <s v="D005"/>
    <s v="Great Lakes Dairy"/>
    <s v="P003"/>
    <x v="2"/>
    <n v="32"/>
    <n v="31.9"/>
    <x v="0"/>
    <x v="0"/>
  </r>
  <r>
    <d v="2024-01-09T00:00:00"/>
    <s v="D005"/>
    <s v="Great Lakes Dairy"/>
    <s v="P004"/>
    <x v="3"/>
    <n v="50"/>
    <n v="50.8"/>
    <x v="0"/>
    <x v="0"/>
  </r>
  <r>
    <d v="2024-01-09T00:00:00"/>
    <s v="D005"/>
    <s v="Great Lakes Dairy"/>
    <s v="P005"/>
    <x v="4"/>
    <n v="38"/>
    <n v="48.2"/>
    <x v="1"/>
    <x v="1"/>
  </r>
  <r>
    <d v="2024-01-09T00:00:00"/>
    <s v="D005"/>
    <s v="Great Lakes Dairy"/>
    <s v="P006"/>
    <x v="5"/>
    <n v="32"/>
    <n v="38.299999999999997"/>
    <x v="1"/>
    <x v="2"/>
  </r>
  <r>
    <d v="2024-01-10T00:00:00"/>
    <s v="D001"/>
    <s v="Green Valley Produce"/>
    <s v="P001"/>
    <x v="0"/>
    <n v="34"/>
    <n v="36.700000000000003"/>
    <x v="0"/>
    <x v="0"/>
  </r>
  <r>
    <d v="2024-01-10T00:00:00"/>
    <s v="D001"/>
    <s v="Green Valley Produce"/>
    <s v="P002"/>
    <x v="1"/>
    <n v="38"/>
    <n v="38.9"/>
    <x v="0"/>
    <x v="0"/>
  </r>
  <r>
    <d v="2024-01-10T00:00:00"/>
    <s v="D001"/>
    <s v="Green Valley Produce"/>
    <s v="P003"/>
    <x v="2"/>
    <n v="32"/>
    <n v="34.700000000000003"/>
    <x v="0"/>
    <x v="0"/>
  </r>
  <r>
    <d v="2024-01-10T00:00:00"/>
    <s v="D001"/>
    <s v="Green Valley Produce"/>
    <s v="P004"/>
    <x v="3"/>
    <n v="50"/>
    <n v="49.5"/>
    <x v="0"/>
    <x v="0"/>
  </r>
  <r>
    <d v="2024-01-10T00:00:00"/>
    <s v="D001"/>
    <s v="Green Valley Produce"/>
    <s v="P005"/>
    <x v="4"/>
    <n v="38"/>
    <n v="39.200000000000003"/>
    <x v="0"/>
    <x v="0"/>
  </r>
  <r>
    <d v="2024-01-10T00:00:00"/>
    <s v="D001"/>
    <s v="Green Valley Produce"/>
    <s v="P006"/>
    <x v="5"/>
    <n v="32"/>
    <n v="32.799999999999997"/>
    <x v="0"/>
    <x v="0"/>
  </r>
  <r>
    <d v="2024-01-10T00:00:00"/>
    <s v="D002"/>
    <s v="Fresh Coast Foods"/>
    <s v="P001"/>
    <x v="0"/>
    <n v="34"/>
    <n v="36.5"/>
    <x v="0"/>
    <x v="0"/>
  </r>
  <r>
    <d v="2024-01-10T00:00:00"/>
    <s v="D002"/>
    <s v="Fresh Coast Foods"/>
    <s v="P002"/>
    <x v="1"/>
    <n v="38"/>
    <n v="39.6"/>
    <x v="0"/>
    <x v="0"/>
  </r>
  <r>
    <d v="2024-01-10T00:00:00"/>
    <s v="D002"/>
    <s v="Fresh Coast Foods"/>
    <s v="P003"/>
    <x v="2"/>
    <n v="32"/>
    <n v="34.6"/>
    <x v="0"/>
    <x v="0"/>
  </r>
  <r>
    <d v="2024-01-10T00:00:00"/>
    <s v="D002"/>
    <s v="Fresh Coast Foods"/>
    <s v="P004"/>
    <x v="3"/>
    <n v="50"/>
    <n v="49.9"/>
    <x v="0"/>
    <x v="0"/>
  </r>
  <r>
    <d v="2024-01-10T00:00:00"/>
    <s v="D002"/>
    <s v="Fresh Coast Foods"/>
    <s v="P005"/>
    <x v="4"/>
    <n v="38"/>
    <n v="46.5"/>
    <x v="1"/>
    <x v="2"/>
  </r>
  <r>
    <d v="2024-01-10T00:00:00"/>
    <s v="D002"/>
    <s v="Fresh Coast Foods"/>
    <s v="P006"/>
    <x v="5"/>
    <n v="32"/>
    <n v="31.6"/>
    <x v="0"/>
    <x v="0"/>
  </r>
  <r>
    <d v="2024-01-10T00:00:00"/>
    <s v="D003"/>
    <s v="Heartland Meats"/>
    <s v="P001"/>
    <x v="0"/>
    <n v="34"/>
    <n v="44.2"/>
    <x v="1"/>
    <x v="1"/>
  </r>
  <r>
    <d v="2024-01-10T00:00:00"/>
    <s v="D003"/>
    <s v="Heartland Meats"/>
    <s v="P002"/>
    <x v="1"/>
    <n v="38"/>
    <n v="37.5"/>
    <x v="0"/>
    <x v="0"/>
  </r>
  <r>
    <d v="2024-01-10T00:00:00"/>
    <s v="D003"/>
    <s v="Heartland Meats"/>
    <s v="P003"/>
    <x v="2"/>
    <n v="32"/>
    <n v="33.1"/>
    <x v="0"/>
    <x v="0"/>
  </r>
  <r>
    <d v="2024-01-10T00:00:00"/>
    <s v="D003"/>
    <s v="Heartland Meats"/>
    <s v="P004"/>
    <x v="3"/>
    <n v="50"/>
    <n v="51"/>
    <x v="0"/>
    <x v="0"/>
  </r>
  <r>
    <d v="2024-01-10T00:00:00"/>
    <s v="D003"/>
    <s v="Heartland Meats"/>
    <s v="P005"/>
    <x v="4"/>
    <n v="38"/>
    <n v="38.200000000000003"/>
    <x v="0"/>
    <x v="0"/>
  </r>
  <r>
    <d v="2024-01-10T00:00:00"/>
    <s v="D003"/>
    <s v="Heartland Meats"/>
    <s v="P006"/>
    <x v="5"/>
    <n v="32"/>
    <n v="34.200000000000003"/>
    <x v="0"/>
    <x v="0"/>
  </r>
  <r>
    <d v="2024-01-10T00:00:00"/>
    <s v="D004"/>
    <s v="Southwest Organics"/>
    <s v="P001"/>
    <x v="0"/>
    <n v="34"/>
    <n v="36.200000000000003"/>
    <x v="0"/>
    <x v="0"/>
  </r>
  <r>
    <d v="2024-01-10T00:00:00"/>
    <s v="D004"/>
    <s v="Southwest Organics"/>
    <s v="P002"/>
    <x v="1"/>
    <n v="38"/>
    <n v="37.799999999999997"/>
    <x v="0"/>
    <x v="0"/>
  </r>
  <r>
    <d v="2024-01-10T00:00:00"/>
    <s v="D004"/>
    <s v="Southwest Organics"/>
    <s v="P003"/>
    <x v="2"/>
    <n v="32"/>
    <n v="32.700000000000003"/>
    <x v="0"/>
    <x v="0"/>
  </r>
  <r>
    <d v="2024-01-10T00:00:00"/>
    <s v="D004"/>
    <s v="Southwest Organics"/>
    <s v="P004"/>
    <x v="3"/>
    <n v="50"/>
    <n v="51.9"/>
    <x v="0"/>
    <x v="0"/>
  </r>
  <r>
    <d v="2024-01-10T00:00:00"/>
    <s v="D004"/>
    <s v="Southwest Organics"/>
    <s v="P005"/>
    <x v="4"/>
    <n v="38"/>
    <n v="40.299999999999997"/>
    <x v="0"/>
    <x v="0"/>
  </r>
  <r>
    <d v="2024-01-10T00:00:00"/>
    <s v="D004"/>
    <s v="Southwest Organics"/>
    <s v="P006"/>
    <x v="5"/>
    <n v="32"/>
    <n v="31.3"/>
    <x v="0"/>
    <x v="0"/>
  </r>
  <r>
    <d v="2024-01-10T00:00:00"/>
    <s v="D005"/>
    <s v="Great Lakes Dairy"/>
    <s v="P001"/>
    <x v="0"/>
    <n v="34"/>
    <n v="35.1"/>
    <x v="0"/>
    <x v="0"/>
  </r>
  <r>
    <d v="2024-01-10T00:00:00"/>
    <s v="D005"/>
    <s v="Great Lakes Dairy"/>
    <s v="P002"/>
    <x v="1"/>
    <n v="38"/>
    <n v="39.5"/>
    <x v="0"/>
    <x v="0"/>
  </r>
  <r>
    <d v="2024-01-10T00:00:00"/>
    <s v="D005"/>
    <s v="Great Lakes Dairy"/>
    <s v="P003"/>
    <x v="2"/>
    <n v="32"/>
    <n v="32.1"/>
    <x v="0"/>
    <x v="0"/>
  </r>
  <r>
    <d v="2024-01-10T00:00:00"/>
    <s v="D005"/>
    <s v="Great Lakes Dairy"/>
    <s v="P004"/>
    <x v="3"/>
    <n v="50"/>
    <n v="51.1"/>
    <x v="0"/>
    <x v="0"/>
  </r>
  <r>
    <d v="2024-01-10T00:00:00"/>
    <s v="D005"/>
    <s v="Great Lakes Dairy"/>
    <s v="P005"/>
    <x v="4"/>
    <n v="38"/>
    <n v="37.799999999999997"/>
    <x v="0"/>
    <x v="0"/>
  </r>
  <r>
    <d v="2024-01-10T00:00:00"/>
    <s v="D005"/>
    <s v="Great Lakes Dairy"/>
    <s v="P006"/>
    <x v="5"/>
    <n v="32"/>
    <n v="39.1"/>
    <x v="1"/>
    <x v="2"/>
  </r>
  <r>
    <d v="2024-01-11T00:00:00"/>
    <s v="D001"/>
    <s v="Green Valley Produce"/>
    <s v="P001"/>
    <x v="0"/>
    <n v="34"/>
    <n v="43.6"/>
    <x v="1"/>
    <x v="2"/>
  </r>
  <r>
    <d v="2024-01-11T00:00:00"/>
    <s v="D001"/>
    <s v="Green Valley Produce"/>
    <s v="P002"/>
    <x v="1"/>
    <n v="38"/>
    <n v="39.799999999999997"/>
    <x v="0"/>
    <x v="0"/>
  </r>
  <r>
    <d v="2024-01-11T00:00:00"/>
    <s v="D001"/>
    <s v="Green Valley Produce"/>
    <s v="P003"/>
    <x v="2"/>
    <n v="32"/>
    <n v="32.299999999999997"/>
    <x v="0"/>
    <x v="0"/>
  </r>
  <r>
    <d v="2024-01-11T00:00:00"/>
    <s v="D001"/>
    <s v="Green Valley Produce"/>
    <s v="P004"/>
    <x v="3"/>
    <n v="50"/>
    <n v="63.8"/>
    <x v="1"/>
    <x v="1"/>
  </r>
  <r>
    <d v="2024-01-11T00:00:00"/>
    <s v="D001"/>
    <s v="Green Valley Produce"/>
    <s v="P005"/>
    <x v="4"/>
    <n v="38"/>
    <n v="51.8"/>
    <x v="1"/>
    <x v="1"/>
  </r>
  <r>
    <d v="2024-01-11T00:00:00"/>
    <s v="D001"/>
    <s v="Green Valley Produce"/>
    <s v="P006"/>
    <x v="5"/>
    <n v="32"/>
    <n v="31.5"/>
    <x v="0"/>
    <x v="0"/>
  </r>
  <r>
    <d v="2024-01-11T00:00:00"/>
    <s v="D002"/>
    <s v="Fresh Coast Foods"/>
    <s v="P001"/>
    <x v="0"/>
    <n v="34"/>
    <n v="33"/>
    <x v="0"/>
    <x v="0"/>
  </r>
  <r>
    <d v="2024-01-11T00:00:00"/>
    <s v="D002"/>
    <s v="Fresh Coast Foods"/>
    <s v="P002"/>
    <x v="1"/>
    <n v="38"/>
    <n v="44.1"/>
    <x v="1"/>
    <x v="2"/>
  </r>
  <r>
    <d v="2024-01-11T00:00:00"/>
    <s v="D002"/>
    <s v="Fresh Coast Foods"/>
    <s v="P003"/>
    <x v="2"/>
    <n v="32"/>
    <n v="32.700000000000003"/>
    <x v="0"/>
    <x v="0"/>
  </r>
  <r>
    <d v="2024-01-11T00:00:00"/>
    <s v="D002"/>
    <s v="Fresh Coast Foods"/>
    <s v="P004"/>
    <x v="3"/>
    <n v="50"/>
    <n v="51"/>
    <x v="0"/>
    <x v="0"/>
  </r>
  <r>
    <d v="2024-01-11T00:00:00"/>
    <s v="D002"/>
    <s v="Fresh Coast Foods"/>
    <s v="P005"/>
    <x v="4"/>
    <n v="38"/>
    <n v="39.799999999999997"/>
    <x v="0"/>
    <x v="0"/>
  </r>
  <r>
    <d v="2024-01-11T00:00:00"/>
    <s v="D002"/>
    <s v="Fresh Coast Foods"/>
    <s v="P006"/>
    <x v="5"/>
    <n v="32"/>
    <n v="38.6"/>
    <x v="1"/>
    <x v="2"/>
  </r>
  <r>
    <d v="2024-01-11T00:00:00"/>
    <s v="D003"/>
    <s v="Heartland Meats"/>
    <s v="P001"/>
    <x v="0"/>
    <n v="34"/>
    <n v="33.6"/>
    <x v="0"/>
    <x v="0"/>
  </r>
  <r>
    <d v="2024-01-11T00:00:00"/>
    <s v="D003"/>
    <s v="Heartland Meats"/>
    <s v="P002"/>
    <x v="1"/>
    <n v="38"/>
    <n v="38.6"/>
    <x v="0"/>
    <x v="0"/>
  </r>
  <r>
    <d v="2024-01-11T00:00:00"/>
    <s v="D003"/>
    <s v="Heartland Meats"/>
    <s v="P003"/>
    <x v="2"/>
    <n v="32"/>
    <n v="31.7"/>
    <x v="0"/>
    <x v="0"/>
  </r>
  <r>
    <d v="2024-01-11T00:00:00"/>
    <s v="D003"/>
    <s v="Heartland Meats"/>
    <s v="P004"/>
    <x v="3"/>
    <n v="50"/>
    <n v="50"/>
    <x v="0"/>
    <x v="0"/>
  </r>
  <r>
    <d v="2024-01-11T00:00:00"/>
    <s v="D003"/>
    <s v="Heartland Meats"/>
    <s v="P005"/>
    <x v="4"/>
    <n v="38"/>
    <n v="37.1"/>
    <x v="0"/>
    <x v="0"/>
  </r>
  <r>
    <d v="2024-01-11T00:00:00"/>
    <s v="D003"/>
    <s v="Heartland Meats"/>
    <s v="P006"/>
    <x v="5"/>
    <n v="32"/>
    <n v="33.9"/>
    <x v="0"/>
    <x v="0"/>
  </r>
  <r>
    <d v="2024-01-11T00:00:00"/>
    <s v="D004"/>
    <s v="Southwest Organics"/>
    <s v="P001"/>
    <x v="0"/>
    <n v="34"/>
    <n v="36.9"/>
    <x v="0"/>
    <x v="0"/>
  </r>
  <r>
    <d v="2024-01-11T00:00:00"/>
    <s v="D004"/>
    <s v="Southwest Organics"/>
    <s v="P002"/>
    <x v="1"/>
    <n v="38"/>
    <n v="41"/>
    <x v="0"/>
    <x v="0"/>
  </r>
  <r>
    <d v="2024-01-11T00:00:00"/>
    <s v="D004"/>
    <s v="Southwest Organics"/>
    <s v="P003"/>
    <x v="2"/>
    <n v="32"/>
    <n v="33.9"/>
    <x v="0"/>
    <x v="0"/>
  </r>
  <r>
    <d v="2024-01-11T00:00:00"/>
    <s v="D004"/>
    <s v="Southwest Organics"/>
    <s v="P004"/>
    <x v="3"/>
    <n v="50"/>
    <n v="61.3"/>
    <x v="1"/>
    <x v="1"/>
  </r>
  <r>
    <d v="2024-01-11T00:00:00"/>
    <s v="D004"/>
    <s v="Southwest Organics"/>
    <s v="P005"/>
    <x v="4"/>
    <n v="38"/>
    <n v="38.6"/>
    <x v="0"/>
    <x v="0"/>
  </r>
  <r>
    <d v="2024-01-11T00:00:00"/>
    <s v="D004"/>
    <s v="Southwest Organics"/>
    <s v="P006"/>
    <x v="5"/>
    <n v="32"/>
    <n v="34.700000000000003"/>
    <x v="0"/>
    <x v="0"/>
  </r>
  <r>
    <d v="2024-01-11T00:00:00"/>
    <s v="D005"/>
    <s v="Great Lakes Dairy"/>
    <s v="P001"/>
    <x v="0"/>
    <n v="34"/>
    <n v="45.8"/>
    <x v="1"/>
    <x v="1"/>
  </r>
  <r>
    <d v="2024-01-11T00:00:00"/>
    <s v="D005"/>
    <s v="Great Lakes Dairy"/>
    <s v="P002"/>
    <x v="1"/>
    <n v="38"/>
    <n v="39.200000000000003"/>
    <x v="0"/>
    <x v="0"/>
  </r>
  <r>
    <d v="2024-01-11T00:00:00"/>
    <s v="D005"/>
    <s v="Great Lakes Dairy"/>
    <s v="P003"/>
    <x v="2"/>
    <n v="32"/>
    <n v="41.8"/>
    <x v="1"/>
    <x v="2"/>
  </r>
  <r>
    <d v="2024-01-11T00:00:00"/>
    <s v="D005"/>
    <s v="Great Lakes Dairy"/>
    <s v="P004"/>
    <x v="3"/>
    <n v="50"/>
    <n v="50.4"/>
    <x v="0"/>
    <x v="0"/>
  </r>
  <r>
    <d v="2024-01-11T00:00:00"/>
    <s v="D005"/>
    <s v="Great Lakes Dairy"/>
    <s v="P005"/>
    <x v="4"/>
    <n v="38"/>
    <n v="49.3"/>
    <x v="1"/>
    <x v="1"/>
  </r>
  <r>
    <d v="2024-01-11T00:00:00"/>
    <s v="D005"/>
    <s v="Great Lakes Dairy"/>
    <s v="P006"/>
    <x v="5"/>
    <n v="32"/>
    <n v="31.9"/>
    <x v="0"/>
    <x v="0"/>
  </r>
  <r>
    <d v="2024-01-12T00:00:00"/>
    <s v="D001"/>
    <s v="Green Valley Produce"/>
    <s v="P001"/>
    <x v="0"/>
    <n v="34"/>
    <n v="33.1"/>
    <x v="0"/>
    <x v="0"/>
  </r>
  <r>
    <d v="2024-01-12T00:00:00"/>
    <s v="D001"/>
    <s v="Green Valley Produce"/>
    <s v="P002"/>
    <x v="1"/>
    <n v="38"/>
    <n v="39.299999999999997"/>
    <x v="0"/>
    <x v="0"/>
  </r>
  <r>
    <d v="2024-01-12T00:00:00"/>
    <s v="D001"/>
    <s v="Green Valley Produce"/>
    <s v="P003"/>
    <x v="2"/>
    <n v="32"/>
    <n v="32"/>
    <x v="0"/>
    <x v="0"/>
  </r>
  <r>
    <d v="2024-01-12T00:00:00"/>
    <s v="D001"/>
    <s v="Green Valley Produce"/>
    <s v="P004"/>
    <x v="3"/>
    <n v="50"/>
    <n v="51.3"/>
    <x v="0"/>
    <x v="0"/>
  </r>
  <r>
    <d v="2024-01-12T00:00:00"/>
    <s v="D001"/>
    <s v="Green Valley Produce"/>
    <s v="P005"/>
    <x v="4"/>
    <n v="38"/>
    <n v="39.799999999999997"/>
    <x v="0"/>
    <x v="0"/>
  </r>
  <r>
    <d v="2024-01-12T00:00:00"/>
    <s v="D001"/>
    <s v="Green Valley Produce"/>
    <s v="P006"/>
    <x v="5"/>
    <n v="32"/>
    <n v="44.2"/>
    <x v="1"/>
    <x v="1"/>
  </r>
  <r>
    <d v="2024-01-12T00:00:00"/>
    <s v="D002"/>
    <s v="Fresh Coast Foods"/>
    <s v="P001"/>
    <x v="0"/>
    <n v="34"/>
    <n v="35"/>
    <x v="0"/>
    <x v="0"/>
  </r>
  <r>
    <d v="2024-01-12T00:00:00"/>
    <s v="D002"/>
    <s v="Fresh Coast Foods"/>
    <s v="P002"/>
    <x v="1"/>
    <n v="38"/>
    <n v="38.4"/>
    <x v="0"/>
    <x v="0"/>
  </r>
  <r>
    <d v="2024-01-12T00:00:00"/>
    <s v="D002"/>
    <s v="Fresh Coast Foods"/>
    <s v="P003"/>
    <x v="2"/>
    <n v="32"/>
    <n v="34"/>
    <x v="0"/>
    <x v="0"/>
  </r>
  <r>
    <d v="2024-01-12T00:00:00"/>
    <s v="D002"/>
    <s v="Fresh Coast Foods"/>
    <s v="P004"/>
    <x v="3"/>
    <n v="50"/>
    <n v="58.8"/>
    <x v="1"/>
    <x v="2"/>
  </r>
  <r>
    <d v="2024-01-12T00:00:00"/>
    <s v="D002"/>
    <s v="Fresh Coast Foods"/>
    <s v="P005"/>
    <x v="4"/>
    <n v="38"/>
    <n v="48.3"/>
    <x v="1"/>
    <x v="1"/>
  </r>
  <r>
    <d v="2024-01-12T00:00:00"/>
    <s v="D002"/>
    <s v="Fresh Coast Foods"/>
    <s v="P006"/>
    <x v="5"/>
    <n v="32"/>
    <n v="41.9"/>
    <x v="1"/>
    <x v="2"/>
  </r>
  <r>
    <d v="2024-01-12T00:00:00"/>
    <s v="D003"/>
    <s v="Heartland Meats"/>
    <s v="P001"/>
    <x v="0"/>
    <n v="34"/>
    <n v="35.200000000000003"/>
    <x v="0"/>
    <x v="0"/>
  </r>
  <r>
    <d v="2024-01-12T00:00:00"/>
    <s v="D003"/>
    <s v="Heartland Meats"/>
    <s v="P002"/>
    <x v="1"/>
    <n v="38"/>
    <n v="38.4"/>
    <x v="0"/>
    <x v="0"/>
  </r>
  <r>
    <d v="2024-01-12T00:00:00"/>
    <s v="D003"/>
    <s v="Heartland Meats"/>
    <s v="P003"/>
    <x v="2"/>
    <n v="32"/>
    <n v="33.9"/>
    <x v="0"/>
    <x v="0"/>
  </r>
  <r>
    <d v="2024-01-12T00:00:00"/>
    <s v="D003"/>
    <s v="Heartland Meats"/>
    <s v="P004"/>
    <x v="3"/>
    <n v="50"/>
    <n v="59"/>
    <x v="1"/>
    <x v="2"/>
  </r>
  <r>
    <d v="2024-01-12T00:00:00"/>
    <s v="D003"/>
    <s v="Heartland Meats"/>
    <s v="P005"/>
    <x v="4"/>
    <n v="38"/>
    <n v="38"/>
    <x v="0"/>
    <x v="0"/>
  </r>
  <r>
    <d v="2024-01-12T00:00:00"/>
    <s v="D003"/>
    <s v="Heartland Meats"/>
    <s v="P006"/>
    <x v="5"/>
    <n v="32"/>
    <n v="43.7"/>
    <x v="1"/>
    <x v="1"/>
  </r>
  <r>
    <d v="2024-01-12T00:00:00"/>
    <s v="D004"/>
    <s v="Southwest Organics"/>
    <s v="P001"/>
    <x v="0"/>
    <n v="34"/>
    <n v="35.200000000000003"/>
    <x v="0"/>
    <x v="0"/>
  </r>
  <r>
    <d v="2024-01-12T00:00:00"/>
    <s v="D004"/>
    <s v="Southwest Organics"/>
    <s v="P002"/>
    <x v="1"/>
    <n v="38"/>
    <n v="39.299999999999997"/>
    <x v="0"/>
    <x v="0"/>
  </r>
  <r>
    <d v="2024-01-12T00:00:00"/>
    <s v="D004"/>
    <s v="Southwest Organics"/>
    <s v="P003"/>
    <x v="2"/>
    <n v="32"/>
    <n v="32.299999999999997"/>
    <x v="0"/>
    <x v="0"/>
  </r>
  <r>
    <d v="2024-01-12T00:00:00"/>
    <s v="D004"/>
    <s v="Southwest Organics"/>
    <s v="P004"/>
    <x v="3"/>
    <n v="50"/>
    <n v="52.5"/>
    <x v="0"/>
    <x v="0"/>
  </r>
  <r>
    <d v="2024-01-12T00:00:00"/>
    <s v="D004"/>
    <s v="Southwest Organics"/>
    <s v="P005"/>
    <x v="4"/>
    <n v="38"/>
    <n v="40.4"/>
    <x v="0"/>
    <x v="0"/>
  </r>
  <r>
    <d v="2024-01-12T00:00:00"/>
    <s v="D004"/>
    <s v="Southwest Organics"/>
    <s v="P006"/>
    <x v="5"/>
    <n v="32"/>
    <n v="42.2"/>
    <x v="1"/>
    <x v="1"/>
  </r>
  <r>
    <d v="2024-01-12T00:00:00"/>
    <s v="D005"/>
    <s v="Great Lakes Dairy"/>
    <s v="P001"/>
    <x v="0"/>
    <n v="34"/>
    <n v="36.299999999999997"/>
    <x v="0"/>
    <x v="0"/>
  </r>
  <r>
    <d v="2024-01-12T00:00:00"/>
    <s v="D005"/>
    <s v="Great Lakes Dairy"/>
    <s v="P002"/>
    <x v="1"/>
    <n v="38"/>
    <n v="38.799999999999997"/>
    <x v="0"/>
    <x v="0"/>
  </r>
  <r>
    <d v="2024-01-12T00:00:00"/>
    <s v="D005"/>
    <s v="Great Lakes Dairy"/>
    <s v="P003"/>
    <x v="2"/>
    <n v="32"/>
    <n v="33"/>
    <x v="0"/>
    <x v="0"/>
  </r>
  <r>
    <d v="2024-01-12T00:00:00"/>
    <s v="D005"/>
    <s v="Great Lakes Dairy"/>
    <s v="P004"/>
    <x v="3"/>
    <n v="50"/>
    <n v="52.5"/>
    <x v="0"/>
    <x v="0"/>
  </r>
  <r>
    <d v="2024-01-12T00:00:00"/>
    <s v="D005"/>
    <s v="Great Lakes Dairy"/>
    <s v="P005"/>
    <x v="4"/>
    <n v="38"/>
    <n v="38.5"/>
    <x v="0"/>
    <x v="0"/>
  </r>
  <r>
    <d v="2024-01-12T00:00:00"/>
    <s v="D005"/>
    <s v="Great Lakes Dairy"/>
    <s v="P006"/>
    <x v="5"/>
    <n v="32"/>
    <n v="32.299999999999997"/>
    <x v="0"/>
    <x v="0"/>
  </r>
  <r>
    <d v="2024-01-13T00:00:00"/>
    <s v="D001"/>
    <s v="Green Valley Produce"/>
    <s v="P001"/>
    <x v="0"/>
    <n v="34"/>
    <n v="47.7"/>
    <x v="1"/>
    <x v="1"/>
  </r>
  <r>
    <d v="2024-01-13T00:00:00"/>
    <s v="D001"/>
    <s v="Green Valley Produce"/>
    <s v="P002"/>
    <x v="1"/>
    <n v="38"/>
    <n v="37.799999999999997"/>
    <x v="0"/>
    <x v="0"/>
  </r>
  <r>
    <d v="2024-01-13T00:00:00"/>
    <s v="D001"/>
    <s v="Green Valley Produce"/>
    <s v="P003"/>
    <x v="2"/>
    <n v="32"/>
    <n v="34.1"/>
    <x v="0"/>
    <x v="0"/>
  </r>
  <r>
    <d v="2024-01-13T00:00:00"/>
    <s v="D001"/>
    <s v="Green Valley Produce"/>
    <s v="P004"/>
    <x v="3"/>
    <n v="50"/>
    <n v="58.3"/>
    <x v="1"/>
    <x v="2"/>
  </r>
  <r>
    <d v="2024-01-13T00:00:00"/>
    <s v="D001"/>
    <s v="Green Valley Produce"/>
    <s v="P005"/>
    <x v="4"/>
    <n v="38"/>
    <n v="38.299999999999997"/>
    <x v="0"/>
    <x v="0"/>
  </r>
  <r>
    <d v="2024-01-13T00:00:00"/>
    <s v="D001"/>
    <s v="Green Valley Produce"/>
    <s v="P006"/>
    <x v="5"/>
    <n v="32"/>
    <n v="43.3"/>
    <x v="1"/>
    <x v="1"/>
  </r>
  <r>
    <d v="2024-01-13T00:00:00"/>
    <s v="D002"/>
    <s v="Fresh Coast Foods"/>
    <s v="P001"/>
    <x v="0"/>
    <n v="34"/>
    <n v="47.5"/>
    <x v="1"/>
    <x v="1"/>
  </r>
  <r>
    <d v="2024-01-13T00:00:00"/>
    <s v="D002"/>
    <s v="Fresh Coast Foods"/>
    <s v="P002"/>
    <x v="1"/>
    <n v="38"/>
    <n v="44.3"/>
    <x v="1"/>
    <x v="2"/>
  </r>
  <r>
    <d v="2024-01-13T00:00:00"/>
    <s v="D002"/>
    <s v="Fresh Coast Foods"/>
    <s v="P003"/>
    <x v="2"/>
    <n v="32"/>
    <n v="39.5"/>
    <x v="1"/>
    <x v="2"/>
  </r>
  <r>
    <d v="2024-01-13T00:00:00"/>
    <s v="D002"/>
    <s v="Fresh Coast Foods"/>
    <s v="P004"/>
    <x v="3"/>
    <n v="50"/>
    <n v="61.1"/>
    <x v="1"/>
    <x v="1"/>
  </r>
  <r>
    <d v="2024-01-13T00:00:00"/>
    <s v="D002"/>
    <s v="Fresh Coast Foods"/>
    <s v="P005"/>
    <x v="4"/>
    <n v="38"/>
    <n v="39"/>
    <x v="0"/>
    <x v="0"/>
  </r>
  <r>
    <d v="2024-01-13T00:00:00"/>
    <s v="D002"/>
    <s v="Fresh Coast Foods"/>
    <s v="P006"/>
    <x v="5"/>
    <n v="32"/>
    <n v="33.4"/>
    <x v="0"/>
    <x v="0"/>
  </r>
  <r>
    <d v="2024-01-13T00:00:00"/>
    <s v="D003"/>
    <s v="Heartland Meats"/>
    <s v="P001"/>
    <x v="0"/>
    <n v="34"/>
    <n v="41.8"/>
    <x v="1"/>
    <x v="2"/>
  </r>
  <r>
    <d v="2024-01-13T00:00:00"/>
    <s v="D003"/>
    <s v="Heartland Meats"/>
    <s v="P002"/>
    <x v="1"/>
    <n v="38"/>
    <n v="37.1"/>
    <x v="0"/>
    <x v="0"/>
  </r>
  <r>
    <d v="2024-01-13T00:00:00"/>
    <s v="D003"/>
    <s v="Heartland Meats"/>
    <s v="P003"/>
    <x v="2"/>
    <n v="32"/>
    <n v="33.6"/>
    <x v="0"/>
    <x v="0"/>
  </r>
  <r>
    <d v="2024-01-13T00:00:00"/>
    <s v="D003"/>
    <s v="Heartland Meats"/>
    <s v="P004"/>
    <x v="3"/>
    <n v="50"/>
    <n v="52.3"/>
    <x v="0"/>
    <x v="0"/>
  </r>
  <r>
    <d v="2024-01-13T00:00:00"/>
    <s v="D003"/>
    <s v="Heartland Meats"/>
    <s v="P005"/>
    <x v="4"/>
    <n v="38"/>
    <n v="39.6"/>
    <x v="0"/>
    <x v="0"/>
  </r>
  <r>
    <d v="2024-01-13T00:00:00"/>
    <s v="D003"/>
    <s v="Heartland Meats"/>
    <s v="P006"/>
    <x v="5"/>
    <n v="32"/>
    <n v="34"/>
    <x v="0"/>
    <x v="0"/>
  </r>
  <r>
    <d v="2024-01-13T00:00:00"/>
    <s v="D004"/>
    <s v="Southwest Organics"/>
    <s v="P001"/>
    <x v="0"/>
    <n v="34"/>
    <n v="36.299999999999997"/>
    <x v="0"/>
    <x v="0"/>
  </r>
  <r>
    <d v="2024-01-13T00:00:00"/>
    <s v="D004"/>
    <s v="Southwest Organics"/>
    <s v="P002"/>
    <x v="1"/>
    <n v="38"/>
    <n v="37.200000000000003"/>
    <x v="0"/>
    <x v="0"/>
  </r>
  <r>
    <d v="2024-01-13T00:00:00"/>
    <s v="D004"/>
    <s v="Southwest Organics"/>
    <s v="P003"/>
    <x v="2"/>
    <n v="32"/>
    <n v="33.1"/>
    <x v="0"/>
    <x v="0"/>
  </r>
  <r>
    <d v="2024-01-13T00:00:00"/>
    <s v="D004"/>
    <s v="Southwest Organics"/>
    <s v="P004"/>
    <x v="3"/>
    <n v="50"/>
    <n v="52.3"/>
    <x v="0"/>
    <x v="0"/>
  </r>
  <r>
    <d v="2024-01-13T00:00:00"/>
    <s v="D004"/>
    <s v="Southwest Organics"/>
    <s v="P005"/>
    <x v="4"/>
    <n v="38"/>
    <n v="45.7"/>
    <x v="1"/>
    <x v="2"/>
  </r>
  <r>
    <d v="2024-01-13T00:00:00"/>
    <s v="D004"/>
    <s v="Southwest Organics"/>
    <s v="P006"/>
    <x v="5"/>
    <n v="32"/>
    <n v="31.4"/>
    <x v="0"/>
    <x v="0"/>
  </r>
  <r>
    <d v="2024-01-13T00:00:00"/>
    <s v="D005"/>
    <s v="Great Lakes Dairy"/>
    <s v="P001"/>
    <x v="0"/>
    <n v="34"/>
    <n v="34.5"/>
    <x v="0"/>
    <x v="0"/>
  </r>
  <r>
    <d v="2024-01-13T00:00:00"/>
    <s v="D005"/>
    <s v="Great Lakes Dairy"/>
    <s v="P002"/>
    <x v="1"/>
    <n v="38"/>
    <n v="39.6"/>
    <x v="0"/>
    <x v="0"/>
  </r>
  <r>
    <d v="2024-01-13T00:00:00"/>
    <s v="D005"/>
    <s v="Great Lakes Dairy"/>
    <s v="P003"/>
    <x v="2"/>
    <n v="32"/>
    <n v="34.799999999999997"/>
    <x v="0"/>
    <x v="0"/>
  </r>
  <r>
    <d v="2024-01-13T00:00:00"/>
    <s v="D005"/>
    <s v="Great Lakes Dairy"/>
    <s v="P004"/>
    <x v="3"/>
    <n v="50"/>
    <n v="51.2"/>
    <x v="0"/>
    <x v="0"/>
  </r>
  <r>
    <d v="2024-01-13T00:00:00"/>
    <s v="D005"/>
    <s v="Great Lakes Dairy"/>
    <s v="P005"/>
    <x v="4"/>
    <n v="38"/>
    <n v="40.1"/>
    <x v="0"/>
    <x v="0"/>
  </r>
  <r>
    <d v="2024-01-13T00:00:00"/>
    <s v="D005"/>
    <s v="Great Lakes Dairy"/>
    <s v="P006"/>
    <x v="5"/>
    <n v="32"/>
    <n v="33.700000000000003"/>
    <x v="0"/>
    <x v="0"/>
  </r>
  <r>
    <d v="2024-01-14T00:00:00"/>
    <s v="D001"/>
    <s v="Green Valley Produce"/>
    <s v="P001"/>
    <x v="0"/>
    <n v="34"/>
    <n v="34.700000000000003"/>
    <x v="0"/>
    <x v="0"/>
  </r>
  <r>
    <d v="2024-01-14T00:00:00"/>
    <s v="D001"/>
    <s v="Green Valley Produce"/>
    <s v="P002"/>
    <x v="1"/>
    <n v="38"/>
    <n v="50.3"/>
    <x v="1"/>
    <x v="1"/>
  </r>
  <r>
    <d v="2024-01-14T00:00:00"/>
    <s v="D001"/>
    <s v="Green Valley Produce"/>
    <s v="P003"/>
    <x v="2"/>
    <n v="32"/>
    <n v="33"/>
    <x v="0"/>
    <x v="0"/>
  </r>
  <r>
    <d v="2024-01-14T00:00:00"/>
    <s v="D001"/>
    <s v="Green Valley Produce"/>
    <s v="P004"/>
    <x v="3"/>
    <n v="50"/>
    <n v="51.1"/>
    <x v="0"/>
    <x v="0"/>
  </r>
  <r>
    <d v="2024-01-14T00:00:00"/>
    <s v="D001"/>
    <s v="Green Valley Produce"/>
    <s v="P005"/>
    <x v="4"/>
    <n v="38"/>
    <n v="40.700000000000003"/>
    <x v="0"/>
    <x v="0"/>
  </r>
  <r>
    <d v="2024-01-14T00:00:00"/>
    <s v="D001"/>
    <s v="Green Valley Produce"/>
    <s v="P006"/>
    <x v="5"/>
    <n v="32"/>
    <n v="33.200000000000003"/>
    <x v="0"/>
    <x v="0"/>
  </r>
  <r>
    <d v="2024-01-14T00:00:00"/>
    <s v="D002"/>
    <s v="Fresh Coast Foods"/>
    <s v="P001"/>
    <x v="0"/>
    <n v="34"/>
    <n v="36.4"/>
    <x v="0"/>
    <x v="0"/>
  </r>
  <r>
    <d v="2024-01-14T00:00:00"/>
    <s v="D002"/>
    <s v="Fresh Coast Foods"/>
    <s v="P002"/>
    <x v="1"/>
    <n v="38"/>
    <n v="39.5"/>
    <x v="0"/>
    <x v="0"/>
  </r>
  <r>
    <d v="2024-01-14T00:00:00"/>
    <s v="D002"/>
    <s v="Fresh Coast Foods"/>
    <s v="P003"/>
    <x v="2"/>
    <n v="32"/>
    <n v="32.299999999999997"/>
    <x v="0"/>
    <x v="0"/>
  </r>
  <r>
    <d v="2024-01-14T00:00:00"/>
    <s v="D002"/>
    <s v="Fresh Coast Foods"/>
    <s v="P004"/>
    <x v="3"/>
    <n v="50"/>
    <n v="51.2"/>
    <x v="0"/>
    <x v="0"/>
  </r>
  <r>
    <d v="2024-01-14T00:00:00"/>
    <s v="D002"/>
    <s v="Fresh Coast Foods"/>
    <s v="P005"/>
    <x v="4"/>
    <n v="38"/>
    <n v="39.200000000000003"/>
    <x v="0"/>
    <x v="0"/>
  </r>
  <r>
    <d v="2024-01-14T00:00:00"/>
    <s v="D002"/>
    <s v="Fresh Coast Foods"/>
    <s v="P006"/>
    <x v="5"/>
    <n v="32"/>
    <n v="32.4"/>
    <x v="0"/>
    <x v="0"/>
  </r>
  <r>
    <d v="2024-01-14T00:00:00"/>
    <s v="D003"/>
    <s v="Heartland Meats"/>
    <s v="P001"/>
    <x v="0"/>
    <n v="34"/>
    <n v="36.799999999999997"/>
    <x v="0"/>
    <x v="0"/>
  </r>
  <r>
    <d v="2024-01-14T00:00:00"/>
    <s v="D003"/>
    <s v="Heartland Meats"/>
    <s v="P002"/>
    <x v="1"/>
    <n v="38"/>
    <n v="44.3"/>
    <x v="1"/>
    <x v="2"/>
  </r>
  <r>
    <d v="2024-01-14T00:00:00"/>
    <s v="D003"/>
    <s v="Heartland Meats"/>
    <s v="P003"/>
    <x v="2"/>
    <n v="32"/>
    <n v="31.1"/>
    <x v="0"/>
    <x v="0"/>
  </r>
  <r>
    <d v="2024-01-14T00:00:00"/>
    <s v="D003"/>
    <s v="Heartland Meats"/>
    <s v="P004"/>
    <x v="3"/>
    <n v="50"/>
    <n v="63.1"/>
    <x v="1"/>
    <x v="1"/>
  </r>
  <r>
    <d v="2024-01-14T00:00:00"/>
    <s v="D003"/>
    <s v="Heartland Meats"/>
    <s v="P005"/>
    <x v="4"/>
    <n v="38"/>
    <n v="51.9"/>
    <x v="1"/>
    <x v="1"/>
  </r>
  <r>
    <d v="2024-01-14T00:00:00"/>
    <s v="D003"/>
    <s v="Heartland Meats"/>
    <s v="P006"/>
    <x v="5"/>
    <n v="32"/>
    <n v="32.299999999999997"/>
    <x v="0"/>
    <x v="0"/>
  </r>
  <r>
    <d v="2024-01-14T00:00:00"/>
    <s v="D004"/>
    <s v="Southwest Organics"/>
    <s v="P001"/>
    <x v="0"/>
    <n v="34"/>
    <n v="36.799999999999997"/>
    <x v="0"/>
    <x v="0"/>
  </r>
  <r>
    <d v="2024-01-14T00:00:00"/>
    <s v="D004"/>
    <s v="Southwest Organics"/>
    <s v="P002"/>
    <x v="1"/>
    <n v="38"/>
    <n v="40.700000000000003"/>
    <x v="0"/>
    <x v="0"/>
  </r>
  <r>
    <d v="2024-01-14T00:00:00"/>
    <s v="D004"/>
    <s v="Southwest Organics"/>
    <s v="P003"/>
    <x v="2"/>
    <n v="32"/>
    <n v="33.299999999999997"/>
    <x v="0"/>
    <x v="0"/>
  </r>
  <r>
    <d v="2024-01-14T00:00:00"/>
    <s v="D004"/>
    <s v="Southwest Organics"/>
    <s v="P004"/>
    <x v="3"/>
    <n v="50"/>
    <n v="49.4"/>
    <x v="0"/>
    <x v="0"/>
  </r>
  <r>
    <d v="2024-01-14T00:00:00"/>
    <s v="D004"/>
    <s v="Southwest Organics"/>
    <s v="P005"/>
    <x v="4"/>
    <n v="38"/>
    <n v="37.6"/>
    <x v="0"/>
    <x v="0"/>
  </r>
  <r>
    <d v="2024-01-14T00:00:00"/>
    <s v="D004"/>
    <s v="Southwest Organics"/>
    <s v="P006"/>
    <x v="5"/>
    <n v="32"/>
    <n v="34.6"/>
    <x v="0"/>
    <x v="0"/>
  </r>
  <r>
    <d v="2024-01-14T00:00:00"/>
    <s v="D005"/>
    <s v="Great Lakes Dairy"/>
    <s v="P001"/>
    <x v="0"/>
    <n v="34"/>
    <n v="34"/>
    <x v="0"/>
    <x v="0"/>
  </r>
  <r>
    <d v="2024-01-14T00:00:00"/>
    <s v="D005"/>
    <s v="Great Lakes Dairy"/>
    <s v="P002"/>
    <x v="1"/>
    <n v="38"/>
    <n v="39.299999999999997"/>
    <x v="0"/>
    <x v="0"/>
  </r>
  <r>
    <d v="2024-01-14T00:00:00"/>
    <s v="D005"/>
    <s v="Great Lakes Dairy"/>
    <s v="P003"/>
    <x v="2"/>
    <n v="32"/>
    <n v="31.9"/>
    <x v="0"/>
    <x v="0"/>
  </r>
  <r>
    <d v="2024-01-14T00:00:00"/>
    <s v="D005"/>
    <s v="Great Lakes Dairy"/>
    <s v="P004"/>
    <x v="3"/>
    <n v="50"/>
    <n v="58.6"/>
    <x v="1"/>
    <x v="2"/>
  </r>
  <r>
    <d v="2024-01-14T00:00:00"/>
    <s v="D005"/>
    <s v="Great Lakes Dairy"/>
    <s v="P005"/>
    <x v="4"/>
    <n v="38"/>
    <n v="39"/>
    <x v="0"/>
    <x v="0"/>
  </r>
  <r>
    <d v="2024-01-14T00:00:00"/>
    <s v="D005"/>
    <s v="Great Lakes Dairy"/>
    <s v="P006"/>
    <x v="5"/>
    <n v="32"/>
    <n v="33.799999999999997"/>
    <x v="0"/>
    <x v="0"/>
  </r>
  <r>
    <d v="2024-01-15T00:00:00"/>
    <s v="D001"/>
    <s v="Green Valley Produce"/>
    <s v="P001"/>
    <x v="0"/>
    <n v="34"/>
    <n v="33.4"/>
    <x v="0"/>
    <x v="0"/>
  </r>
  <r>
    <d v="2024-01-15T00:00:00"/>
    <s v="D001"/>
    <s v="Green Valley Produce"/>
    <s v="P002"/>
    <x v="1"/>
    <n v="38"/>
    <n v="37.1"/>
    <x v="0"/>
    <x v="0"/>
  </r>
  <r>
    <d v="2024-01-15T00:00:00"/>
    <s v="D001"/>
    <s v="Green Valley Produce"/>
    <s v="P003"/>
    <x v="2"/>
    <n v="32"/>
    <n v="32.5"/>
    <x v="0"/>
    <x v="0"/>
  </r>
  <r>
    <d v="2024-01-15T00:00:00"/>
    <s v="D001"/>
    <s v="Green Valley Produce"/>
    <s v="P004"/>
    <x v="3"/>
    <n v="50"/>
    <n v="52.7"/>
    <x v="0"/>
    <x v="0"/>
  </r>
  <r>
    <d v="2024-01-15T00:00:00"/>
    <s v="D001"/>
    <s v="Green Valley Produce"/>
    <s v="P005"/>
    <x v="4"/>
    <n v="38"/>
    <n v="40.5"/>
    <x v="0"/>
    <x v="0"/>
  </r>
  <r>
    <d v="2024-01-15T00:00:00"/>
    <s v="D001"/>
    <s v="Green Valley Produce"/>
    <s v="P006"/>
    <x v="5"/>
    <n v="32"/>
    <n v="34.700000000000003"/>
    <x v="0"/>
    <x v="0"/>
  </r>
  <r>
    <d v="2024-01-15T00:00:00"/>
    <s v="D002"/>
    <s v="Fresh Coast Foods"/>
    <s v="P001"/>
    <x v="0"/>
    <n v="34"/>
    <n v="46.2"/>
    <x v="1"/>
    <x v="1"/>
  </r>
  <r>
    <d v="2024-01-15T00:00:00"/>
    <s v="D002"/>
    <s v="Fresh Coast Foods"/>
    <s v="P002"/>
    <x v="1"/>
    <n v="38"/>
    <n v="40.4"/>
    <x v="0"/>
    <x v="0"/>
  </r>
  <r>
    <d v="2024-01-15T00:00:00"/>
    <s v="D002"/>
    <s v="Fresh Coast Foods"/>
    <s v="P003"/>
    <x v="2"/>
    <n v="32"/>
    <n v="33.5"/>
    <x v="0"/>
    <x v="0"/>
  </r>
  <r>
    <d v="2024-01-15T00:00:00"/>
    <s v="D002"/>
    <s v="Fresh Coast Foods"/>
    <s v="P004"/>
    <x v="3"/>
    <n v="50"/>
    <n v="49.2"/>
    <x v="0"/>
    <x v="0"/>
  </r>
  <r>
    <d v="2024-01-15T00:00:00"/>
    <s v="D002"/>
    <s v="Fresh Coast Foods"/>
    <s v="P005"/>
    <x v="4"/>
    <n v="38"/>
    <n v="38.299999999999997"/>
    <x v="0"/>
    <x v="0"/>
  </r>
  <r>
    <d v="2024-01-15T00:00:00"/>
    <s v="D002"/>
    <s v="Fresh Coast Foods"/>
    <s v="P006"/>
    <x v="5"/>
    <n v="32"/>
    <n v="32.299999999999997"/>
    <x v="0"/>
    <x v="0"/>
  </r>
  <r>
    <d v="2024-01-15T00:00:00"/>
    <s v="D003"/>
    <s v="Heartland Meats"/>
    <s v="P001"/>
    <x v="0"/>
    <n v="34"/>
    <n v="33.6"/>
    <x v="0"/>
    <x v="0"/>
  </r>
  <r>
    <d v="2024-01-15T00:00:00"/>
    <s v="D003"/>
    <s v="Heartland Meats"/>
    <s v="P002"/>
    <x v="1"/>
    <n v="38"/>
    <n v="41"/>
    <x v="0"/>
    <x v="0"/>
  </r>
  <r>
    <d v="2024-01-15T00:00:00"/>
    <s v="D003"/>
    <s v="Heartland Meats"/>
    <s v="P003"/>
    <x v="2"/>
    <n v="32"/>
    <n v="34"/>
    <x v="0"/>
    <x v="0"/>
  </r>
  <r>
    <d v="2024-01-15T00:00:00"/>
    <s v="D003"/>
    <s v="Heartland Meats"/>
    <s v="P004"/>
    <x v="3"/>
    <n v="50"/>
    <n v="49.4"/>
    <x v="0"/>
    <x v="0"/>
  </r>
  <r>
    <d v="2024-01-15T00:00:00"/>
    <s v="D003"/>
    <s v="Heartland Meats"/>
    <s v="P005"/>
    <x v="4"/>
    <n v="38"/>
    <n v="40.1"/>
    <x v="0"/>
    <x v="0"/>
  </r>
  <r>
    <d v="2024-01-15T00:00:00"/>
    <s v="D003"/>
    <s v="Heartland Meats"/>
    <s v="P006"/>
    <x v="5"/>
    <n v="32"/>
    <n v="40.700000000000003"/>
    <x v="1"/>
    <x v="2"/>
  </r>
  <r>
    <d v="2024-01-15T00:00:00"/>
    <s v="D004"/>
    <s v="Southwest Organics"/>
    <s v="P001"/>
    <x v="0"/>
    <n v="34"/>
    <n v="36"/>
    <x v="0"/>
    <x v="0"/>
  </r>
  <r>
    <d v="2024-01-15T00:00:00"/>
    <s v="D004"/>
    <s v="Southwest Organics"/>
    <s v="P002"/>
    <x v="1"/>
    <n v="38"/>
    <n v="38.1"/>
    <x v="0"/>
    <x v="0"/>
  </r>
  <r>
    <d v="2024-01-15T00:00:00"/>
    <s v="D004"/>
    <s v="Southwest Organics"/>
    <s v="P003"/>
    <x v="2"/>
    <n v="32"/>
    <n v="32.700000000000003"/>
    <x v="0"/>
    <x v="0"/>
  </r>
  <r>
    <d v="2024-01-15T00:00:00"/>
    <s v="D004"/>
    <s v="Southwest Organics"/>
    <s v="P004"/>
    <x v="3"/>
    <n v="50"/>
    <n v="52"/>
    <x v="0"/>
    <x v="0"/>
  </r>
  <r>
    <d v="2024-01-15T00:00:00"/>
    <s v="D004"/>
    <s v="Southwest Organics"/>
    <s v="P005"/>
    <x v="4"/>
    <n v="38"/>
    <n v="37.799999999999997"/>
    <x v="0"/>
    <x v="0"/>
  </r>
  <r>
    <d v="2024-01-15T00:00:00"/>
    <s v="D004"/>
    <s v="Southwest Organics"/>
    <s v="P006"/>
    <x v="5"/>
    <n v="32"/>
    <n v="33.299999999999997"/>
    <x v="0"/>
    <x v="0"/>
  </r>
  <r>
    <d v="2024-01-15T00:00:00"/>
    <s v="D005"/>
    <s v="Great Lakes Dairy"/>
    <s v="P001"/>
    <x v="0"/>
    <n v="34"/>
    <n v="37"/>
    <x v="0"/>
    <x v="0"/>
  </r>
  <r>
    <d v="2024-01-15T00:00:00"/>
    <s v="D005"/>
    <s v="Great Lakes Dairy"/>
    <s v="P002"/>
    <x v="1"/>
    <n v="38"/>
    <n v="38"/>
    <x v="0"/>
    <x v="0"/>
  </r>
  <r>
    <d v="2024-01-15T00:00:00"/>
    <s v="D005"/>
    <s v="Great Lakes Dairy"/>
    <s v="P003"/>
    <x v="2"/>
    <n v="32"/>
    <n v="32.700000000000003"/>
    <x v="0"/>
    <x v="0"/>
  </r>
  <r>
    <d v="2024-01-15T00:00:00"/>
    <s v="D005"/>
    <s v="Great Lakes Dairy"/>
    <s v="P004"/>
    <x v="3"/>
    <n v="50"/>
    <n v="51.3"/>
    <x v="0"/>
    <x v="0"/>
  </r>
  <r>
    <d v="2024-01-15T00:00:00"/>
    <s v="D005"/>
    <s v="Great Lakes Dairy"/>
    <s v="P005"/>
    <x v="4"/>
    <n v="38"/>
    <n v="47.3"/>
    <x v="1"/>
    <x v="2"/>
  </r>
  <r>
    <d v="2024-01-15T00:00:00"/>
    <s v="D005"/>
    <s v="Great Lakes Dairy"/>
    <s v="P006"/>
    <x v="5"/>
    <n v="32"/>
    <n v="31.8"/>
    <x v="0"/>
    <x v="0"/>
  </r>
  <r>
    <d v="2024-01-16T00:00:00"/>
    <s v="D001"/>
    <s v="Green Valley Produce"/>
    <s v="P001"/>
    <x v="0"/>
    <n v="34"/>
    <n v="35.6"/>
    <x v="0"/>
    <x v="0"/>
  </r>
  <r>
    <d v="2024-01-16T00:00:00"/>
    <s v="D001"/>
    <s v="Green Valley Produce"/>
    <s v="P002"/>
    <x v="1"/>
    <n v="38"/>
    <n v="37.700000000000003"/>
    <x v="0"/>
    <x v="0"/>
  </r>
  <r>
    <d v="2024-01-16T00:00:00"/>
    <s v="D001"/>
    <s v="Green Valley Produce"/>
    <s v="P003"/>
    <x v="2"/>
    <n v="32"/>
    <n v="34.299999999999997"/>
    <x v="0"/>
    <x v="0"/>
  </r>
  <r>
    <d v="2024-01-16T00:00:00"/>
    <s v="D001"/>
    <s v="Green Valley Produce"/>
    <s v="P004"/>
    <x v="3"/>
    <n v="50"/>
    <n v="51.5"/>
    <x v="0"/>
    <x v="0"/>
  </r>
  <r>
    <d v="2024-01-16T00:00:00"/>
    <s v="D001"/>
    <s v="Green Valley Produce"/>
    <s v="P005"/>
    <x v="4"/>
    <n v="38"/>
    <n v="40.700000000000003"/>
    <x v="0"/>
    <x v="0"/>
  </r>
  <r>
    <d v="2024-01-16T00:00:00"/>
    <s v="D001"/>
    <s v="Green Valley Produce"/>
    <s v="P006"/>
    <x v="5"/>
    <n v="32"/>
    <n v="33.700000000000003"/>
    <x v="0"/>
    <x v="0"/>
  </r>
  <r>
    <d v="2024-01-16T00:00:00"/>
    <s v="D002"/>
    <s v="Fresh Coast Foods"/>
    <s v="P001"/>
    <x v="0"/>
    <n v="34"/>
    <n v="45.8"/>
    <x v="1"/>
    <x v="1"/>
  </r>
  <r>
    <d v="2024-01-16T00:00:00"/>
    <s v="D002"/>
    <s v="Fresh Coast Foods"/>
    <s v="P002"/>
    <x v="1"/>
    <n v="38"/>
    <n v="49.9"/>
    <x v="1"/>
    <x v="1"/>
  </r>
  <r>
    <d v="2024-01-16T00:00:00"/>
    <s v="D002"/>
    <s v="Fresh Coast Foods"/>
    <s v="P003"/>
    <x v="2"/>
    <n v="32"/>
    <n v="33.5"/>
    <x v="0"/>
    <x v="0"/>
  </r>
  <r>
    <d v="2024-01-16T00:00:00"/>
    <s v="D002"/>
    <s v="Fresh Coast Foods"/>
    <s v="P004"/>
    <x v="3"/>
    <n v="50"/>
    <n v="62.7"/>
    <x v="1"/>
    <x v="1"/>
  </r>
  <r>
    <d v="2024-01-16T00:00:00"/>
    <s v="D002"/>
    <s v="Fresh Coast Foods"/>
    <s v="P005"/>
    <x v="4"/>
    <n v="38"/>
    <n v="38.4"/>
    <x v="0"/>
    <x v="0"/>
  </r>
  <r>
    <d v="2024-01-16T00:00:00"/>
    <s v="D002"/>
    <s v="Fresh Coast Foods"/>
    <s v="P006"/>
    <x v="5"/>
    <n v="32"/>
    <n v="32.200000000000003"/>
    <x v="0"/>
    <x v="0"/>
  </r>
  <r>
    <d v="2024-01-16T00:00:00"/>
    <s v="D003"/>
    <s v="Heartland Meats"/>
    <s v="P001"/>
    <x v="0"/>
    <n v="34"/>
    <n v="34.299999999999997"/>
    <x v="0"/>
    <x v="0"/>
  </r>
  <r>
    <d v="2024-01-16T00:00:00"/>
    <s v="D003"/>
    <s v="Heartland Meats"/>
    <s v="P002"/>
    <x v="1"/>
    <n v="38"/>
    <n v="37.799999999999997"/>
    <x v="0"/>
    <x v="0"/>
  </r>
  <r>
    <d v="2024-01-16T00:00:00"/>
    <s v="D003"/>
    <s v="Heartland Meats"/>
    <s v="P003"/>
    <x v="2"/>
    <n v="32"/>
    <n v="34"/>
    <x v="0"/>
    <x v="0"/>
  </r>
  <r>
    <d v="2024-01-16T00:00:00"/>
    <s v="D003"/>
    <s v="Heartland Meats"/>
    <s v="P004"/>
    <x v="3"/>
    <n v="50"/>
    <n v="51.5"/>
    <x v="0"/>
    <x v="0"/>
  </r>
  <r>
    <d v="2024-01-16T00:00:00"/>
    <s v="D003"/>
    <s v="Heartland Meats"/>
    <s v="P005"/>
    <x v="4"/>
    <n v="38"/>
    <n v="39.799999999999997"/>
    <x v="0"/>
    <x v="0"/>
  </r>
  <r>
    <d v="2024-01-16T00:00:00"/>
    <s v="D003"/>
    <s v="Heartland Meats"/>
    <s v="P006"/>
    <x v="5"/>
    <n v="32"/>
    <n v="32.5"/>
    <x v="0"/>
    <x v="0"/>
  </r>
  <r>
    <d v="2024-01-16T00:00:00"/>
    <s v="D004"/>
    <s v="Southwest Organics"/>
    <s v="P001"/>
    <x v="0"/>
    <n v="34"/>
    <n v="35.1"/>
    <x v="0"/>
    <x v="0"/>
  </r>
  <r>
    <d v="2024-01-16T00:00:00"/>
    <s v="D004"/>
    <s v="Southwest Organics"/>
    <s v="P002"/>
    <x v="1"/>
    <n v="38"/>
    <n v="37.200000000000003"/>
    <x v="0"/>
    <x v="0"/>
  </r>
  <r>
    <d v="2024-01-16T00:00:00"/>
    <s v="D004"/>
    <s v="Southwest Organics"/>
    <s v="P003"/>
    <x v="2"/>
    <n v="32"/>
    <n v="33.799999999999997"/>
    <x v="0"/>
    <x v="0"/>
  </r>
  <r>
    <d v="2024-01-16T00:00:00"/>
    <s v="D004"/>
    <s v="Southwest Organics"/>
    <s v="P004"/>
    <x v="3"/>
    <n v="50"/>
    <n v="50.9"/>
    <x v="0"/>
    <x v="0"/>
  </r>
  <r>
    <d v="2024-01-16T00:00:00"/>
    <s v="D004"/>
    <s v="Southwest Organics"/>
    <s v="P005"/>
    <x v="4"/>
    <n v="38"/>
    <n v="37.299999999999997"/>
    <x v="0"/>
    <x v="0"/>
  </r>
  <r>
    <d v="2024-01-16T00:00:00"/>
    <s v="D004"/>
    <s v="Southwest Organics"/>
    <s v="P006"/>
    <x v="5"/>
    <n v="32"/>
    <n v="33.700000000000003"/>
    <x v="0"/>
    <x v="0"/>
  </r>
  <r>
    <d v="2024-01-16T00:00:00"/>
    <s v="D005"/>
    <s v="Great Lakes Dairy"/>
    <s v="P001"/>
    <x v="0"/>
    <n v="34"/>
    <n v="34.4"/>
    <x v="0"/>
    <x v="0"/>
  </r>
  <r>
    <d v="2024-01-16T00:00:00"/>
    <s v="D005"/>
    <s v="Great Lakes Dairy"/>
    <s v="P002"/>
    <x v="1"/>
    <n v="38"/>
    <n v="46.3"/>
    <x v="1"/>
    <x v="2"/>
  </r>
  <r>
    <d v="2024-01-16T00:00:00"/>
    <s v="D005"/>
    <s v="Great Lakes Dairy"/>
    <s v="P003"/>
    <x v="2"/>
    <n v="32"/>
    <n v="32.5"/>
    <x v="0"/>
    <x v="0"/>
  </r>
  <r>
    <d v="2024-01-16T00:00:00"/>
    <s v="D005"/>
    <s v="Great Lakes Dairy"/>
    <s v="P004"/>
    <x v="3"/>
    <n v="50"/>
    <n v="51"/>
    <x v="0"/>
    <x v="0"/>
  </r>
  <r>
    <d v="2024-01-16T00:00:00"/>
    <s v="D005"/>
    <s v="Great Lakes Dairy"/>
    <s v="P005"/>
    <x v="4"/>
    <n v="38"/>
    <n v="40.6"/>
    <x v="0"/>
    <x v="0"/>
  </r>
  <r>
    <d v="2024-01-16T00:00:00"/>
    <s v="D005"/>
    <s v="Great Lakes Dairy"/>
    <s v="P006"/>
    <x v="5"/>
    <n v="32"/>
    <n v="33.4"/>
    <x v="0"/>
    <x v="0"/>
  </r>
  <r>
    <d v="2024-01-17T00:00:00"/>
    <s v="D001"/>
    <s v="Green Valley Produce"/>
    <s v="P001"/>
    <x v="0"/>
    <n v="34"/>
    <n v="41.6"/>
    <x v="1"/>
    <x v="2"/>
  </r>
  <r>
    <d v="2024-01-17T00:00:00"/>
    <s v="D001"/>
    <s v="Green Valley Produce"/>
    <s v="P002"/>
    <x v="1"/>
    <n v="38"/>
    <n v="39.200000000000003"/>
    <x v="0"/>
    <x v="0"/>
  </r>
  <r>
    <d v="2024-01-17T00:00:00"/>
    <s v="D001"/>
    <s v="Green Valley Produce"/>
    <s v="P003"/>
    <x v="2"/>
    <n v="32"/>
    <n v="31.2"/>
    <x v="0"/>
    <x v="0"/>
  </r>
  <r>
    <d v="2024-01-17T00:00:00"/>
    <s v="D001"/>
    <s v="Green Valley Produce"/>
    <s v="P004"/>
    <x v="3"/>
    <n v="50"/>
    <n v="50.2"/>
    <x v="0"/>
    <x v="0"/>
  </r>
  <r>
    <d v="2024-01-17T00:00:00"/>
    <s v="D001"/>
    <s v="Green Valley Produce"/>
    <s v="P005"/>
    <x v="4"/>
    <n v="38"/>
    <n v="40"/>
    <x v="0"/>
    <x v="0"/>
  </r>
  <r>
    <d v="2024-01-17T00:00:00"/>
    <s v="D001"/>
    <s v="Green Valley Produce"/>
    <s v="P006"/>
    <x v="5"/>
    <n v="32"/>
    <n v="43.5"/>
    <x v="1"/>
    <x v="1"/>
  </r>
  <r>
    <d v="2024-01-17T00:00:00"/>
    <s v="D002"/>
    <s v="Fresh Coast Foods"/>
    <s v="P001"/>
    <x v="0"/>
    <n v="34"/>
    <n v="34.200000000000003"/>
    <x v="0"/>
    <x v="0"/>
  </r>
  <r>
    <d v="2024-01-17T00:00:00"/>
    <s v="D002"/>
    <s v="Fresh Coast Foods"/>
    <s v="P002"/>
    <x v="1"/>
    <n v="38"/>
    <n v="40.9"/>
    <x v="0"/>
    <x v="0"/>
  </r>
  <r>
    <d v="2024-01-17T00:00:00"/>
    <s v="D002"/>
    <s v="Fresh Coast Foods"/>
    <s v="P003"/>
    <x v="2"/>
    <n v="32"/>
    <n v="31.2"/>
    <x v="0"/>
    <x v="0"/>
  </r>
  <r>
    <d v="2024-01-17T00:00:00"/>
    <s v="D002"/>
    <s v="Fresh Coast Foods"/>
    <s v="P004"/>
    <x v="3"/>
    <n v="50"/>
    <n v="50.5"/>
    <x v="0"/>
    <x v="0"/>
  </r>
  <r>
    <d v="2024-01-17T00:00:00"/>
    <s v="D002"/>
    <s v="Fresh Coast Foods"/>
    <s v="P005"/>
    <x v="4"/>
    <n v="38"/>
    <n v="41"/>
    <x v="0"/>
    <x v="0"/>
  </r>
  <r>
    <d v="2024-01-17T00:00:00"/>
    <s v="D002"/>
    <s v="Fresh Coast Foods"/>
    <s v="P006"/>
    <x v="5"/>
    <n v="32"/>
    <n v="34.799999999999997"/>
    <x v="0"/>
    <x v="0"/>
  </r>
  <r>
    <d v="2024-01-17T00:00:00"/>
    <s v="D003"/>
    <s v="Heartland Meats"/>
    <s v="P001"/>
    <x v="0"/>
    <n v="34"/>
    <n v="34.4"/>
    <x v="0"/>
    <x v="0"/>
  </r>
  <r>
    <d v="2024-01-17T00:00:00"/>
    <s v="D003"/>
    <s v="Heartland Meats"/>
    <s v="P002"/>
    <x v="1"/>
    <n v="38"/>
    <n v="37.5"/>
    <x v="0"/>
    <x v="0"/>
  </r>
  <r>
    <d v="2024-01-17T00:00:00"/>
    <s v="D003"/>
    <s v="Heartland Meats"/>
    <s v="P003"/>
    <x v="2"/>
    <n v="32"/>
    <n v="33.1"/>
    <x v="0"/>
    <x v="0"/>
  </r>
  <r>
    <d v="2024-01-17T00:00:00"/>
    <s v="D003"/>
    <s v="Heartland Meats"/>
    <s v="P004"/>
    <x v="3"/>
    <n v="50"/>
    <n v="52.5"/>
    <x v="0"/>
    <x v="0"/>
  </r>
  <r>
    <d v="2024-01-17T00:00:00"/>
    <s v="D003"/>
    <s v="Heartland Meats"/>
    <s v="P005"/>
    <x v="4"/>
    <n v="38"/>
    <n v="38.700000000000003"/>
    <x v="0"/>
    <x v="0"/>
  </r>
  <r>
    <d v="2024-01-17T00:00:00"/>
    <s v="D003"/>
    <s v="Heartland Meats"/>
    <s v="P006"/>
    <x v="5"/>
    <n v="32"/>
    <n v="32.700000000000003"/>
    <x v="0"/>
    <x v="0"/>
  </r>
  <r>
    <d v="2024-01-17T00:00:00"/>
    <s v="D004"/>
    <s v="Southwest Organics"/>
    <s v="P001"/>
    <x v="0"/>
    <n v="34"/>
    <n v="35.4"/>
    <x v="0"/>
    <x v="0"/>
  </r>
  <r>
    <d v="2024-01-17T00:00:00"/>
    <s v="D004"/>
    <s v="Southwest Organics"/>
    <s v="P002"/>
    <x v="1"/>
    <n v="38"/>
    <n v="37.5"/>
    <x v="0"/>
    <x v="0"/>
  </r>
  <r>
    <d v="2024-01-17T00:00:00"/>
    <s v="D004"/>
    <s v="Southwest Organics"/>
    <s v="P003"/>
    <x v="2"/>
    <n v="32"/>
    <n v="33.299999999999997"/>
    <x v="0"/>
    <x v="0"/>
  </r>
  <r>
    <d v="2024-01-17T00:00:00"/>
    <s v="D004"/>
    <s v="Southwest Organics"/>
    <s v="P004"/>
    <x v="3"/>
    <n v="50"/>
    <n v="49.8"/>
    <x v="0"/>
    <x v="0"/>
  </r>
  <r>
    <d v="2024-01-17T00:00:00"/>
    <s v="D004"/>
    <s v="Southwest Organics"/>
    <s v="P005"/>
    <x v="4"/>
    <n v="38"/>
    <n v="49.5"/>
    <x v="1"/>
    <x v="1"/>
  </r>
  <r>
    <d v="2024-01-17T00:00:00"/>
    <s v="D004"/>
    <s v="Southwest Organics"/>
    <s v="P006"/>
    <x v="5"/>
    <n v="32"/>
    <n v="34.6"/>
    <x v="0"/>
    <x v="0"/>
  </r>
  <r>
    <d v="2024-01-17T00:00:00"/>
    <s v="D005"/>
    <s v="Great Lakes Dairy"/>
    <s v="P001"/>
    <x v="0"/>
    <n v="34"/>
    <n v="36.6"/>
    <x v="0"/>
    <x v="0"/>
  </r>
  <r>
    <d v="2024-01-17T00:00:00"/>
    <s v="D005"/>
    <s v="Great Lakes Dairy"/>
    <s v="P002"/>
    <x v="1"/>
    <n v="38"/>
    <n v="39.6"/>
    <x v="0"/>
    <x v="0"/>
  </r>
  <r>
    <d v="2024-01-17T00:00:00"/>
    <s v="D005"/>
    <s v="Great Lakes Dairy"/>
    <s v="P003"/>
    <x v="2"/>
    <n v="32"/>
    <n v="31.6"/>
    <x v="0"/>
    <x v="0"/>
  </r>
  <r>
    <d v="2024-01-17T00:00:00"/>
    <s v="D005"/>
    <s v="Great Lakes Dairy"/>
    <s v="P004"/>
    <x v="3"/>
    <n v="50"/>
    <n v="60.3"/>
    <x v="1"/>
    <x v="1"/>
  </r>
  <r>
    <d v="2024-01-17T00:00:00"/>
    <s v="D005"/>
    <s v="Great Lakes Dairy"/>
    <s v="P005"/>
    <x v="4"/>
    <n v="38"/>
    <n v="37.700000000000003"/>
    <x v="0"/>
    <x v="0"/>
  </r>
  <r>
    <d v="2024-01-17T00:00:00"/>
    <s v="D005"/>
    <s v="Great Lakes Dairy"/>
    <s v="P006"/>
    <x v="5"/>
    <n v="32"/>
    <n v="31.6"/>
    <x v="0"/>
    <x v="0"/>
  </r>
  <r>
    <d v="2024-01-18T00:00:00"/>
    <s v="D001"/>
    <s v="Green Valley Produce"/>
    <s v="P001"/>
    <x v="0"/>
    <n v="34"/>
    <n v="42.5"/>
    <x v="1"/>
    <x v="2"/>
  </r>
  <r>
    <d v="2024-01-18T00:00:00"/>
    <s v="D001"/>
    <s v="Green Valley Produce"/>
    <s v="P002"/>
    <x v="1"/>
    <n v="38"/>
    <n v="40.799999999999997"/>
    <x v="0"/>
    <x v="0"/>
  </r>
  <r>
    <d v="2024-01-18T00:00:00"/>
    <s v="D001"/>
    <s v="Green Valley Produce"/>
    <s v="P003"/>
    <x v="2"/>
    <n v="32"/>
    <n v="34"/>
    <x v="0"/>
    <x v="0"/>
  </r>
  <r>
    <d v="2024-01-18T00:00:00"/>
    <s v="D001"/>
    <s v="Green Valley Produce"/>
    <s v="P004"/>
    <x v="3"/>
    <n v="50"/>
    <n v="51.5"/>
    <x v="0"/>
    <x v="0"/>
  </r>
  <r>
    <d v="2024-01-18T00:00:00"/>
    <s v="D001"/>
    <s v="Green Valley Produce"/>
    <s v="P005"/>
    <x v="4"/>
    <n v="38"/>
    <n v="37.6"/>
    <x v="0"/>
    <x v="0"/>
  </r>
  <r>
    <d v="2024-01-18T00:00:00"/>
    <s v="D001"/>
    <s v="Green Valley Produce"/>
    <s v="P006"/>
    <x v="5"/>
    <n v="32"/>
    <n v="31.5"/>
    <x v="0"/>
    <x v="0"/>
  </r>
  <r>
    <d v="2024-01-18T00:00:00"/>
    <s v="D002"/>
    <s v="Fresh Coast Foods"/>
    <s v="P001"/>
    <x v="0"/>
    <n v="34"/>
    <n v="47.9"/>
    <x v="1"/>
    <x v="1"/>
  </r>
  <r>
    <d v="2024-01-18T00:00:00"/>
    <s v="D002"/>
    <s v="Fresh Coast Foods"/>
    <s v="P002"/>
    <x v="1"/>
    <n v="38"/>
    <n v="39.4"/>
    <x v="0"/>
    <x v="0"/>
  </r>
  <r>
    <d v="2024-01-18T00:00:00"/>
    <s v="D002"/>
    <s v="Fresh Coast Foods"/>
    <s v="P003"/>
    <x v="2"/>
    <n v="32"/>
    <n v="33.4"/>
    <x v="0"/>
    <x v="0"/>
  </r>
  <r>
    <d v="2024-01-18T00:00:00"/>
    <s v="D002"/>
    <s v="Fresh Coast Foods"/>
    <s v="P004"/>
    <x v="3"/>
    <n v="50"/>
    <n v="49.1"/>
    <x v="0"/>
    <x v="0"/>
  </r>
  <r>
    <d v="2024-01-18T00:00:00"/>
    <s v="D002"/>
    <s v="Fresh Coast Foods"/>
    <s v="P005"/>
    <x v="4"/>
    <n v="38"/>
    <n v="50.2"/>
    <x v="1"/>
    <x v="1"/>
  </r>
  <r>
    <d v="2024-01-18T00:00:00"/>
    <s v="D002"/>
    <s v="Fresh Coast Foods"/>
    <s v="P006"/>
    <x v="5"/>
    <n v="32"/>
    <n v="44.8"/>
    <x v="1"/>
    <x v="1"/>
  </r>
  <r>
    <d v="2024-01-18T00:00:00"/>
    <s v="D003"/>
    <s v="Heartland Meats"/>
    <s v="P001"/>
    <x v="0"/>
    <n v="34"/>
    <n v="35.6"/>
    <x v="0"/>
    <x v="0"/>
  </r>
  <r>
    <d v="2024-01-18T00:00:00"/>
    <s v="D003"/>
    <s v="Heartland Meats"/>
    <s v="P002"/>
    <x v="1"/>
    <n v="38"/>
    <n v="38.5"/>
    <x v="0"/>
    <x v="0"/>
  </r>
  <r>
    <d v="2024-01-18T00:00:00"/>
    <s v="D003"/>
    <s v="Heartland Meats"/>
    <s v="P003"/>
    <x v="2"/>
    <n v="32"/>
    <n v="31.7"/>
    <x v="0"/>
    <x v="0"/>
  </r>
  <r>
    <d v="2024-01-18T00:00:00"/>
    <s v="D003"/>
    <s v="Heartland Meats"/>
    <s v="P004"/>
    <x v="3"/>
    <n v="50"/>
    <n v="50.6"/>
    <x v="0"/>
    <x v="0"/>
  </r>
  <r>
    <d v="2024-01-18T00:00:00"/>
    <s v="D003"/>
    <s v="Heartland Meats"/>
    <s v="P005"/>
    <x v="4"/>
    <n v="38"/>
    <n v="40.700000000000003"/>
    <x v="0"/>
    <x v="0"/>
  </r>
  <r>
    <d v="2024-01-18T00:00:00"/>
    <s v="D003"/>
    <s v="Heartland Meats"/>
    <s v="P006"/>
    <x v="5"/>
    <n v="32"/>
    <n v="31.9"/>
    <x v="0"/>
    <x v="0"/>
  </r>
  <r>
    <d v="2024-01-18T00:00:00"/>
    <s v="D004"/>
    <s v="Southwest Organics"/>
    <s v="P001"/>
    <x v="0"/>
    <n v="34"/>
    <n v="33.799999999999997"/>
    <x v="0"/>
    <x v="0"/>
  </r>
  <r>
    <d v="2024-01-18T00:00:00"/>
    <s v="D004"/>
    <s v="Southwest Organics"/>
    <s v="P002"/>
    <x v="1"/>
    <n v="38"/>
    <n v="37.700000000000003"/>
    <x v="0"/>
    <x v="0"/>
  </r>
  <r>
    <d v="2024-01-18T00:00:00"/>
    <s v="D004"/>
    <s v="Southwest Organics"/>
    <s v="P003"/>
    <x v="2"/>
    <n v="32"/>
    <n v="32.799999999999997"/>
    <x v="0"/>
    <x v="0"/>
  </r>
  <r>
    <d v="2024-01-18T00:00:00"/>
    <s v="D004"/>
    <s v="Southwest Organics"/>
    <s v="P004"/>
    <x v="3"/>
    <n v="50"/>
    <n v="51.8"/>
    <x v="0"/>
    <x v="0"/>
  </r>
  <r>
    <d v="2024-01-18T00:00:00"/>
    <s v="D004"/>
    <s v="Southwest Organics"/>
    <s v="P005"/>
    <x v="4"/>
    <n v="38"/>
    <n v="40.6"/>
    <x v="0"/>
    <x v="0"/>
  </r>
  <r>
    <d v="2024-01-18T00:00:00"/>
    <s v="D004"/>
    <s v="Southwest Organics"/>
    <s v="P006"/>
    <x v="5"/>
    <n v="32"/>
    <n v="34.1"/>
    <x v="0"/>
    <x v="0"/>
  </r>
  <r>
    <d v="2024-01-18T00:00:00"/>
    <s v="D005"/>
    <s v="Great Lakes Dairy"/>
    <s v="P001"/>
    <x v="0"/>
    <n v="34"/>
    <n v="36.299999999999997"/>
    <x v="0"/>
    <x v="0"/>
  </r>
  <r>
    <d v="2024-01-18T00:00:00"/>
    <s v="D005"/>
    <s v="Great Lakes Dairy"/>
    <s v="P002"/>
    <x v="1"/>
    <n v="38"/>
    <n v="38.6"/>
    <x v="0"/>
    <x v="0"/>
  </r>
  <r>
    <d v="2024-01-18T00:00:00"/>
    <s v="D005"/>
    <s v="Great Lakes Dairy"/>
    <s v="P003"/>
    <x v="2"/>
    <n v="32"/>
    <n v="33.299999999999997"/>
    <x v="0"/>
    <x v="0"/>
  </r>
  <r>
    <d v="2024-01-18T00:00:00"/>
    <s v="D005"/>
    <s v="Great Lakes Dairy"/>
    <s v="P004"/>
    <x v="3"/>
    <n v="50"/>
    <n v="51.6"/>
    <x v="0"/>
    <x v="0"/>
  </r>
  <r>
    <d v="2024-01-18T00:00:00"/>
    <s v="D005"/>
    <s v="Great Lakes Dairy"/>
    <s v="P005"/>
    <x v="4"/>
    <n v="38"/>
    <n v="37.200000000000003"/>
    <x v="0"/>
    <x v="0"/>
  </r>
  <r>
    <d v="2024-01-18T00:00:00"/>
    <s v="D005"/>
    <s v="Great Lakes Dairy"/>
    <s v="P006"/>
    <x v="5"/>
    <n v="32"/>
    <n v="41.7"/>
    <x v="1"/>
    <x v="2"/>
  </r>
  <r>
    <d v="2024-01-19T00:00:00"/>
    <s v="D001"/>
    <s v="Green Valley Produce"/>
    <s v="P001"/>
    <x v="0"/>
    <n v="34"/>
    <n v="36.5"/>
    <x v="0"/>
    <x v="0"/>
  </r>
  <r>
    <d v="2024-01-19T00:00:00"/>
    <s v="D001"/>
    <s v="Green Valley Produce"/>
    <s v="P002"/>
    <x v="1"/>
    <n v="38"/>
    <n v="39.200000000000003"/>
    <x v="0"/>
    <x v="0"/>
  </r>
  <r>
    <d v="2024-01-19T00:00:00"/>
    <s v="D001"/>
    <s v="Green Valley Produce"/>
    <s v="P003"/>
    <x v="2"/>
    <n v="32"/>
    <n v="31.2"/>
    <x v="0"/>
    <x v="0"/>
  </r>
  <r>
    <d v="2024-01-19T00:00:00"/>
    <s v="D001"/>
    <s v="Green Valley Produce"/>
    <s v="P004"/>
    <x v="3"/>
    <n v="50"/>
    <n v="52.1"/>
    <x v="0"/>
    <x v="0"/>
  </r>
  <r>
    <d v="2024-01-19T00:00:00"/>
    <s v="D001"/>
    <s v="Green Valley Produce"/>
    <s v="P005"/>
    <x v="4"/>
    <n v="38"/>
    <n v="37.799999999999997"/>
    <x v="0"/>
    <x v="0"/>
  </r>
  <r>
    <d v="2024-01-19T00:00:00"/>
    <s v="D001"/>
    <s v="Green Valley Produce"/>
    <s v="P006"/>
    <x v="5"/>
    <n v="32"/>
    <n v="34.5"/>
    <x v="0"/>
    <x v="0"/>
  </r>
  <r>
    <d v="2024-01-19T00:00:00"/>
    <s v="D002"/>
    <s v="Fresh Coast Foods"/>
    <s v="P001"/>
    <x v="0"/>
    <n v="34"/>
    <n v="34.1"/>
    <x v="0"/>
    <x v="0"/>
  </r>
  <r>
    <d v="2024-01-19T00:00:00"/>
    <s v="D002"/>
    <s v="Fresh Coast Foods"/>
    <s v="P002"/>
    <x v="1"/>
    <n v="38"/>
    <n v="46.4"/>
    <x v="1"/>
    <x v="2"/>
  </r>
  <r>
    <d v="2024-01-19T00:00:00"/>
    <s v="D002"/>
    <s v="Fresh Coast Foods"/>
    <s v="P003"/>
    <x v="2"/>
    <n v="32"/>
    <n v="33.799999999999997"/>
    <x v="0"/>
    <x v="0"/>
  </r>
  <r>
    <d v="2024-01-19T00:00:00"/>
    <s v="D002"/>
    <s v="Fresh Coast Foods"/>
    <s v="P004"/>
    <x v="3"/>
    <n v="50"/>
    <n v="50.9"/>
    <x v="0"/>
    <x v="0"/>
  </r>
  <r>
    <d v="2024-01-19T00:00:00"/>
    <s v="D002"/>
    <s v="Fresh Coast Foods"/>
    <s v="P005"/>
    <x v="4"/>
    <n v="38"/>
    <n v="37.4"/>
    <x v="0"/>
    <x v="0"/>
  </r>
  <r>
    <d v="2024-01-19T00:00:00"/>
    <s v="D002"/>
    <s v="Fresh Coast Foods"/>
    <s v="P006"/>
    <x v="5"/>
    <n v="32"/>
    <n v="31.7"/>
    <x v="0"/>
    <x v="0"/>
  </r>
  <r>
    <d v="2024-01-19T00:00:00"/>
    <s v="D003"/>
    <s v="Heartland Meats"/>
    <s v="P001"/>
    <x v="0"/>
    <n v="34"/>
    <n v="36.6"/>
    <x v="0"/>
    <x v="0"/>
  </r>
  <r>
    <d v="2024-01-19T00:00:00"/>
    <s v="D003"/>
    <s v="Heartland Meats"/>
    <s v="P002"/>
    <x v="1"/>
    <n v="38"/>
    <n v="38.6"/>
    <x v="0"/>
    <x v="0"/>
  </r>
  <r>
    <d v="2024-01-19T00:00:00"/>
    <s v="D003"/>
    <s v="Heartland Meats"/>
    <s v="P003"/>
    <x v="2"/>
    <n v="32"/>
    <n v="31.1"/>
    <x v="0"/>
    <x v="0"/>
  </r>
  <r>
    <d v="2024-01-19T00:00:00"/>
    <s v="D003"/>
    <s v="Heartland Meats"/>
    <s v="P004"/>
    <x v="3"/>
    <n v="50"/>
    <n v="52.6"/>
    <x v="0"/>
    <x v="0"/>
  </r>
  <r>
    <d v="2024-01-19T00:00:00"/>
    <s v="D003"/>
    <s v="Heartland Meats"/>
    <s v="P005"/>
    <x v="4"/>
    <n v="38"/>
    <n v="40.5"/>
    <x v="0"/>
    <x v="0"/>
  </r>
  <r>
    <d v="2024-01-19T00:00:00"/>
    <s v="D003"/>
    <s v="Heartland Meats"/>
    <s v="P006"/>
    <x v="5"/>
    <n v="32"/>
    <n v="40.6"/>
    <x v="1"/>
    <x v="2"/>
  </r>
  <r>
    <d v="2024-01-19T00:00:00"/>
    <s v="D004"/>
    <s v="Southwest Organics"/>
    <s v="P001"/>
    <x v="0"/>
    <n v="34"/>
    <n v="35.799999999999997"/>
    <x v="0"/>
    <x v="0"/>
  </r>
  <r>
    <d v="2024-01-19T00:00:00"/>
    <s v="D004"/>
    <s v="Southwest Organics"/>
    <s v="P002"/>
    <x v="1"/>
    <n v="38"/>
    <n v="49.9"/>
    <x v="1"/>
    <x v="1"/>
  </r>
  <r>
    <d v="2024-01-19T00:00:00"/>
    <s v="D004"/>
    <s v="Southwest Organics"/>
    <s v="P003"/>
    <x v="2"/>
    <n v="32"/>
    <n v="43.6"/>
    <x v="1"/>
    <x v="1"/>
  </r>
  <r>
    <d v="2024-01-19T00:00:00"/>
    <s v="D004"/>
    <s v="Southwest Organics"/>
    <s v="P004"/>
    <x v="3"/>
    <n v="50"/>
    <n v="49.3"/>
    <x v="0"/>
    <x v="0"/>
  </r>
  <r>
    <d v="2024-01-19T00:00:00"/>
    <s v="D004"/>
    <s v="Southwest Organics"/>
    <s v="P005"/>
    <x v="4"/>
    <n v="38"/>
    <n v="39.9"/>
    <x v="0"/>
    <x v="0"/>
  </r>
  <r>
    <d v="2024-01-19T00:00:00"/>
    <s v="D004"/>
    <s v="Southwest Organics"/>
    <s v="P006"/>
    <x v="5"/>
    <n v="32"/>
    <n v="33.4"/>
    <x v="0"/>
    <x v="0"/>
  </r>
  <r>
    <d v="2024-01-19T00:00:00"/>
    <s v="D005"/>
    <s v="Great Lakes Dairy"/>
    <s v="P001"/>
    <x v="0"/>
    <n v="34"/>
    <n v="44.4"/>
    <x v="1"/>
    <x v="1"/>
  </r>
  <r>
    <d v="2024-01-19T00:00:00"/>
    <s v="D005"/>
    <s v="Great Lakes Dairy"/>
    <s v="P002"/>
    <x v="1"/>
    <n v="38"/>
    <n v="45.4"/>
    <x v="1"/>
    <x v="2"/>
  </r>
  <r>
    <d v="2024-01-19T00:00:00"/>
    <s v="D005"/>
    <s v="Great Lakes Dairy"/>
    <s v="P003"/>
    <x v="2"/>
    <n v="32"/>
    <n v="34.5"/>
    <x v="0"/>
    <x v="0"/>
  </r>
  <r>
    <d v="2024-01-19T00:00:00"/>
    <s v="D005"/>
    <s v="Great Lakes Dairy"/>
    <s v="P004"/>
    <x v="3"/>
    <n v="50"/>
    <n v="49.6"/>
    <x v="0"/>
    <x v="0"/>
  </r>
  <r>
    <d v="2024-01-19T00:00:00"/>
    <s v="D005"/>
    <s v="Great Lakes Dairy"/>
    <s v="P005"/>
    <x v="4"/>
    <n v="38"/>
    <n v="50.2"/>
    <x v="1"/>
    <x v="1"/>
  </r>
  <r>
    <d v="2024-01-19T00:00:00"/>
    <s v="D005"/>
    <s v="Great Lakes Dairy"/>
    <s v="P006"/>
    <x v="5"/>
    <n v="32"/>
    <n v="40.5"/>
    <x v="1"/>
    <x v="2"/>
  </r>
  <r>
    <d v="2024-01-20T00:00:00"/>
    <s v="D001"/>
    <s v="Green Valley Produce"/>
    <s v="P001"/>
    <x v="0"/>
    <n v="34"/>
    <n v="36.799999999999997"/>
    <x v="0"/>
    <x v="0"/>
  </r>
  <r>
    <d v="2024-01-20T00:00:00"/>
    <s v="D001"/>
    <s v="Green Valley Produce"/>
    <s v="P002"/>
    <x v="1"/>
    <n v="38"/>
    <n v="37.700000000000003"/>
    <x v="0"/>
    <x v="0"/>
  </r>
  <r>
    <d v="2024-01-20T00:00:00"/>
    <s v="D001"/>
    <s v="Green Valley Produce"/>
    <s v="P003"/>
    <x v="2"/>
    <n v="32"/>
    <n v="34.799999999999997"/>
    <x v="0"/>
    <x v="0"/>
  </r>
  <r>
    <d v="2024-01-20T00:00:00"/>
    <s v="D001"/>
    <s v="Green Valley Produce"/>
    <s v="P004"/>
    <x v="3"/>
    <n v="50"/>
    <n v="62.1"/>
    <x v="1"/>
    <x v="1"/>
  </r>
  <r>
    <d v="2024-01-20T00:00:00"/>
    <s v="D001"/>
    <s v="Green Valley Produce"/>
    <s v="P005"/>
    <x v="4"/>
    <n v="38"/>
    <n v="48"/>
    <x v="1"/>
    <x v="2"/>
  </r>
  <r>
    <d v="2024-01-20T00:00:00"/>
    <s v="D001"/>
    <s v="Green Valley Produce"/>
    <s v="P006"/>
    <x v="5"/>
    <n v="32"/>
    <n v="34.200000000000003"/>
    <x v="0"/>
    <x v="0"/>
  </r>
  <r>
    <d v="2024-01-20T00:00:00"/>
    <s v="D002"/>
    <s v="Fresh Coast Foods"/>
    <s v="P001"/>
    <x v="0"/>
    <n v="34"/>
    <n v="35"/>
    <x v="0"/>
    <x v="0"/>
  </r>
  <r>
    <d v="2024-01-20T00:00:00"/>
    <s v="D002"/>
    <s v="Fresh Coast Foods"/>
    <s v="P002"/>
    <x v="1"/>
    <n v="38"/>
    <n v="39.6"/>
    <x v="0"/>
    <x v="0"/>
  </r>
  <r>
    <d v="2024-01-20T00:00:00"/>
    <s v="D002"/>
    <s v="Fresh Coast Foods"/>
    <s v="P003"/>
    <x v="2"/>
    <n v="32"/>
    <n v="32.799999999999997"/>
    <x v="0"/>
    <x v="0"/>
  </r>
  <r>
    <d v="2024-01-20T00:00:00"/>
    <s v="D002"/>
    <s v="Fresh Coast Foods"/>
    <s v="P004"/>
    <x v="3"/>
    <n v="50"/>
    <n v="49"/>
    <x v="0"/>
    <x v="0"/>
  </r>
  <r>
    <d v="2024-01-20T00:00:00"/>
    <s v="D002"/>
    <s v="Fresh Coast Foods"/>
    <s v="P005"/>
    <x v="4"/>
    <n v="38"/>
    <n v="38.1"/>
    <x v="0"/>
    <x v="0"/>
  </r>
  <r>
    <d v="2024-01-20T00:00:00"/>
    <s v="D002"/>
    <s v="Fresh Coast Foods"/>
    <s v="P006"/>
    <x v="5"/>
    <n v="32"/>
    <n v="34.299999999999997"/>
    <x v="0"/>
    <x v="0"/>
  </r>
  <r>
    <d v="2024-01-20T00:00:00"/>
    <s v="D003"/>
    <s v="Heartland Meats"/>
    <s v="P001"/>
    <x v="0"/>
    <n v="34"/>
    <n v="33.700000000000003"/>
    <x v="0"/>
    <x v="0"/>
  </r>
  <r>
    <d v="2024-01-20T00:00:00"/>
    <s v="D003"/>
    <s v="Heartland Meats"/>
    <s v="P002"/>
    <x v="1"/>
    <n v="38"/>
    <n v="46.8"/>
    <x v="1"/>
    <x v="2"/>
  </r>
  <r>
    <d v="2024-01-20T00:00:00"/>
    <s v="D003"/>
    <s v="Heartland Meats"/>
    <s v="P003"/>
    <x v="2"/>
    <n v="32"/>
    <n v="38.299999999999997"/>
    <x v="1"/>
    <x v="2"/>
  </r>
  <r>
    <d v="2024-01-20T00:00:00"/>
    <s v="D003"/>
    <s v="Heartland Meats"/>
    <s v="P004"/>
    <x v="3"/>
    <n v="50"/>
    <n v="51.4"/>
    <x v="0"/>
    <x v="0"/>
  </r>
  <r>
    <d v="2024-01-20T00:00:00"/>
    <s v="D003"/>
    <s v="Heartland Meats"/>
    <s v="P005"/>
    <x v="4"/>
    <n v="38"/>
    <n v="37.4"/>
    <x v="0"/>
    <x v="0"/>
  </r>
  <r>
    <d v="2024-01-20T00:00:00"/>
    <s v="D003"/>
    <s v="Heartland Meats"/>
    <s v="P006"/>
    <x v="5"/>
    <n v="32"/>
    <n v="45.9"/>
    <x v="1"/>
    <x v="1"/>
  </r>
  <r>
    <d v="2024-01-20T00:00:00"/>
    <s v="D004"/>
    <s v="Southwest Organics"/>
    <s v="P001"/>
    <x v="0"/>
    <n v="34"/>
    <n v="42.3"/>
    <x v="1"/>
    <x v="2"/>
  </r>
  <r>
    <d v="2024-01-20T00:00:00"/>
    <s v="D004"/>
    <s v="Southwest Organics"/>
    <s v="P002"/>
    <x v="1"/>
    <n v="38"/>
    <n v="39.799999999999997"/>
    <x v="0"/>
    <x v="0"/>
  </r>
  <r>
    <d v="2024-01-20T00:00:00"/>
    <s v="D004"/>
    <s v="Southwest Organics"/>
    <s v="P003"/>
    <x v="2"/>
    <n v="32"/>
    <n v="33.200000000000003"/>
    <x v="0"/>
    <x v="0"/>
  </r>
  <r>
    <d v="2024-01-20T00:00:00"/>
    <s v="D004"/>
    <s v="Southwest Organics"/>
    <s v="P004"/>
    <x v="3"/>
    <n v="50"/>
    <n v="52"/>
    <x v="0"/>
    <x v="0"/>
  </r>
  <r>
    <d v="2024-01-20T00:00:00"/>
    <s v="D004"/>
    <s v="Southwest Organics"/>
    <s v="P005"/>
    <x v="4"/>
    <n v="38"/>
    <n v="37.1"/>
    <x v="0"/>
    <x v="0"/>
  </r>
  <r>
    <d v="2024-01-20T00:00:00"/>
    <s v="D004"/>
    <s v="Southwest Organics"/>
    <s v="P006"/>
    <x v="5"/>
    <n v="32"/>
    <n v="32.299999999999997"/>
    <x v="0"/>
    <x v="0"/>
  </r>
  <r>
    <d v="2024-01-20T00:00:00"/>
    <s v="D005"/>
    <s v="Great Lakes Dairy"/>
    <s v="P001"/>
    <x v="0"/>
    <n v="34"/>
    <n v="36.299999999999997"/>
    <x v="0"/>
    <x v="0"/>
  </r>
  <r>
    <d v="2024-01-20T00:00:00"/>
    <s v="D005"/>
    <s v="Great Lakes Dairy"/>
    <s v="P002"/>
    <x v="1"/>
    <n v="38"/>
    <n v="40.4"/>
    <x v="0"/>
    <x v="0"/>
  </r>
  <r>
    <d v="2024-01-20T00:00:00"/>
    <s v="D005"/>
    <s v="Great Lakes Dairy"/>
    <s v="P003"/>
    <x v="2"/>
    <n v="32"/>
    <n v="41.8"/>
    <x v="1"/>
    <x v="2"/>
  </r>
  <r>
    <d v="2024-01-20T00:00:00"/>
    <s v="D005"/>
    <s v="Great Lakes Dairy"/>
    <s v="P004"/>
    <x v="3"/>
    <n v="50"/>
    <n v="62.9"/>
    <x v="1"/>
    <x v="1"/>
  </r>
  <r>
    <d v="2024-01-20T00:00:00"/>
    <s v="D005"/>
    <s v="Great Lakes Dairy"/>
    <s v="P005"/>
    <x v="4"/>
    <n v="38"/>
    <n v="38.700000000000003"/>
    <x v="0"/>
    <x v="0"/>
  </r>
  <r>
    <d v="2024-01-20T00:00:00"/>
    <s v="D005"/>
    <s v="Great Lakes Dairy"/>
    <s v="P006"/>
    <x v="5"/>
    <n v="32"/>
    <n v="31.8"/>
    <x v="0"/>
    <x v="0"/>
  </r>
  <r>
    <d v="2024-01-21T00:00:00"/>
    <s v="D001"/>
    <s v="Green Valley Produce"/>
    <s v="P001"/>
    <x v="0"/>
    <n v="34"/>
    <n v="44.6"/>
    <x v="1"/>
    <x v="1"/>
  </r>
  <r>
    <d v="2024-01-21T00:00:00"/>
    <s v="D001"/>
    <s v="Green Valley Produce"/>
    <s v="P002"/>
    <x v="1"/>
    <n v="38"/>
    <n v="39.1"/>
    <x v="0"/>
    <x v="0"/>
  </r>
  <r>
    <d v="2024-01-21T00:00:00"/>
    <s v="D001"/>
    <s v="Green Valley Produce"/>
    <s v="P003"/>
    <x v="2"/>
    <n v="32"/>
    <n v="43.8"/>
    <x v="1"/>
    <x v="1"/>
  </r>
  <r>
    <d v="2024-01-21T00:00:00"/>
    <s v="D001"/>
    <s v="Green Valley Produce"/>
    <s v="P004"/>
    <x v="3"/>
    <n v="50"/>
    <n v="52.2"/>
    <x v="0"/>
    <x v="0"/>
  </r>
  <r>
    <d v="2024-01-21T00:00:00"/>
    <s v="D001"/>
    <s v="Green Valley Produce"/>
    <s v="P005"/>
    <x v="4"/>
    <n v="38"/>
    <n v="38.700000000000003"/>
    <x v="0"/>
    <x v="0"/>
  </r>
  <r>
    <d v="2024-01-21T00:00:00"/>
    <s v="D001"/>
    <s v="Green Valley Produce"/>
    <s v="P006"/>
    <x v="5"/>
    <n v="32"/>
    <n v="32"/>
    <x v="0"/>
    <x v="0"/>
  </r>
  <r>
    <d v="2024-01-21T00:00:00"/>
    <s v="D002"/>
    <s v="Fresh Coast Foods"/>
    <s v="P001"/>
    <x v="0"/>
    <n v="34"/>
    <n v="35.5"/>
    <x v="0"/>
    <x v="0"/>
  </r>
  <r>
    <d v="2024-01-21T00:00:00"/>
    <s v="D002"/>
    <s v="Fresh Coast Foods"/>
    <s v="P002"/>
    <x v="1"/>
    <n v="38"/>
    <n v="39.5"/>
    <x v="0"/>
    <x v="0"/>
  </r>
  <r>
    <d v="2024-01-21T00:00:00"/>
    <s v="D002"/>
    <s v="Fresh Coast Foods"/>
    <s v="P003"/>
    <x v="2"/>
    <n v="32"/>
    <n v="33.9"/>
    <x v="0"/>
    <x v="0"/>
  </r>
  <r>
    <d v="2024-01-21T00:00:00"/>
    <s v="D002"/>
    <s v="Fresh Coast Foods"/>
    <s v="P004"/>
    <x v="3"/>
    <n v="50"/>
    <n v="52.2"/>
    <x v="0"/>
    <x v="0"/>
  </r>
  <r>
    <d v="2024-01-21T00:00:00"/>
    <s v="D002"/>
    <s v="Fresh Coast Foods"/>
    <s v="P005"/>
    <x v="4"/>
    <n v="38"/>
    <n v="37.9"/>
    <x v="0"/>
    <x v="0"/>
  </r>
  <r>
    <d v="2024-01-21T00:00:00"/>
    <s v="D002"/>
    <s v="Fresh Coast Foods"/>
    <s v="P006"/>
    <x v="5"/>
    <n v="32"/>
    <n v="31.8"/>
    <x v="0"/>
    <x v="0"/>
  </r>
  <r>
    <d v="2024-01-21T00:00:00"/>
    <s v="D003"/>
    <s v="Heartland Meats"/>
    <s v="P001"/>
    <x v="0"/>
    <n v="34"/>
    <n v="43.7"/>
    <x v="1"/>
    <x v="2"/>
  </r>
  <r>
    <d v="2024-01-21T00:00:00"/>
    <s v="D003"/>
    <s v="Heartland Meats"/>
    <s v="P002"/>
    <x v="1"/>
    <n v="38"/>
    <n v="39.9"/>
    <x v="0"/>
    <x v="0"/>
  </r>
  <r>
    <d v="2024-01-21T00:00:00"/>
    <s v="D003"/>
    <s v="Heartland Meats"/>
    <s v="P003"/>
    <x v="2"/>
    <n v="32"/>
    <n v="33.5"/>
    <x v="0"/>
    <x v="0"/>
  </r>
  <r>
    <d v="2024-01-21T00:00:00"/>
    <s v="D003"/>
    <s v="Heartland Meats"/>
    <s v="P004"/>
    <x v="3"/>
    <n v="50"/>
    <n v="49.2"/>
    <x v="0"/>
    <x v="0"/>
  </r>
  <r>
    <d v="2024-01-21T00:00:00"/>
    <s v="D003"/>
    <s v="Heartland Meats"/>
    <s v="P005"/>
    <x v="4"/>
    <n v="38"/>
    <n v="40.200000000000003"/>
    <x v="0"/>
    <x v="0"/>
  </r>
  <r>
    <d v="2024-01-21T00:00:00"/>
    <s v="D003"/>
    <s v="Heartland Meats"/>
    <s v="P006"/>
    <x v="5"/>
    <n v="32"/>
    <n v="33.6"/>
    <x v="0"/>
    <x v="0"/>
  </r>
  <r>
    <d v="2024-01-21T00:00:00"/>
    <s v="D004"/>
    <s v="Southwest Organics"/>
    <s v="P001"/>
    <x v="0"/>
    <n v="34"/>
    <n v="34"/>
    <x v="0"/>
    <x v="0"/>
  </r>
  <r>
    <d v="2024-01-21T00:00:00"/>
    <s v="D004"/>
    <s v="Southwest Organics"/>
    <s v="P002"/>
    <x v="1"/>
    <n v="38"/>
    <n v="46.4"/>
    <x v="1"/>
    <x v="2"/>
  </r>
  <r>
    <d v="2024-01-21T00:00:00"/>
    <s v="D004"/>
    <s v="Southwest Organics"/>
    <s v="P003"/>
    <x v="2"/>
    <n v="32"/>
    <n v="34.1"/>
    <x v="0"/>
    <x v="0"/>
  </r>
  <r>
    <d v="2024-01-21T00:00:00"/>
    <s v="D004"/>
    <s v="Southwest Organics"/>
    <s v="P004"/>
    <x v="3"/>
    <n v="50"/>
    <n v="58.7"/>
    <x v="1"/>
    <x v="2"/>
  </r>
  <r>
    <d v="2024-01-21T00:00:00"/>
    <s v="D004"/>
    <s v="Southwest Organics"/>
    <s v="P005"/>
    <x v="4"/>
    <n v="38"/>
    <n v="39.299999999999997"/>
    <x v="0"/>
    <x v="0"/>
  </r>
  <r>
    <d v="2024-01-21T00:00:00"/>
    <s v="D004"/>
    <s v="Southwest Organics"/>
    <s v="P006"/>
    <x v="5"/>
    <n v="32"/>
    <n v="34.299999999999997"/>
    <x v="0"/>
    <x v="0"/>
  </r>
  <r>
    <d v="2024-01-21T00:00:00"/>
    <s v="D005"/>
    <s v="Great Lakes Dairy"/>
    <s v="P001"/>
    <x v="0"/>
    <n v="34"/>
    <n v="36.299999999999997"/>
    <x v="0"/>
    <x v="0"/>
  </r>
  <r>
    <d v="2024-01-21T00:00:00"/>
    <s v="D005"/>
    <s v="Great Lakes Dairy"/>
    <s v="P002"/>
    <x v="1"/>
    <n v="38"/>
    <n v="38.9"/>
    <x v="0"/>
    <x v="0"/>
  </r>
  <r>
    <d v="2024-01-21T00:00:00"/>
    <s v="D005"/>
    <s v="Great Lakes Dairy"/>
    <s v="P003"/>
    <x v="2"/>
    <n v="32"/>
    <n v="31.1"/>
    <x v="0"/>
    <x v="0"/>
  </r>
  <r>
    <d v="2024-01-21T00:00:00"/>
    <s v="D005"/>
    <s v="Great Lakes Dairy"/>
    <s v="P004"/>
    <x v="3"/>
    <n v="50"/>
    <n v="57.2"/>
    <x v="1"/>
    <x v="2"/>
  </r>
  <r>
    <d v="2024-01-21T00:00:00"/>
    <s v="D005"/>
    <s v="Great Lakes Dairy"/>
    <s v="P005"/>
    <x v="4"/>
    <n v="38"/>
    <n v="40.5"/>
    <x v="0"/>
    <x v="0"/>
  </r>
  <r>
    <d v="2024-01-21T00:00:00"/>
    <s v="D005"/>
    <s v="Great Lakes Dairy"/>
    <s v="P006"/>
    <x v="5"/>
    <n v="32"/>
    <n v="32.799999999999997"/>
    <x v="0"/>
    <x v="0"/>
  </r>
  <r>
    <d v="2024-01-22T00:00:00"/>
    <s v="D001"/>
    <s v="Green Valley Produce"/>
    <s v="P001"/>
    <x v="0"/>
    <n v="34"/>
    <n v="36.700000000000003"/>
    <x v="0"/>
    <x v="0"/>
  </r>
  <r>
    <d v="2024-01-22T00:00:00"/>
    <s v="D001"/>
    <s v="Green Valley Produce"/>
    <s v="P002"/>
    <x v="1"/>
    <n v="38"/>
    <n v="48.2"/>
    <x v="1"/>
    <x v="1"/>
  </r>
  <r>
    <d v="2024-01-22T00:00:00"/>
    <s v="D001"/>
    <s v="Green Valley Produce"/>
    <s v="P003"/>
    <x v="2"/>
    <n v="32"/>
    <n v="33.700000000000003"/>
    <x v="0"/>
    <x v="0"/>
  </r>
  <r>
    <d v="2024-01-22T00:00:00"/>
    <s v="D001"/>
    <s v="Green Valley Produce"/>
    <s v="P004"/>
    <x v="3"/>
    <n v="50"/>
    <n v="49.1"/>
    <x v="0"/>
    <x v="0"/>
  </r>
  <r>
    <d v="2024-01-22T00:00:00"/>
    <s v="D001"/>
    <s v="Green Valley Produce"/>
    <s v="P005"/>
    <x v="4"/>
    <n v="38"/>
    <n v="38.299999999999997"/>
    <x v="0"/>
    <x v="0"/>
  </r>
  <r>
    <d v="2024-01-22T00:00:00"/>
    <s v="D001"/>
    <s v="Green Valley Produce"/>
    <s v="P006"/>
    <x v="5"/>
    <n v="32"/>
    <n v="34.200000000000003"/>
    <x v="0"/>
    <x v="0"/>
  </r>
  <r>
    <d v="2024-01-22T00:00:00"/>
    <s v="D002"/>
    <s v="Fresh Coast Foods"/>
    <s v="P001"/>
    <x v="0"/>
    <n v="34"/>
    <n v="41.2"/>
    <x v="1"/>
    <x v="2"/>
  </r>
  <r>
    <d v="2024-01-22T00:00:00"/>
    <s v="D002"/>
    <s v="Fresh Coast Foods"/>
    <s v="P002"/>
    <x v="1"/>
    <n v="38"/>
    <n v="38.4"/>
    <x v="0"/>
    <x v="0"/>
  </r>
  <r>
    <d v="2024-01-22T00:00:00"/>
    <s v="D002"/>
    <s v="Fresh Coast Foods"/>
    <s v="P003"/>
    <x v="2"/>
    <n v="32"/>
    <n v="33.1"/>
    <x v="0"/>
    <x v="0"/>
  </r>
  <r>
    <d v="2024-01-22T00:00:00"/>
    <s v="D002"/>
    <s v="Fresh Coast Foods"/>
    <s v="P004"/>
    <x v="3"/>
    <n v="50"/>
    <n v="60.8"/>
    <x v="1"/>
    <x v="1"/>
  </r>
  <r>
    <d v="2024-01-22T00:00:00"/>
    <s v="D002"/>
    <s v="Fresh Coast Foods"/>
    <s v="P005"/>
    <x v="4"/>
    <n v="38"/>
    <n v="37.5"/>
    <x v="0"/>
    <x v="0"/>
  </r>
  <r>
    <d v="2024-01-22T00:00:00"/>
    <s v="D002"/>
    <s v="Fresh Coast Foods"/>
    <s v="P006"/>
    <x v="5"/>
    <n v="32"/>
    <n v="32.200000000000003"/>
    <x v="0"/>
    <x v="0"/>
  </r>
  <r>
    <d v="2024-01-22T00:00:00"/>
    <s v="D003"/>
    <s v="Heartland Meats"/>
    <s v="P001"/>
    <x v="0"/>
    <n v="34"/>
    <n v="35.799999999999997"/>
    <x v="0"/>
    <x v="0"/>
  </r>
  <r>
    <d v="2024-01-22T00:00:00"/>
    <s v="D003"/>
    <s v="Heartland Meats"/>
    <s v="P002"/>
    <x v="1"/>
    <n v="38"/>
    <n v="37.299999999999997"/>
    <x v="0"/>
    <x v="0"/>
  </r>
  <r>
    <d v="2024-01-22T00:00:00"/>
    <s v="D003"/>
    <s v="Heartland Meats"/>
    <s v="P003"/>
    <x v="2"/>
    <n v="32"/>
    <n v="32.5"/>
    <x v="0"/>
    <x v="0"/>
  </r>
  <r>
    <d v="2024-01-22T00:00:00"/>
    <s v="D003"/>
    <s v="Heartland Meats"/>
    <s v="P004"/>
    <x v="3"/>
    <n v="50"/>
    <n v="50.2"/>
    <x v="0"/>
    <x v="0"/>
  </r>
  <r>
    <d v="2024-01-22T00:00:00"/>
    <s v="D003"/>
    <s v="Heartland Meats"/>
    <s v="P005"/>
    <x v="4"/>
    <n v="38"/>
    <n v="37.700000000000003"/>
    <x v="0"/>
    <x v="0"/>
  </r>
  <r>
    <d v="2024-01-22T00:00:00"/>
    <s v="D003"/>
    <s v="Heartland Meats"/>
    <s v="P006"/>
    <x v="5"/>
    <n v="32"/>
    <n v="31.1"/>
    <x v="0"/>
    <x v="0"/>
  </r>
  <r>
    <d v="2024-01-22T00:00:00"/>
    <s v="D004"/>
    <s v="Southwest Organics"/>
    <s v="P001"/>
    <x v="0"/>
    <n v="34"/>
    <n v="33.4"/>
    <x v="0"/>
    <x v="0"/>
  </r>
  <r>
    <d v="2024-01-22T00:00:00"/>
    <s v="D004"/>
    <s v="Southwest Organics"/>
    <s v="P002"/>
    <x v="1"/>
    <n v="38"/>
    <n v="40.200000000000003"/>
    <x v="0"/>
    <x v="0"/>
  </r>
  <r>
    <d v="2024-01-22T00:00:00"/>
    <s v="D004"/>
    <s v="Southwest Organics"/>
    <s v="P003"/>
    <x v="2"/>
    <n v="32"/>
    <n v="31.6"/>
    <x v="0"/>
    <x v="0"/>
  </r>
  <r>
    <d v="2024-01-22T00:00:00"/>
    <s v="D004"/>
    <s v="Southwest Organics"/>
    <s v="P004"/>
    <x v="3"/>
    <n v="50"/>
    <n v="50.9"/>
    <x v="0"/>
    <x v="0"/>
  </r>
  <r>
    <d v="2024-01-22T00:00:00"/>
    <s v="D004"/>
    <s v="Southwest Organics"/>
    <s v="P005"/>
    <x v="4"/>
    <n v="38"/>
    <n v="38.200000000000003"/>
    <x v="0"/>
    <x v="0"/>
  </r>
  <r>
    <d v="2024-01-22T00:00:00"/>
    <s v="D004"/>
    <s v="Southwest Organics"/>
    <s v="P006"/>
    <x v="5"/>
    <n v="32"/>
    <n v="34.1"/>
    <x v="0"/>
    <x v="0"/>
  </r>
  <r>
    <d v="2024-01-22T00:00:00"/>
    <s v="D005"/>
    <s v="Great Lakes Dairy"/>
    <s v="P001"/>
    <x v="0"/>
    <n v="34"/>
    <n v="47.9"/>
    <x v="1"/>
    <x v="1"/>
  </r>
  <r>
    <d v="2024-01-22T00:00:00"/>
    <s v="D005"/>
    <s v="Great Lakes Dairy"/>
    <s v="P002"/>
    <x v="1"/>
    <n v="38"/>
    <n v="41"/>
    <x v="0"/>
    <x v="0"/>
  </r>
  <r>
    <d v="2024-01-22T00:00:00"/>
    <s v="D005"/>
    <s v="Great Lakes Dairy"/>
    <s v="P003"/>
    <x v="2"/>
    <n v="32"/>
    <n v="31.1"/>
    <x v="0"/>
    <x v="0"/>
  </r>
  <r>
    <d v="2024-01-22T00:00:00"/>
    <s v="D005"/>
    <s v="Great Lakes Dairy"/>
    <s v="P004"/>
    <x v="3"/>
    <n v="50"/>
    <n v="52.5"/>
    <x v="0"/>
    <x v="0"/>
  </r>
  <r>
    <d v="2024-01-22T00:00:00"/>
    <s v="D005"/>
    <s v="Great Lakes Dairy"/>
    <s v="P005"/>
    <x v="4"/>
    <n v="38"/>
    <n v="46.5"/>
    <x v="1"/>
    <x v="2"/>
  </r>
  <r>
    <d v="2024-01-22T00:00:00"/>
    <s v="D005"/>
    <s v="Great Lakes Dairy"/>
    <s v="P006"/>
    <x v="5"/>
    <n v="32"/>
    <n v="44.8"/>
    <x v="1"/>
    <x v="1"/>
  </r>
  <r>
    <d v="2024-01-23T00:00:00"/>
    <s v="D001"/>
    <s v="Green Valley Produce"/>
    <s v="P001"/>
    <x v="0"/>
    <n v="34"/>
    <n v="34.299999999999997"/>
    <x v="0"/>
    <x v="0"/>
  </r>
  <r>
    <d v="2024-01-23T00:00:00"/>
    <s v="D001"/>
    <s v="Green Valley Produce"/>
    <s v="P002"/>
    <x v="1"/>
    <n v="38"/>
    <n v="37.4"/>
    <x v="0"/>
    <x v="0"/>
  </r>
  <r>
    <d v="2024-01-23T00:00:00"/>
    <s v="D001"/>
    <s v="Green Valley Produce"/>
    <s v="P003"/>
    <x v="2"/>
    <n v="32"/>
    <n v="34"/>
    <x v="0"/>
    <x v="0"/>
  </r>
  <r>
    <d v="2024-01-23T00:00:00"/>
    <s v="D001"/>
    <s v="Green Valley Produce"/>
    <s v="P004"/>
    <x v="3"/>
    <n v="50"/>
    <n v="62.1"/>
    <x v="1"/>
    <x v="1"/>
  </r>
  <r>
    <d v="2024-01-23T00:00:00"/>
    <s v="D001"/>
    <s v="Green Valley Produce"/>
    <s v="P005"/>
    <x v="4"/>
    <n v="38"/>
    <n v="37.799999999999997"/>
    <x v="0"/>
    <x v="0"/>
  </r>
  <r>
    <d v="2024-01-23T00:00:00"/>
    <s v="D001"/>
    <s v="Green Valley Produce"/>
    <s v="P006"/>
    <x v="5"/>
    <n v="32"/>
    <n v="32.1"/>
    <x v="0"/>
    <x v="0"/>
  </r>
  <r>
    <d v="2024-01-23T00:00:00"/>
    <s v="D002"/>
    <s v="Fresh Coast Foods"/>
    <s v="P001"/>
    <x v="0"/>
    <n v="34"/>
    <n v="36.1"/>
    <x v="0"/>
    <x v="0"/>
  </r>
  <r>
    <d v="2024-01-23T00:00:00"/>
    <s v="D002"/>
    <s v="Fresh Coast Foods"/>
    <s v="P002"/>
    <x v="1"/>
    <n v="38"/>
    <n v="38.1"/>
    <x v="0"/>
    <x v="0"/>
  </r>
  <r>
    <d v="2024-01-23T00:00:00"/>
    <s v="D002"/>
    <s v="Fresh Coast Foods"/>
    <s v="P003"/>
    <x v="2"/>
    <n v="32"/>
    <n v="38.9"/>
    <x v="1"/>
    <x v="2"/>
  </r>
  <r>
    <d v="2024-01-23T00:00:00"/>
    <s v="D002"/>
    <s v="Fresh Coast Foods"/>
    <s v="P004"/>
    <x v="3"/>
    <n v="50"/>
    <n v="51.2"/>
    <x v="0"/>
    <x v="0"/>
  </r>
  <r>
    <d v="2024-01-23T00:00:00"/>
    <s v="D002"/>
    <s v="Fresh Coast Foods"/>
    <s v="P005"/>
    <x v="4"/>
    <n v="38"/>
    <n v="48.3"/>
    <x v="1"/>
    <x v="1"/>
  </r>
  <r>
    <d v="2024-01-23T00:00:00"/>
    <s v="D002"/>
    <s v="Fresh Coast Foods"/>
    <s v="P006"/>
    <x v="5"/>
    <n v="32"/>
    <n v="32.1"/>
    <x v="0"/>
    <x v="0"/>
  </r>
  <r>
    <d v="2024-01-23T00:00:00"/>
    <s v="D003"/>
    <s v="Heartland Meats"/>
    <s v="P001"/>
    <x v="0"/>
    <n v="34"/>
    <n v="36.200000000000003"/>
    <x v="0"/>
    <x v="0"/>
  </r>
  <r>
    <d v="2024-01-23T00:00:00"/>
    <s v="D003"/>
    <s v="Heartland Meats"/>
    <s v="P002"/>
    <x v="1"/>
    <n v="38"/>
    <n v="37.700000000000003"/>
    <x v="0"/>
    <x v="0"/>
  </r>
  <r>
    <d v="2024-01-23T00:00:00"/>
    <s v="D003"/>
    <s v="Heartland Meats"/>
    <s v="P003"/>
    <x v="2"/>
    <n v="32"/>
    <n v="34.6"/>
    <x v="0"/>
    <x v="0"/>
  </r>
  <r>
    <d v="2024-01-23T00:00:00"/>
    <s v="D003"/>
    <s v="Heartland Meats"/>
    <s v="P004"/>
    <x v="3"/>
    <n v="50"/>
    <n v="49.2"/>
    <x v="0"/>
    <x v="0"/>
  </r>
  <r>
    <d v="2024-01-23T00:00:00"/>
    <s v="D003"/>
    <s v="Heartland Meats"/>
    <s v="P005"/>
    <x v="4"/>
    <n v="38"/>
    <n v="51.2"/>
    <x v="1"/>
    <x v="1"/>
  </r>
  <r>
    <d v="2024-01-23T00:00:00"/>
    <s v="D003"/>
    <s v="Heartland Meats"/>
    <s v="P006"/>
    <x v="5"/>
    <n v="32"/>
    <n v="41.1"/>
    <x v="1"/>
    <x v="2"/>
  </r>
  <r>
    <d v="2024-01-23T00:00:00"/>
    <s v="D004"/>
    <s v="Southwest Organics"/>
    <s v="P001"/>
    <x v="0"/>
    <n v="34"/>
    <n v="43.1"/>
    <x v="1"/>
    <x v="2"/>
  </r>
  <r>
    <d v="2024-01-23T00:00:00"/>
    <s v="D004"/>
    <s v="Southwest Organics"/>
    <s v="P002"/>
    <x v="1"/>
    <n v="38"/>
    <n v="40.6"/>
    <x v="0"/>
    <x v="0"/>
  </r>
  <r>
    <d v="2024-01-23T00:00:00"/>
    <s v="D004"/>
    <s v="Southwest Organics"/>
    <s v="P003"/>
    <x v="2"/>
    <n v="32"/>
    <n v="33.799999999999997"/>
    <x v="0"/>
    <x v="0"/>
  </r>
  <r>
    <d v="2024-01-23T00:00:00"/>
    <s v="D004"/>
    <s v="Southwest Organics"/>
    <s v="P004"/>
    <x v="3"/>
    <n v="50"/>
    <n v="50.4"/>
    <x v="0"/>
    <x v="0"/>
  </r>
  <r>
    <d v="2024-01-23T00:00:00"/>
    <s v="D004"/>
    <s v="Southwest Organics"/>
    <s v="P005"/>
    <x v="4"/>
    <n v="38"/>
    <n v="37.799999999999997"/>
    <x v="0"/>
    <x v="0"/>
  </r>
  <r>
    <d v="2024-01-23T00:00:00"/>
    <s v="D004"/>
    <s v="Southwest Organics"/>
    <s v="P006"/>
    <x v="5"/>
    <n v="32"/>
    <n v="34.200000000000003"/>
    <x v="0"/>
    <x v="0"/>
  </r>
  <r>
    <d v="2024-01-23T00:00:00"/>
    <s v="D005"/>
    <s v="Great Lakes Dairy"/>
    <s v="P001"/>
    <x v="0"/>
    <n v="34"/>
    <n v="47.4"/>
    <x v="1"/>
    <x v="1"/>
  </r>
  <r>
    <d v="2024-01-23T00:00:00"/>
    <s v="D005"/>
    <s v="Great Lakes Dairy"/>
    <s v="P002"/>
    <x v="1"/>
    <n v="38"/>
    <n v="39.299999999999997"/>
    <x v="0"/>
    <x v="0"/>
  </r>
  <r>
    <d v="2024-01-23T00:00:00"/>
    <s v="D005"/>
    <s v="Great Lakes Dairy"/>
    <s v="P003"/>
    <x v="2"/>
    <n v="32"/>
    <n v="44.4"/>
    <x v="1"/>
    <x v="1"/>
  </r>
  <r>
    <d v="2024-01-23T00:00:00"/>
    <s v="D005"/>
    <s v="Great Lakes Dairy"/>
    <s v="P004"/>
    <x v="3"/>
    <n v="50"/>
    <n v="49.4"/>
    <x v="0"/>
    <x v="0"/>
  </r>
  <r>
    <d v="2024-01-23T00:00:00"/>
    <s v="D005"/>
    <s v="Great Lakes Dairy"/>
    <s v="P005"/>
    <x v="4"/>
    <n v="38"/>
    <n v="39.6"/>
    <x v="0"/>
    <x v="0"/>
  </r>
  <r>
    <d v="2024-01-23T00:00:00"/>
    <s v="D005"/>
    <s v="Great Lakes Dairy"/>
    <s v="P006"/>
    <x v="5"/>
    <n v="32"/>
    <n v="32.9"/>
    <x v="0"/>
    <x v="0"/>
  </r>
  <r>
    <d v="2024-01-24T00:00:00"/>
    <s v="D001"/>
    <s v="Green Valley Produce"/>
    <s v="P001"/>
    <x v="0"/>
    <n v="34"/>
    <n v="33.6"/>
    <x v="0"/>
    <x v="0"/>
  </r>
  <r>
    <d v="2024-01-24T00:00:00"/>
    <s v="D001"/>
    <s v="Green Valley Produce"/>
    <s v="P002"/>
    <x v="1"/>
    <n v="38"/>
    <n v="38"/>
    <x v="0"/>
    <x v="0"/>
  </r>
  <r>
    <d v="2024-01-24T00:00:00"/>
    <s v="D001"/>
    <s v="Green Valley Produce"/>
    <s v="P003"/>
    <x v="2"/>
    <n v="32"/>
    <n v="31.7"/>
    <x v="0"/>
    <x v="0"/>
  </r>
  <r>
    <d v="2024-01-24T00:00:00"/>
    <s v="D001"/>
    <s v="Green Valley Produce"/>
    <s v="P004"/>
    <x v="3"/>
    <n v="50"/>
    <n v="50.3"/>
    <x v="0"/>
    <x v="0"/>
  </r>
  <r>
    <d v="2024-01-24T00:00:00"/>
    <s v="D001"/>
    <s v="Green Valley Produce"/>
    <s v="P005"/>
    <x v="4"/>
    <n v="38"/>
    <n v="38.299999999999997"/>
    <x v="0"/>
    <x v="0"/>
  </r>
  <r>
    <d v="2024-01-24T00:00:00"/>
    <s v="D001"/>
    <s v="Green Valley Produce"/>
    <s v="P006"/>
    <x v="5"/>
    <n v="32"/>
    <n v="31.3"/>
    <x v="0"/>
    <x v="0"/>
  </r>
  <r>
    <d v="2024-01-24T00:00:00"/>
    <s v="D002"/>
    <s v="Fresh Coast Foods"/>
    <s v="P001"/>
    <x v="0"/>
    <n v="34"/>
    <n v="43.8"/>
    <x v="1"/>
    <x v="2"/>
  </r>
  <r>
    <d v="2024-01-24T00:00:00"/>
    <s v="D002"/>
    <s v="Fresh Coast Foods"/>
    <s v="P002"/>
    <x v="1"/>
    <n v="38"/>
    <n v="38.1"/>
    <x v="0"/>
    <x v="0"/>
  </r>
  <r>
    <d v="2024-01-24T00:00:00"/>
    <s v="D002"/>
    <s v="Fresh Coast Foods"/>
    <s v="P003"/>
    <x v="2"/>
    <n v="32"/>
    <n v="33.299999999999997"/>
    <x v="0"/>
    <x v="0"/>
  </r>
  <r>
    <d v="2024-01-24T00:00:00"/>
    <s v="D002"/>
    <s v="Fresh Coast Foods"/>
    <s v="P004"/>
    <x v="3"/>
    <n v="50"/>
    <n v="50.6"/>
    <x v="0"/>
    <x v="0"/>
  </r>
  <r>
    <d v="2024-01-24T00:00:00"/>
    <s v="D002"/>
    <s v="Fresh Coast Foods"/>
    <s v="P005"/>
    <x v="4"/>
    <n v="38"/>
    <n v="37.4"/>
    <x v="0"/>
    <x v="0"/>
  </r>
  <r>
    <d v="2024-01-24T00:00:00"/>
    <s v="D002"/>
    <s v="Fresh Coast Foods"/>
    <s v="P006"/>
    <x v="5"/>
    <n v="32"/>
    <n v="31.3"/>
    <x v="0"/>
    <x v="0"/>
  </r>
  <r>
    <d v="2024-01-24T00:00:00"/>
    <s v="D003"/>
    <s v="Heartland Meats"/>
    <s v="P001"/>
    <x v="0"/>
    <n v="34"/>
    <n v="34.799999999999997"/>
    <x v="0"/>
    <x v="0"/>
  </r>
  <r>
    <d v="2024-01-24T00:00:00"/>
    <s v="D003"/>
    <s v="Heartland Meats"/>
    <s v="P002"/>
    <x v="1"/>
    <n v="38"/>
    <n v="38"/>
    <x v="0"/>
    <x v="0"/>
  </r>
  <r>
    <d v="2024-01-24T00:00:00"/>
    <s v="D003"/>
    <s v="Heartland Meats"/>
    <s v="P003"/>
    <x v="2"/>
    <n v="32"/>
    <n v="31.6"/>
    <x v="0"/>
    <x v="0"/>
  </r>
  <r>
    <d v="2024-01-24T00:00:00"/>
    <s v="D003"/>
    <s v="Heartland Meats"/>
    <s v="P004"/>
    <x v="3"/>
    <n v="50"/>
    <n v="49.3"/>
    <x v="0"/>
    <x v="0"/>
  </r>
  <r>
    <d v="2024-01-24T00:00:00"/>
    <s v="D003"/>
    <s v="Heartland Meats"/>
    <s v="P005"/>
    <x v="4"/>
    <n v="38"/>
    <n v="39.799999999999997"/>
    <x v="0"/>
    <x v="0"/>
  </r>
  <r>
    <d v="2024-01-24T00:00:00"/>
    <s v="D003"/>
    <s v="Heartland Meats"/>
    <s v="P006"/>
    <x v="5"/>
    <n v="32"/>
    <n v="34.9"/>
    <x v="0"/>
    <x v="0"/>
  </r>
  <r>
    <d v="2024-01-24T00:00:00"/>
    <s v="D004"/>
    <s v="Southwest Organics"/>
    <s v="P001"/>
    <x v="0"/>
    <n v="34"/>
    <n v="34.4"/>
    <x v="0"/>
    <x v="0"/>
  </r>
  <r>
    <d v="2024-01-24T00:00:00"/>
    <s v="D004"/>
    <s v="Southwest Organics"/>
    <s v="P002"/>
    <x v="1"/>
    <n v="38"/>
    <n v="37.700000000000003"/>
    <x v="0"/>
    <x v="0"/>
  </r>
  <r>
    <d v="2024-01-24T00:00:00"/>
    <s v="D004"/>
    <s v="Southwest Organics"/>
    <s v="P003"/>
    <x v="2"/>
    <n v="32"/>
    <n v="34"/>
    <x v="0"/>
    <x v="0"/>
  </r>
  <r>
    <d v="2024-01-24T00:00:00"/>
    <s v="D004"/>
    <s v="Southwest Organics"/>
    <s v="P004"/>
    <x v="3"/>
    <n v="50"/>
    <n v="52.3"/>
    <x v="0"/>
    <x v="0"/>
  </r>
  <r>
    <d v="2024-01-24T00:00:00"/>
    <s v="D004"/>
    <s v="Southwest Organics"/>
    <s v="P005"/>
    <x v="4"/>
    <n v="38"/>
    <n v="48.8"/>
    <x v="1"/>
    <x v="1"/>
  </r>
  <r>
    <d v="2024-01-24T00:00:00"/>
    <s v="D004"/>
    <s v="Southwest Organics"/>
    <s v="P006"/>
    <x v="5"/>
    <n v="32"/>
    <n v="31.4"/>
    <x v="0"/>
    <x v="0"/>
  </r>
  <r>
    <d v="2024-01-24T00:00:00"/>
    <s v="D005"/>
    <s v="Great Lakes Dairy"/>
    <s v="P001"/>
    <x v="0"/>
    <n v="34"/>
    <n v="34.200000000000003"/>
    <x v="0"/>
    <x v="0"/>
  </r>
  <r>
    <d v="2024-01-24T00:00:00"/>
    <s v="D005"/>
    <s v="Great Lakes Dairy"/>
    <s v="P002"/>
    <x v="1"/>
    <n v="38"/>
    <n v="39.4"/>
    <x v="0"/>
    <x v="0"/>
  </r>
  <r>
    <d v="2024-01-24T00:00:00"/>
    <s v="D005"/>
    <s v="Great Lakes Dairy"/>
    <s v="P003"/>
    <x v="2"/>
    <n v="32"/>
    <n v="33.4"/>
    <x v="0"/>
    <x v="0"/>
  </r>
  <r>
    <d v="2024-01-24T00:00:00"/>
    <s v="D005"/>
    <s v="Great Lakes Dairy"/>
    <s v="P004"/>
    <x v="3"/>
    <n v="50"/>
    <n v="50.3"/>
    <x v="0"/>
    <x v="0"/>
  </r>
  <r>
    <d v="2024-01-24T00:00:00"/>
    <s v="D005"/>
    <s v="Great Lakes Dairy"/>
    <s v="P005"/>
    <x v="4"/>
    <n v="38"/>
    <n v="37.200000000000003"/>
    <x v="0"/>
    <x v="0"/>
  </r>
  <r>
    <d v="2024-01-24T00:00:00"/>
    <s v="D005"/>
    <s v="Great Lakes Dairy"/>
    <s v="P006"/>
    <x v="5"/>
    <n v="32"/>
    <n v="31.6"/>
    <x v="0"/>
    <x v="0"/>
  </r>
  <r>
    <d v="2024-01-25T00:00:00"/>
    <s v="D001"/>
    <s v="Green Valley Produce"/>
    <s v="P001"/>
    <x v="0"/>
    <n v="34"/>
    <n v="36"/>
    <x v="0"/>
    <x v="0"/>
  </r>
  <r>
    <d v="2024-01-25T00:00:00"/>
    <s v="D001"/>
    <s v="Green Valley Produce"/>
    <s v="P002"/>
    <x v="1"/>
    <n v="38"/>
    <n v="40"/>
    <x v="0"/>
    <x v="0"/>
  </r>
  <r>
    <d v="2024-01-25T00:00:00"/>
    <s v="D001"/>
    <s v="Green Valley Produce"/>
    <s v="P003"/>
    <x v="2"/>
    <n v="32"/>
    <n v="32.799999999999997"/>
    <x v="0"/>
    <x v="0"/>
  </r>
  <r>
    <d v="2024-01-25T00:00:00"/>
    <s v="D001"/>
    <s v="Green Valley Produce"/>
    <s v="P004"/>
    <x v="3"/>
    <n v="50"/>
    <n v="51.5"/>
    <x v="0"/>
    <x v="0"/>
  </r>
  <r>
    <d v="2024-01-25T00:00:00"/>
    <s v="D001"/>
    <s v="Green Valley Produce"/>
    <s v="P005"/>
    <x v="4"/>
    <n v="38"/>
    <n v="37.799999999999997"/>
    <x v="0"/>
    <x v="0"/>
  </r>
  <r>
    <d v="2024-01-25T00:00:00"/>
    <s v="D001"/>
    <s v="Green Valley Produce"/>
    <s v="P006"/>
    <x v="5"/>
    <n v="32"/>
    <n v="32.200000000000003"/>
    <x v="0"/>
    <x v="0"/>
  </r>
  <r>
    <d v="2024-01-25T00:00:00"/>
    <s v="D002"/>
    <s v="Fresh Coast Foods"/>
    <s v="P001"/>
    <x v="0"/>
    <n v="34"/>
    <n v="35.700000000000003"/>
    <x v="0"/>
    <x v="0"/>
  </r>
  <r>
    <d v="2024-01-25T00:00:00"/>
    <s v="D002"/>
    <s v="Fresh Coast Foods"/>
    <s v="P002"/>
    <x v="1"/>
    <n v="38"/>
    <n v="40.700000000000003"/>
    <x v="0"/>
    <x v="0"/>
  </r>
  <r>
    <d v="2024-01-25T00:00:00"/>
    <s v="D002"/>
    <s v="Fresh Coast Foods"/>
    <s v="P003"/>
    <x v="2"/>
    <n v="32"/>
    <n v="34.700000000000003"/>
    <x v="0"/>
    <x v="0"/>
  </r>
  <r>
    <d v="2024-01-25T00:00:00"/>
    <s v="D002"/>
    <s v="Fresh Coast Foods"/>
    <s v="P004"/>
    <x v="3"/>
    <n v="50"/>
    <n v="51.3"/>
    <x v="0"/>
    <x v="0"/>
  </r>
  <r>
    <d v="2024-01-25T00:00:00"/>
    <s v="D002"/>
    <s v="Fresh Coast Foods"/>
    <s v="P005"/>
    <x v="4"/>
    <n v="38"/>
    <n v="39"/>
    <x v="0"/>
    <x v="0"/>
  </r>
  <r>
    <d v="2024-01-25T00:00:00"/>
    <s v="D002"/>
    <s v="Fresh Coast Foods"/>
    <s v="P006"/>
    <x v="5"/>
    <n v="32"/>
    <n v="34.4"/>
    <x v="0"/>
    <x v="0"/>
  </r>
  <r>
    <d v="2024-01-25T00:00:00"/>
    <s v="D003"/>
    <s v="Heartland Meats"/>
    <s v="P001"/>
    <x v="0"/>
    <n v="34"/>
    <n v="47.2"/>
    <x v="1"/>
    <x v="1"/>
  </r>
  <r>
    <d v="2024-01-25T00:00:00"/>
    <s v="D003"/>
    <s v="Heartland Meats"/>
    <s v="P002"/>
    <x v="1"/>
    <n v="38"/>
    <n v="37"/>
    <x v="0"/>
    <x v="0"/>
  </r>
  <r>
    <d v="2024-01-25T00:00:00"/>
    <s v="D003"/>
    <s v="Heartland Meats"/>
    <s v="P003"/>
    <x v="2"/>
    <n v="32"/>
    <n v="34.9"/>
    <x v="0"/>
    <x v="0"/>
  </r>
  <r>
    <d v="2024-01-25T00:00:00"/>
    <s v="D003"/>
    <s v="Heartland Meats"/>
    <s v="P004"/>
    <x v="3"/>
    <n v="50"/>
    <n v="58.3"/>
    <x v="1"/>
    <x v="2"/>
  </r>
  <r>
    <d v="2024-01-25T00:00:00"/>
    <s v="D003"/>
    <s v="Heartland Meats"/>
    <s v="P005"/>
    <x v="4"/>
    <n v="38"/>
    <n v="47.5"/>
    <x v="1"/>
    <x v="2"/>
  </r>
  <r>
    <d v="2024-01-25T00:00:00"/>
    <s v="D003"/>
    <s v="Heartland Meats"/>
    <s v="P006"/>
    <x v="5"/>
    <n v="32"/>
    <n v="33.5"/>
    <x v="0"/>
    <x v="0"/>
  </r>
  <r>
    <d v="2024-01-25T00:00:00"/>
    <s v="D004"/>
    <s v="Southwest Organics"/>
    <s v="P001"/>
    <x v="0"/>
    <n v="34"/>
    <n v="34.6"/>
    <x v="0"/>
    <x v="0"/>
  </r>
  <r>
    <d v="2024-01-25T00:00:00"/>
    <s v="D004"/>
    <s v="Southwest Organics"/>
    <s v="P002"/>
    <x v="1"/>
    <n v="38"/>
    <n v="37.799999999999997"/>
    <x v="0"/>
    <x v="0"/>
  </r>
  <r>
    <d v="2024-01-25T00:00:00"/>
    <s v="D004"/>
    <s v="Southwest Organics"/>
    <s v="P003"/>
    <x v="2"/>
    <n v="32"/>
    <n v="39.1"/>
    <x v="1"/>
    <x v="2"/>
  </r>
  <r>
    <d v="2024-01-25T00:00:00"/>
    <s v="D004"/>
    <s v="Southwest Organics"/>
    <s v="P004"/>
    <x v="3"/>
    <n v="50"/>
    <n v="52.4"/>
    <x v="0"/>
    <x v="0"/>
  </r>
  <r>
    <d v="2024-01-25T00:00:00"/>
    <s v="D004"/>
    <s v="Southwest Organics"/>
    <s v="P005"/>
    <x v="4"/>
    <n v="38"/>
    <n v="38.700000000000003"/>
    <x v="0"/>
    <x v="0"/>
  </r>
  <r>
    <d v="2024-01-25T00:00:00"/>
    <s v="D004"/>
    <s v="Southwest Organics"/>
    <s v="P006"/>
    <x v="5"/>
    <n v="32"/>
    <n v="34.5"/>
    <x v="0"/>
    <x v="0"/>
  </r>
  <r>
    <d v="2024-01-25T00:00:00"/>
    <s v="D005"/>
    <s v="Great Lakes Dairy"/>
    <s v="P001"/>
    <x v="0"/>
    <n v="34"/>
    <n v="40.1"/>
    <x v="1"/>
    <x v="2"/>
  </r>
  <r>
    <d v="2024-01-25T00:00:00"/>
    <s v="D005"/>
    <s v="Great Lakes Dairy"/>
    <s v="P002"/>
    <x v="1"/>
    <n v="38"/>
    <n v="37.6"/>
    <x v="0"/>
    <x v="0"/>
  </r>
  <r>
    <d v="2024-01-25T00:00:00"/>
    <s v="D005"/>
    <s v="Great Lakes Dairy"/>
    <s v="P003"/>
    <x v="2"/>
    <n v="32"/>
    <n v="33.6"/>
    <x v="0"/>
    <x v="0"/>
  </r>
  <r>
    <d v="2024-01-25T00:00:00"/>
    <s v="D005"/>
    <s v="Great Lakes Dairy"/>
    <s v="P004"/>
    <x v="3"/>
    <n v="50"/>
    <n v="49.5"/>
    <x v="0"/>
    <x v="0"/>
  </r>
  <r>
    <d v="2024-01-25T00:00:00"/>
    <s v="D005"/>
    <s v="Great Lakes Dairy"/>
    <s v="P005"/>
    <x v="4"/>
    <n v="38"/>
    <n v="50.4"/>
    <x v="1"/>
    <x v="1"/>
  </r>
  <r>
    <d v="2024-01-25T00:00:00"/>
    <s v="D005"/>
    <s v="Great Lakes Dairy"/>
    <s v="P006"/>
    <x v="5"/>
    <n v="32"/>
    <n v="34.6"/>
    <x v="0"/>
    <x v="0"/>
  </r>
  <r>
    <d v="2024-01-26T00:00:00"/>
    <s v="D001"/>
    <s v="Green Valley Produce"/>
    <s v="P001"/>
    <x v="0"/>
    <n v="34"/>
    <n v="36.700000000000003"/>
    <x v="0"/>
    <x v="0"/>
  </r>
  <r>
    <d v="2024-01-26T00:00:00"/>
    <s v="D001"/>
    <s v="Green Valley Produce"/>
    <s v="P002"/>
    <x v="1"/>
    <n v="38"/>
    <n v="38.799999999999997"/>
    <x v="0"/>
    <x v="0"/>
  </r>
  <r>
    <d v="2024-01-26T00:00:00"/>
    <s v="D001"/>
    <s v="Green Valley Produce"/>
    <s v="P003"/>
    <x v="2"/>
    <n v="32"/>
    <n v="34.299999999999997"/>
    <x v="0"/>
    <x v="0"/>
  </r>
  <r>
    <d v="2024-01-26T00:00:00"/>
    <s v="D001"/>
    <s v="Green Valley Produce"/>
    <s v="P004"/>
    <x v="3"/>
    <n v="50"/>
    <n v="49.9"/>
    <x v="0"/>
    <x v="0"/>
  </r>
  <r>
    <d v="2024-01-26T00:00:00"/>
    <s v="D001"/>
    <s v="Green Valley Produce"/>
    <s v="P005"/>
    <x v="4"/>
    <n v="38"/>
    <n v="37"/>
    <x v="0"/>
    <x v="0"/>
  </r>
  <r>
    <d v="2024-01-26T00:00:00"/>
    <s v="D001"/>
    <s v="Green Valley Produce"/>
    <s v="P006"/>
    <x v="5"/>
    <n v="32"/>
    <n v="33.9"/>
    <x v="0"/>
    <x v="0"/>
  </r>
  <r>
    <d v="2024-01-26T00:00:00"/>
    <s v="D002"/>
    <s v="Fresh Coast Foods"/>
    <s v="P001"/>
    <x v="0"/>
    <n v="34"/>
    <n v="34.1"/>
    <x v="0"/>
    <x v="0"/>
  </r>
  <r>
    <d v="2024-01-26T00:00:00"/>
    <s v="D002"/>
    <s v="Fresh Coast Foods"/>
    <s v="P002"/>
    <x v="1"/>
    <n v="38"/>
    <n v="39.299999999999997"/>
    <x v="0"/>
    <x v="0"/>
  </r>
  <r>
    <d v="2024-01-26T00:00:00"/>
    <s v="D002"/>
    <s v="Fresh Coast Foods"/>
    <s v="P003"/>
    <x v="2"/>
    <n v="32"/>
    <n v="38.299999999999997"/>
    <x v="1"/>
    <x v="2"/>
  </r>
  <r>
    <d v="2024-01-26T00:00:00"/>
    <s v="D002"/>
    <s v="Fresh Coast Foods"/>
    <s v="P004"/>
    <x v="3"/>
    <n v="50"/>
    <n v="50.5"/>
    <x v="0"/>
    <x v="0"/>
  </r>
  <r>
    <d v="2024-01-26T00:00:00"/>
    <s v="D002"/>
    <s v="Fresh Coast Foods"/>
    <s v="P005"/>
    <x v="4"/>
    <n v="38"/>
    <n v="40.799999999999997"/>
    <x v="0"/>
    <x v="0"/>
  </r>
  <r>
    <d v="2024-01-26T00:00:00"/>
    <s v="D002"/>
    <s v="Fresh Coast Foods"/>
    <s v="P006"/>
    <x v="5"/>
    <n v="32"/>
    <n v="43.8"/>
    <x v="1"/>
    <x v="1"/>
  </r>
  <r>
    <d v="2024-01-26T00:00:00"/>
    <s v="D003"/>
    <s v="Heartland Meats"/>
    <s v="P001"/>
    <x v="0"/>
    <n v="34"/>
    <n v="36.4"/>
    <x v="0"/>
    <x v="0"/>
  </r>
  <r>
    <d v="2024-01-26T00:00:00"/>
    <s v="D003"/>
    <s v="Heartland Meats"/>
    <s v="P002"/>
    <x v="1"/>
    <n v="38"/>
    <n v="38.1"/>
    <x v="0"/>
    <x v="0"/>
  </r>
  <r>
    <d v="2024-01-26T00:00:00"/>
    <s v="D003"/>
    <s v="Heartland Meats"/>
    <s v="P003"/>
    <x v="2"/>
    <n v="32"/>
    <n v="33.1"/>
    <x v="0"/>
    <x v="0"/>
  </r>
  <r>
    <d v="2024-01-26T00:00:00"/>
    <s v="D003"/>
    <s v="Heartland Meats"/>
    <s v="P004"/>
    <x v="3"/>
    <n v="50"/>
    <n v="50"/>
    <x v="0"/>
    <x v="0"/>
  </r>
  <r>
    <d v="2024-01-26T00:00:00"/>
    <s v="D003"/>
    <s v="Heartland Meats"/>
    <s v="P005"/>
    <x v="4"/>
    <n v="38"/>
    <n v="39.700000000000003"/>
    <x v="0"/>
    <x v="0"/>
  </r>
  <r>
    <d v="2024-01-26T00:00:00"/>
    <s v="D003"/>
    <s v="Heartland Meats"/>
    <s v="P006"/>
    <x v="5"/>
    <n v="32"/>
    <n v="33.700000000000003"/>
    <x v="0"/>
    <x v="0"/>
  </r>
  <r>
    <d v="2024-01-26T00:00:00"/>
    <s v="D004"/>
    <s v="Southwest Organics"/>
    <s v="P001"/>
    <x v="0"/>
    <n v="34"/>
    <n v="35.299999999999997"/>
    <x v="0"/>
    <x v="0"/>
  </r>
  <r>
    <d v="2024-01-26T00:00:00"/>
    <s v="D004"/>
    <s v="Southwest Organics"/>
    <s v="P002"/>
    <x v="1"/>
    <n v="38"/>
    <n v="40.6"/>
    <x v="0"/>
    <x v="0"/>
  </r>
  <r>
    <d v="2024-01-26T00:00:00"/>
    <s v="D004"/>
    <s v="Southwest Organics"/>
    <s v="P003"/>
    <x v="2"/>
    <n v="32"/>
    <n v="31"/>
    <x v="0"/>
    <x v="0"/>
  </r>
  <r>
    <d v="2024-01-26T00:00:00"/>
    <s v="D004"/>
    <s v="Southwest Organics"/>
    <s v="P004"/>
    <x v="3"/>
    <n v="50"/>
    <n v="52.6"/>
    <x v="0"/>
    <x v="0"/>
  </r>
  <r>
    <d v="2024-01-26T00:00:00"/>
    <s v="D004"/>
    <s v="Southwest Organics"/>
    <s v="P005"/>
    <x v="4"/>
    <n v="38"/>
    <n v="38.299999999999997"/>
    <x v="0"/>
    <x v="0"/>
  </r>
  <r>
    <d v="2024-01-26T00:00:00"/>
    <s v="D004"/>
    <s v="Southwest Organics"/>
    <s v="P006"/>
    <x v="5"/>
    <n v="32"/>
    <n v="34.9"/>
    <x v="0"/>
    <x v="0"/>
  </r>
  <r>
    <d v="2024-01-26T00:00:00"/>
    <s v="D005"/>
    <s v="Great Lakes Dairy"/>
    <s v="P001"/>
    <x v="0"/>
    <n v="34"/>
    <n v="33.700000000000003"/>
    <x v="0"/>
    <x v="0"/>
  </r>
  <r>
    <d v="2024-01-26T00:00:00"/>
    <s v="D005"/>
    <s v="Great Lakes Dairy"/>
    <s v="P002"/>
    <x v="1"/>
    <n v="38"/>
    <n v="39.4"/>
    <x v="0"/>
    <x v="0"/>
  </r>
  <r>
    <d v="2024-01-26T00:00:00"/>
    <s v="D005"/>
    <s v="Great Lakes Dairy"/>
    <s v="P003"/>
    <x v="2"/>
    <n v="32"/>
    <n v="34.1"/>
    <x v="0"/>
    <x v="0"/>
  </r>
  <r>
    <d v="2024-01-26T00:00:00"/>
    <s v="D005"/>
    <s v="Great Lakes Dairy"/>
    <s v="P004"/>
    <x v="3"/>
    <n v="50"/>
    <n v="51.5"/>
    <x v="0"/>
    <x v="0"/>
  </r>
  <r>
    <d v="2024-01-26T00:00:00"/>
    <s v="D005"/>
    <s v="Great Lakes Dairy"/>
    <s v="P005"/>
    <x v="4"/>
    <n v="38"/>
    <n v="39.299999999999997"/>
    <x v="0"/>
    <x v="0"/>
  </r>
  <r>
    <d v="2024-01-26T00:00:00"/>
    <s v="D005"/>
    <s v="Great Lakes Dairy"/>
    <s v="P006"/>
    <x v="5"/>
    <n v="32"/>
    <n v="32.200000000000003"/>
    <x v="0"/>
    <x v="0"/>
  </r>
  <r>
    <d v="2024-01-27T00:00:00"/>
    <s v="D001"/>
    <s v="Green Valley Produce"/>
    <s v="P001"/>
    <x v="0"/>
    <n v="34"/>
    <n v="33.1"/>
    <x v="0"/>
    <x v="0"/>
  </r>
  <r>
    <d v="2024-01-27T00:00:00"/>
    <s v="D001"/>
    <s v="Green Valley Produce"/>
    <s v="P002"/>
    <x v="1"/>
    <n v="38"/>
    <n v="37.5"/>
    <x v="0"/>
    <x v="0"/>
  </r>
  <r>
    <d v="2024-01-27T00:00:00"/>
    <s v="D001"/>
    <s v="Green Valley Produce"/>
    <s v="P003"/>
    <x v="2"/>
    <n v="32"/>
    <n v="44.3"/>
    <x v="1"/>
    <x v="1"/>
  </r>
  <r>
    <d v="2024-01-27T00:00:00"/>
    <s v="D001"/>
    <s v="Green Valley Produce"/>
    <s v="P004"/>
    <x v="3"/>
    <n v="50"/>
    <n v="51.5"/>
    <x v="0"/>
    <x v="0"/>
  </r>
  <r>
    <d v="2024-01-27T00:00:00"/>
    <s v="D001"/>
    <s v="Green Valley Produce"/>
    <s v="P005"/>
    <x v="4"/>
    <n v="38"/>
    <n v="38"/>
    <x v="0"/>
    <x v="0"/>
  </r>
  <r>
    <d v="2024-01-27T00:00:00"/>
    <s v="D001"/>
    <s v="Green Valley Produce"/>
    <s v="P006"/>
    <x v="5"/>
    <n v="32"/>
    <n v="33.4"/>
    <x v="0"/>
    <x v="0"/>
  </r>
  <r>
    <d v="2024-01-27T00:00:00"/>
    <s v="D002"/>
    <s v="Fresh Coast Foods"/>
    <s v="P001"/>
    <x v="0"/>
    <n v="34"/>
    <n v="36"/>
    <x v="0"/>
    <x v="0"/>
  </r>
  <r>
    <d v="2024-01-27T00:00:00"/>
    <s v="D002"/>
    <s v="Fresh Coast Foods"/>
    <s v="P002"/>
    <x v="1"/>
    <n v="38"/>
    <n v="38.5"/>
    <x v="0"/>
    <x v="0"/>
  </r>
  <r>
    <d v="2024-01-27T00:00:00"/>
    <s v="D002"/>
    <s v="Fresh Coast Foods"/>
    <s v="P003"/>
    <x v="2"/>
    <n v="32"/>
    <n v="44.3"/>
    <x v="1"/>
    <x v="1"/>
  </r>
  <r>
    <d v="2024-01-27T00:00:00"/>
    <s v="D002"/>
    <s v="Fresh Coast Foods"/>
    <s v="P004"/>
    <x v="3"/>
    <n v="50"/>
    <n v="49.7"/>
    <x v="0"/>
    <x v="0"/>
  </r>
  <r>
    <d v="2024-01-27T00:00:00"/>
    <s v="D002"/>
    <s v="Fresh Coast Foods"/>
    <s v="P005"/>
    <x v="4"/>
    <n v="38"/>
    <n v="37.1"/>
    <x v="0"/>
    <x v="0"/>
  </r>
  <r>
    <d v="2024-01-27T00:00:00"/>
    <s v="D002"/>
    <s v="Fresh Coast Foods"/>
    <s v="P006"/>
    <x v="5"/>
    <n v="32"/>
    <n v="34.9"/>
    <x v="0"/>
    <x v="0"/>
  </r>
  <r>
    <d v="2024-01-27T00:00:00"/>
    <s v="D003"/>
    <s v="Heartland Meats"/>
    <s v="P001"/>
    <x v="0"/>
    <n v="34"/>
    <n v="36.299999999999997"/>
    <x v="0"/>
    <x v="0"/>
  </r>
  <r>
    <d v="2024-01-27T00:00:00"/>
    <s v="D003"/>
    <s v="Heartland Meats"/>
    <s v="P002"/>
    <x v="1"/>
    <n v="38"/>
    <n v="40"/>
    <x v="0"/>
    <x v="0"/>
  </r>
  <r>
    <d v="2024-01-27T00:00:00"/>
    <s v="D003"/>
    <s v="Heartland Meats"/>
    <s v="P003"/>
    <x v="2"/>
    <n v="32"/>
    <n v="32.5"/>
    <x v="0"/>
    <x v="0"/>
  </r>
  <r>
    <d v="2024-01-27T00:00:00"/>
    <s v="D003"/>
    <s v="Heartland Meats"/>
    <s v="P004"/>
    <x v="3"/>
    <n v="50"/>
    <n v="51.9"/>
    <x v="0"/>
    <x v="0"/>
  </r>
  <r>
    <d v="2024-01-27T00:00:00"/>
    <s v="D003"/>
    <s v="Heartland Meats"/>
    <s v="P005"/>
    <x v="4"/>
    <n v="38"/>
    <n v="48.6"/>
    <x v="1"/>
    <x v="1"/>
  </r>
  <r>
    <d v="2024-01-27T00:00:00"/>
    <s v="D003"/>
    <s v="Heartland Meats"/>
    <s v="P006"/>
    <x v="5"/>
    <n v="32"/>
    <n v="31.2"/>
    <x v="0"/>
    <x v="0"/>
  </r>
  <r>
    <d v="2024-01-27T00:00:00"/>
    <s v="D004"/>
    <s v="Southwest Organics"/>
    <s v="P001"/>
    <x v="0"/>
    <n v="34"/>
    <n v="36.299999999999997"/>
    <x v="0"/>
    <x v="0"/>
  </r>
  <r>
    <d v="2024-01-27T00:00:00"/>
    <s v="D004"/>
    <s v="Southwest Organics"/>
    <s v="P002"/>
    <x v="1"/>
    <n v="38"/>
    <n v="47.7"/>
    <x v="1"/>
    <x v="2"/>
  </r>
  <r>
    <d v="2024-01-27T00:00:00"/>
    <s v="D004"/>
    <s v="Southwest Organics"/>
    <s v="P003"/>
    <x v="2"/>
    <n v="32"/>
    <n v="32.9"/>
    <x v="0"/>
    <x v="0"/>
  </r>
  <r>
    <d v="2024-01-27T00:00:00"/>
    <s v="D004"/>
    <s v="Southwest Organics"/>
    <s v="P004"/>
    <x v="3"/>
    <n v="50"/>
    <n v="52.7"/>
    <x v="0"/>
    <x v="0"/>
  </r>
  <r>
    <d v="2024-01-27T00:00:00"/>
    <s v="D004"/>
    <s v="Southwest Organics"/>
    <s v="P005"/>
    <x v="4"/>
    <n v="38"/>
    <n v="39.700000000000003"/>
    <x v="0"/>
    <x v="0"/>
  </r>
  <r>
    <d v="2024-01-27T00:00:00"/>
    <s v="D004"/>
    <s v="Southwest Organics"/>
    <s v="P006"/>
    <x v="5"/>
    <n v="32"/>
    <n v="32.1"/>
    <x v="0"/>
    <x v="0"/>
  </r>
  <r>
    <d v="2024-01-27T00:00:00"/>
    <s v="D005"/>
    <s v="Great Lakes Dairy"/>
    <s v="P001"/>
    <x v="0"/>
    <n v="34"/>
    <n v="34.700000000000003"/>
    <x v="0"/>
    <x v="0"/>
  </r>
  <r>
    <d v="2024-01-27T00:00:00"/>
    <s v="D005"/>
    <s v="Great Lakes Dairy"/>
    <s v="P002"/>
    <x v="1"/>
    <n v="38"/>
    <n v="40.200000000000003"/>
    <x v="0"/>
    <x v="0"/>
  </r>
  <r>
    <d v="2024-01-27T00:00:00"/>
    <s v="D005"/>
    <s v="Great Lakes Dairy"/>
    <s v="P003"/>
    <x v="2"/>
    <n v="32"/>
    <n v="32.299999999999997"/>
    <x v="0"/>
    <x v="0"/>
  </r>
  <r>
    <d v="2024-01-27T00:00:00"/>
    <s v="D005"/>
    <s v="Great Lakes Dairy"/>
    <s v="P004"/>
    <x v="3"/>
    <n v="50"/>
    <n v="52.8"/>
    <x v="0"/>
    <x v="0"/>
  </r>
  <r>
    <d v="2024-01-27T00:00:00"/>
    <s v="D005"/>
    <s v="Great Lakes Dairy"/>
    <s v="P005"/>
    <x v="4"/>
    <n v="38"/>
    <n v="48.3"/>
    <x v="1"/>
    <x v="1"/>
  </r>
  <r>
    <d v="2024-01-27T00:00:00"/>
    <s v="D005"/>
    <s v="Great Lakes Dairy"/>
    <s v="P006"/>
    <x v="5"/>
    <n v="32"/>
    <n v="34.4"/>
    <x v="0"/>
    <x v="0"/>
  </r>
  <r>
    <d v="2024-01-28T00:00:00"/>
    <s v="D001"/>
    <s v="Green Valley Produce"/>
    <s v="P001"/>
    <x v="0"/>
    <n v="34"/>
    <n v="35.6"/>
    <x v="0"/>
    <x v="0"/>
  </r>
  <r>
    <d v="2024-01-28T00:00:00"/>
    <s v="D001"/>
    <s v="Green Valley Produce"/>
    <s v="P002"/>
    <x v="1"/>
    <n v="38"/>
    <n v="38.1"/>
    <x v="0"/>
    <x v="0"/>
  </r>
  <r>
    <d v="2024-01-28T00:00:00"/>
    <s v="D001"/>
    <s v="Green Valley Produce"/>
    <s v="P003"/>
    <x v="2"/>
    <n v="32"/>
    <n v="32"/>
    <x v="0"/>
    <x v="0"/>
  </r>
  <r>
    <d v="2024-01-28T00:00:00"/>
    <s v="D001"/>
    <s v="Green Valley Produce"/>
    <s v="P004"/>
    <x v="3"/>
    <n v="50"/>
    <n v="50.8"/>
    <x v="0"/>
    <x v="0"/>
  </r>
  <r>
    <d v="2024-01-28T00:00:00"/>
    <s v="D001"/>
    <s v="Green Valley Produce"/>
    <s v="P005"/>
    <x v="4"/>
    <n v="38"/>
    <n v="38"/>
    <x v="0"/>
    <x v="0"/>
  </r>
  <r>
    <d v="2024-01-28T00:00:00"/>
    <s v="D001"/>
    <s v="Green Valley Produce"/>
    <s v="P006"/>
    <x v="5"/>
    <n v="32"/>
    <n v="34.1"/>
    <x v="0"/>
    <x v="0"/>
  </r>
  <r>
    <d v="2024-01-28T00:00:00"/>
    <s v="D002"/>
    <s v="Fresh Coast Foods"/>
    <s v="P001"/>
    <x v="0"/>
    <n v="34"/>
    <n v="35.700000000000003"/>
    <x v="0"/>
    <x v="0"/>
  </r>
  <r>
    <d v="2024-01-28T00:00:00"/>
    <s v="D002"/>
    <s v="Fresh Coast Foods"/>
    <s v="P002"/>
    <x v="1"/>
    <n v="38"/>
    <n v="38.299999999999997"/>
    <x v="0"/>
    <x v="0"/>
  </r>
  <r>
    <d v="2024-01-28T00:00:00"/>
    <s v="D002"/>
    <s v="Fresh Coast Foods"/>
    <s v="P003"/>
    <x v="2"/>
    <n v="32"/>
    <n v="38.1"/>
    <x v="1"/>
    <x v="2"/>
  </r>
  <r>
    <d v="2024-01-28T00:00:00"/>
    <s v="D002"/>
    <s v="Fresh Coast Foods"/>
    <s v="P004"/>
    <x v="3"/>
    <n v="50"/>
    <n v="59.3"/>
    <x v="1"/>
    <x v="2"/>
  </r>
  <r>
    <d v="2024-01-28T00:00:00"/>
    <s v="D002"/>
    <s v="Fresh Coast Foods"/>
    <s v="P005"/>
    <x v="4"/>
    <n v="38"/>
    <n v="39.700000000000003"/>
    <x v="0"/>
    <x v="0"/>
  </r>
  <r>
    <d v="2024-01-28T00:00:00"/>
    <s v="D002"/>
    <s v="Fresh Coast Foods"/>
    <s v="P006"/>
    <x v="5"/>
    <n v="32"/>
    <n v="33.9"/>
    <x v="0"/>
    <x v="0"/>
  </r>
  <r>
    <d v="2024-01-28T00:00:00"/>
    <s v="D003"/>
    <s v="Heartland Meats"/>
    <s v="P001"/>
    <x v="0"/>
    <n v="34"/>
    <n v="33.1"/>
    <x v="0"/>
    <x v="0"/>
  </r>
  <r>
    <d v="2024-01-28T00:00:00"/>
    <s v="D003"/>
    <s v="Heartland Meats"/>
    <s v="P002"/>
    <x v="1"/>
    <n v="38"/>
    <n v="37.200000000000003"/>
    <x v="0"/>
    <x v="0"/>
  </r>
  <r>
    <d v="2024-01-28T00:00:00"/>
    <s v="D003"/>
    <s v="Heartland Meats"/>
    <s v="P003"/>
    <x v="2"/>
    <n v="32"/>
    <n v="34.6"/>
    <x v="0"/>
    <x v="0"/>
  </r>
  <r>
    <d v="2024-01-28T00:00:00"/>
    <s v="D003"/>
    <s v="Heartland Meats"/>
    <s v="P004"/>
    <x v="3"/>
    <n v="50"/>
    <n v="51.4"/>
    <x v="0"/>
    <x v="0"/>
  </r>
  <r>
    <d v="2024-01-28T00:00:00"/>
    <s v="D003"/>
    <s v="Heartland Meats"/>
    <s v="P005"/>
    <x v="4"/>
    <n v="38"/>
    <n v="51.7"/>
    <x v="1"/>
    <x v="1"/>
  </r>
  <r>
    <d v="2024-01-28T00:00:00"/>
    <s v="D003"/>
    <s v="Heartland Meats"/>
    <s v="P006"/>
    <x v="5"/>
    <n v="32"/>
    <n v="42.8"/>
    <x v="1"/>
    <x v="1"/>
  </r>
  <r>
    <d v="2024-01-28T00:00:00"/>
    <s v="D004"/>
    <s v="Southwest Organics"/>
    <s v="P001"/>
    <x v="0"/>
    <n v="34"/>
    <n v="36.1"/>
    <x v="0"/>
    <x v="0"/>
  </r>
  <r>
    <d v="2024-01-28T00:00:00"/>
    <s v="D004"/>
    <s v="Southwest Organics"/>
    <s v="P002"/>
    <x v="1"/>
    <n v="38"/>
    <n v="40.200000000000003"/>
    <x v="0"/>
    <x v="0"/>
  </r>
  <r>
    <d v="2024-01-28T00:00:00"/>
    <s v="D004"/>
    <s v="Southwest Organics"/>
    <s v="P003"/>
    <x v="2"/>
    <n v="32"/>
    <n v="31.4"/>
    <x v="0"/>
    <x v="0"/>
  </r>
  <r>
    <d v="2024-01-28T00:00:00"/>
    <s v="D004"/>
    <s v="Southwest Organics"/>
    <s v="P004"/>
    <x v="3"/>
    <n v="50"/>
    <n v="50.2"/>
    <x v="0"/>
    <x v="0"/>
  </r>
  <r>
    <d v="2024-01-28T00:00:00"/>
    <s v="D004"/>
    <s v="Southwest Organics"/>
    <s v="P005"/>
    <x v="4"/>
    <n v="38"/>
    <n v="37.299999999999997"/>
    <x v="0"/>
    <x v="0"/>
  </r>
  <r>
    <d v="2024-01-28T00:00:00"/>
    <s v="D004"/>
    <s v="Southwest Organics"/>
    <s v="P006"/>
    <x v="5"/>
    <n v="32"/>
    <n v="35"/>
    <x v="0"/>
    <x v="0"/>
  </r>
  <r>
    <d v="2024-01-28T00:00:00"/>
    <s v="D005"/>
    <s v="Great Lakes Dairy"/>
    <s v="P001"/>
    <x v="0"/>
    <n v="34"/>
    <n v="35.799999999999997"/>
    <x v="0"/>
    <x v="0"/>
  </r>
  <r>
    <d v="2024-01-28T00:00:00"/>
    <s v="D005"/>
    <s v="Great Lakes Dairy"/>
    <s v="P002"/>
    <x v="1"/>
    <n v="38"/>
    <n v="40.1"/>
    <x v="0"/>
    <x v="0"/>
  </r>
  <r>
    <d v="2024-01-28T00:00:00"/>
    <s v="D005"/>
    <s v="Great Lakes Dairy"/>
    <s v="P003"/>
    <x v="2"/>
    <n v="32"/>
    <n v="34.1"/>
    <x v="0"/>
    <x v="0"/>
  </r>
  <r>
    <d v="2024-01-28T00:00:00"/>
    <s v="D005"/>
    <s v="Great Lakes Dairy"/>
    <s v="P004"/>
    <x v="3"/>
    <n v="50"/>
    <n v="49.2"/>
    <x v="0"/>
    <x v="0"/>
  </r>
  <r>
    <d v="2024-01-28T00:00:00"/>
    <s v="D005"/>
    <s v="Great Lakes Dairy"/>
    <s v="P005"/>
    <x v="4"/>
    <n v="38"/>
    <n v="41"/>
    <x v="0"/>
    <x v="0"/>
  </r>
  <r>
    <d v="2024-01-28T00:00:00"/>
    <s v="D005"/>
    <s v="Great Lakes Dairy"/>
    <s v="P006"/>
    <x v="5"/>
    <n v="32"/>
    <n v="34.299999999999997"/>
    <x v="0"/>
    <x v="0"/>
  </r>
  <r>
    <d v="2024-01-29T00:00:00"/>
    <s v="D001"/>
    <s v="Green Valley Produce"/>
    <s v="P001"/>
    <x v="0"/>
    <n v="34"/>
    <n v="40.6"/>
    <x v="1"/>
    <x v="2"/>
  </r>
  <r>
    <d v="2024-01-29T00:00:00"/>
    <s v="D001"/>
    <s v="Green Valley Produce"/>
    <s v="P002"/>
    <x v="1"/>
    <n v="38"/>
    <n v="37.799999999999997"/>
    <x v="0"/>
    <x v="0"/>
  </r>
  <r>
    <d v="2024-01-29T00:00:00"/>
    <s v="D001"/>
    <s v="Green Valley Produce"/>
    <s v="P003"/>
    <x v="2"/>
    <n v="32"/>
    <n v="33.6"/>
    <x v="0"/>
    <x v="0"/>
  </r>
  <r>
    <d v="2024-01-29T00:00:00"/>
    <s v="D001"/>
    <s v="Green Valley Produce"/>
    <s v="P004"/>
    <x v="3"/>
    <n v="50"/>
    <n v="60.3"/>
    <x v="1"/>
    <x v="1"/>
  </r>
  <r>
    <d v="2024-01-29T00:00:00"/>
    <s v="D001"/>
    <s v="Green Valley Produce"/>
    <s v="P005"/>
    <x v="4"/>
    <n v="38"/>
    <n v="39.5"/>
    <x v="0"/>
    <x v="0"/>
  </r>
  <r>
    <d v="2024-01-29T00:00:00"/>
    <s v="D001"/>
    <s v="Green Valley Produce"/>
    <s v="P006"/>
    <x v="5"/>
    <n v="32"/>
    <n v="41.5"/>
    <x v="1"/>
    <x v="2"/>
  </r>
  <r>
    <d v="2024-01-29T00:00:00"/>
    <s v="D002"/>
    <s v="Fresh Coast Foods"/>
    <s v="P001"/>
    <x v="0"/>
    <n v="34"/>
    <n v="33.1"/>
    <x v="0"/>
    <x v="0"/>
  </r>
  <r>
    <d v="2024-01-29T00:00:00"/>
    <s v="D002"/>
    <s v="Fresh Coast Foods"/>
    <s v="P002"/>
    <x v="1"/>
    <n v="38"/>
    <n v="49.8"/>
    <x v="1"/>
    <x v="1"/>
  </r>
  <r>
    <d v="2024-01-29T00:00:00"/>
    <s v="D002"/>
    <s v="Fresh Coast Foods"/>
    <s v="P003"/>
    <x v="2"/>
    <n v="32"/>
    <n v="31.1"/>
    <x v="0"/>
    <x v="0"/>
  </r>
  <r>
    <d v="2024-01-29T00:00:00"/>
    <s v="D002"/>
    <s v="Fresh Coast Foods"/>
    <s v="P004"/>
    <x v="3"/>
    <n v="50"/>
    <n v="51.6"/>
    <x v="0"/>
    <x v="0"/>
  </r>
  <r>
    <d v="2024-01-29T00:00:00"/>
    <s v="D002"/>
    <s v="Fresh Coast Foods"/>
    <s v="P005"/>
    <x v="4"/>
    <n v="38"/>
    <n v="44.3"/>
    <x v="1"/>
    <x v="2"/>
  </r>
  <r>
    <d v="2024-01-29T00:00:00"/>
    <s v="D002"/>
    <s v="Fresh Coast Foods"/>
    <s v="P006"/>
    <x v="5"/>
    <n v="32"/>
    <n v="31.6"/>
    <x v="0"/>
    <x v="0"/>
  </r>
  <r>
    <d v="2024-01-29T00:00:00"/>
    <s v="D003"/>
    <s v="Heartland Meats"/>
    <s v="P001"/>
    <x v="0"/>
    <n v="34"/>
    <n v="34.6"/>
    <x v="0"/>
    <x v="0"/>
  </r>
  <r>
    <d v="2024-01-29T00:00:00"/>
    <s v="D003"/>
    <s v="Heartland Meats"/>
    <s v="P002"/>
    <x v="1"/>
    <n v="38"/>
    <n v="49.7"/>
    <x v="1"/>
    <x v="1"/>
  </r>
  <r>
    <d v="2024-01-29T00:00:00"/>
    <s v="D003"/>
    <s v="Heartland Meats"/>
    <s v="P003"/>
    <x v="2"/>
    <n v="32"/>
    <n v="32.9"/>
    <x v="0"/>
    <x v="0"/>
  </r>
  <r>
    <d v="2024-01-29T00:00:00"/>
    <s v="D003"/>
    <s v="Heartland Meats"/>
    <s v="P004"/>
    <x v="3"/>
    <n v="50"/>
    <n v="51.9"/>
    <x v="0"/>
    <x v="0"/>
  </r>
  <r>
    <d v="2024-01-29T00:00:00"/>
    <s v="D003"/>
    <s v="Heartland Meats"/>
    <s v="P005"/>
    <x v="4"/>
    <n v="38"/>
    <n v="37.299999999999997"/>
    <x v="0"/>
    <x v="0"/>
  </r>
  <r>
    <d v="2024-01-29T00:00:00"/>
    <s v="D003"/>
    <s v="Heartland Meats"/>
    <s v="P006"/>
    <x v="5"/>
    <n v="32"/>
    <n v="32.5"/>
    <x v="0"/>
    <x v="0"/>
  </r>
  <r>
    <d v="2024-01-29T00:00:00"/>
    <s v="D004"/>
    <s v="Southwest Organics"/>
    <s v="P001"/>
    <x v="0"/>
    <n v="34"/>
    <n v="36.1"/>
    <x v="0"/>
    <x v="0"/>
  </r>
  <r>
    <d v="2024-01-29T00:00:00"/>
    <s v="D004"/>
    <s v="Southwest Organics"/>
    <s v="P002"/>
    <x v="1"/>
    <n v="38"/>
    <n v="48.3"/>
    <x v="1"/>
    <x v="1"/>
  </r>
  <r>
    <d v="2024-01-29T00:00:00"/>
    <s v="D004"/>
    <s v="Southwest Organics"/>
    <s v="P003"/>
    <x v="2"/>
    <n v="32"/>
    <n v="32.299999999999997"/>
    <x v="0"/>
    <x v="0"/>
  </r>
  <r>
    <d v="2024-01-29T00:00:00"/>
    <s v="D004"/>
    <s v="Southwest Organics"/>
    <s v="P004"/>
    <x v="3"/>
    <n v="50"/>
    <n v="49.2"/>
    <x v="0"/>
    <x v="0"/>
  </r>
  <r>
    <d v="2024-01-29T00:00:00"/>
    <s v="D004"/>
    <s v="Southwest Organics"/>
    <s v="P005"/>
    <x v="4"/>
    <n v="38"/>
    <n v="39.6"/>
    <x v="0"/>
    <x v="0"/>
  </r>
  <r>
    <d v="2024-01-29T00:00:00"/>
    <s v="D004"/>
    <s v="Southwest Organics"/>
    <s v="P006"/>
    <x v="5"/>
    <n v="32"/>
    <n v="34.4"/>
    <x v="0"/>
    <x v="0"/>
  </r>
  <r>
    <d v="2024-01-29T00:00:00"/>
    <s v="D005"/>
    <s v="Great Lakes Dairy"/>
    <s v="P001"/>
    <x v="0"/>
    <n v="34"/>
    <n v="36.4"/>
    <x v="0"/>
    <x v="0"/>
  </r>
  <r>
    <d v="2024-01-29T00:00:00"/>
    <s v="D005"/>
    <s v="Great Lakes Dairy"/>
    <s v="P002"/>
    <x v="1"/>
    <n v="38"/>
    <n v="38.200000000000003"/>
    <x v="0"/>
    <x v="0"/>
  </r>
  <r>
    <d v="2024-01-29T00:00:00"/>
    <s v="D005"/>
    <s v="Great Lakes Dairy"/>
    <s v="P003"/>
    <x v="2"/>
    <n v="32"/>
    <n v="33.200000000000003"/>
    <x v="0"/>
    <x v="0"/>
  </r>
  <r>
    <d v="2024-01-29T00:00:00"/>
    <s v="D005"/>
    <s v="Great Lakes Dairy"/>
    <s v="P004"/>
    <x v="3"/>
    <n v="50"/>
    <n v="51.6"/>
    <x v="0"/>
    <x v="0"/>
  </r>
  <r>
    <d v="2024-01-29T00:00:00"/>
    <s v="D005"/>
    <s v="Great Lakes Dairy"/>
    <s v="P005"/>
    <x v="4"/>
    <n v="38"/>
    <n v="38.6"/>
    <x v="0"/>
    <x v="0"/>
  </r>
  <r>
    <d v="2024-01-29T00:00:00"/>
    <s v="D005"/>
    <s v="Great Lakes Dairy"/>
    <s v="P006"/>
    <x v="5"/>
    <n v="32"/>
    <n v="43.5"/>
    <x v="1"/>
    <x v="1"/>
  </r>
  <r>
    <d v="2024-01-30T00:00:00"/>
    <s v="D001"/>
    <s v="Green Valley Produce"/>
    <s v="P001"/>
    <x v="0"/>
    <n v="34"/>
    <n v="36.5"/>
    <x v="0"/>
    <x v="0"/>
  </r>
  <r>
    <d v="2024-01-30T00:00:00"/>
    <s v="D001"/>
    <s v="Green Valley Produce"/>
    <s v="P002"/>
    <x v="1"/>
    <n v="38"/>
    <n v="37.799999999999997"/>
    <x v="0"/>
    <x v="0"/>
  </r>
  <r>
    <d v="2024-01-30T00:00:00"/>
    <s v="D001"/>
    <s v="Green Valley Produce"/>
    <s v="P003"/>
    <x v="2"/>
    <n v="32"/>
    <n v="38.200000000000003"/>
    <x v="1"/>
    <x v="2"/>
  </r>
  <r>
    <d v="2024-01-30T00:00:00"/>
    <s v="D001"/>
    <s v="Green Valley Produce"/>
    <s v="P004"/>
    <x v="3"/>
    <n v="50"/>
    <n v="50"/>
    <x v="0"/>
    <x v="0"/>
  </r>
  <r>
    <d v="2024-01-30T00:00:00"/>
    <s v="D001"/>
    <s v="Green Valley Produce"/>
    <s v="P005"/>
    <x v="4"/>
    <n v="38"/>
    <n v="40.200000000000003"/>
    <x v="0"/>
    <x v="0"/>
  </r>
  <r>
    <d v="2024-01-30T00:00:00"/>
    <s v="D001"/>
    <s v="Green Valley Produce"/>
    <s v="P006"/>
    <x v="5"/>
    <n v="32"/>
    <n v="33"/>
    <x v="0"/>
    <x v="0"/>
  </r>
  <r>
    <d v="2024-01-30T00:00:00"/>
    <s v="D002"/>
    <s v="Fresh Coast Foods"/>
    <s v="P001"/>
    <x v="0"/>
    <n v="34"/>
    <n v="36.200000000000003"/>
    <x v="0"/>
    <x v="0"/>
  </r>
  <r>
    <d v="2024-01-30T00:00:00"/>
    <s v="D002"/>
    <s v="Fresh Coast Foods"/>
    <s v="P002"/>
    <x v="1"/>
    <n v="38"/>
    <n v="37.1"/>
    <x v="0"/>
    <x v="0"/>
  </r>
  <r>
    <d v="2024-01-30T00:00:00"/>
    <s v="D002"/>
    <s v="Fresh Coast Foods"/>
    <s v="P003"/>
    <x v="2"/>
    <n v="32"/>
    <n v="32.4"/>
    <x v="0"/>
    <x v="0"/>
  </r>
  <r>
    <d v="2024-01-30T00:00:00"/>
    <s v="D002"/>
    <s v="Fresh Coast Foods"/>
    <s v="P004"/>
    <x v="3"/>
    <n v="50"/>
    <n v="50.6"/>
    <x v="0"/>
    <x v="0"/>
  </r>
  <r>
    <d v="2024-01-30T00:00:00"/>
    <s v="D002"/>
    <s v="Fresh Coast Foods"/>
    <s v="P005"/>
    <x v="4"/>
    <n v="38"/>
    <n v="39.6"/>
    <x v="0"/>
    <x v="0"/>
  </r>
  <r>
    <d v="2024-01-30T00:00:00"/>
    <s v="D002"/>
    <s v="Fresh Coast Foods"/>
    <s v="P006"/>
    <x v="5"/>
    <n v="32"/>
    <n v="34.799999999999997"/>
    <x v="0"/>
    <x v="0"/>
  </r>
  <r>
    <d v="2024-01-30T00:00:00"/>
    <s v="D003"/>
    <s v="Heartland Meats"/>
    <s v="P001"/>
    <x v="0"/>
    <n v="34"/>
    <n v="35.1"/>
    <x v="0"/>
    <x v="0"/>
  </r>
  <r>
    <d v="2024-01-30T00:00:00"/>
    <s v="D003"/>
    <s v="Heartland Meats"/>
    <s v="P002"/>
    <x v="1"/>
    <n v="38"/>
    <n v="37.9"/>
    <x v="0"/>
    <x v="0"/>
  </r>
  <r>
    <d v="2024-01-30T00:00:00"/>
    <s v="D003"/>
    <s v="Heartland Meats"/>
    <s v="P003"/>
    <x v="2"/>
    <n v="32"/>
    <n v="43.9"/>
    <x v="1"/>
    <x v="1"/>
  </r>
  <r>
    <d v="2024-01-30T00:00:00"/>
    <s v="D003"/>
    <s v="Heartland Meats"/>
    <s v="P004"/>
    <x v="3"/>
    <n v="50"/>
    <n v="49.1"/>
    <x v="0"/>
    <x v="0"/>
  </r>
  <r>
    <d v="2024-01-30T00:00:00"/>
    <s v="D003"/>
    <s v="Heartland Meats"/>
    <s v="P005"/>
    <x v="4"/>
    <n v="38"/>
    <n v="39.5"/>
    <x v="0"/>
    <x v="0"/>
  </r>
  <r>
    <d v="2024-01-30T00:00:00"/>
    <s v="D003"/>
    <s v="Heartland Meats"/>
    <s v="P006"/>
    <x v="5"/>
    <n v="32"/>
    <n v="33.6"/>
    <x v="0"/>
    <x v="0"/>
  </r>
  <r>
    <d v="2024-01-30T00:00:00"/>
    <s v="D004"/>
    <s v="Southwest Organics"/>
    <s v="P001"/>
    <x v="0"/>
    <n v="34"/>
    <n v="45.1"/>
    <x v="1"/>
    <x v="1"/>
  </r>
  <r>
    <d v="2024-01-30T00:00:00"/>
    <s v="D004"/>
    <s v="Southwest Organics"/>
    <s v="P002"/>
    <x v="1"/>
    <n v="38"/>
    <n v="40.299999999999997"/>
    <x v="0"/>
    <x v="0"/>
  </r>
  <r>
    <d v="2024-01-30T00:00:00"/>
    <s v="D004"/>
    <s v="Southwest Organics"/>
    <s v="P003"/>
    <x v="2"/>
    <n v="32"/>
    <n v="42.9"/>
    <x v="1"/>
    <x v="1"/>
  </r>
  <r>
    <d v="2024-01-30T00:00:00"/>
    <s v="D004"/>
    <s v="Southwest Organics"/>
    <s v="P004"/>
    <x v="3"/>
    <n v="50"/>
    <n v="49.3"/>
    <x v="0"/>
    <x v="0"/>
  </r>
  <r>
    <d v="2024-01-30T00:00:00"/>
    <s v="D004"/>
    <s v="Southwest Organics"/>
    <s v="P005"/>
    <x v="4"/>
    <n v="38"/>
    <n v="37.5"/>
    <x v="0"/>
    <x v="0"/>
  </r>
  <r>
    <d v="2024-01-30T00:00:00"/>
    <s v="D004"/>
    <s v="Southwest Organics"/>
    <s v="P006"/>
    <x v="5"/>
    <n v="32"/>
    <n v="33.5"/>
    <x v="0"/>
    <x v="0"/>
  </r>
  <r>
    <d v="2024-01-30T00:00:00"/>
    <s v="D005"/>
    <s v="Great Lakes Dairy"/>
    <s v="P001"/>
    <x v="0"/>
    <n v="34"/>
    <n v="41.6"/>
    <x v="1"/>
    <x v="2"/>
  </r>
  <r>
    <d v="2024-01-30T00:00:00"/>
    <s v="D005"/>
    <s v="Great Lakes Dairy"/>
    <s v="P002"/>
    <x v="1"/>
    <n v="38"/>
    <n v="40.299999999999997"/>
    <x v="0"/>
    <x v="0"/>
  </r>
  <r>
    <d v="2024-01-30T00:00:00"/>
    <s v="D005"/>
    <s v="Great Lakes Dairy"/>
    <s v="P003"/>
    <x v="2"/>
    <n v="32"/>
    <n v="32.6"/>
    <x v="0"/>
    <x v="0"/>
  </r>
  <r>
    <d v="2024-01-30T00:00:00"/>
    <s v="D005"/>
    <s v="Great Lakes Dairy"/>
    <s v="P004"/>
    <x v="3"/>
    <n v="50"/>
    <n v="61.5"/>
    <x v="1"/>
    <x v="1"/>
  </r>
  <r>
    <d v="2024-01-30T00:00:00"/>
    <s v="D005"/>
    <s v="Great Lakes Dairy"/>
    <s v="P005"/>
    <x v="4"/>
    <n v="38"/>
    <n v="38.299999999999997"/>
    <x v="0"/>
    <x v="0"/>
  </r>
  <r>
    <d v="2024-01-30T00:00:00"/>
    <s v="D005"/>
    <s v="Great Lakes Dairy"/>
    <s v="P006"/>
    <x v="5"/>
    <n v="32"/>
    <n v="31.9"/>
    <x v="0"/>
    <x v="0"/>
  </r>
  <r>
    <d v="2024-01-31T00:00:00"/>
    <s v="D001"/>
    <s v="Green Valley Produce"/>
    <s v="P001"/>
    <x v="0"/>
    <n v="34"/>
    <n v="41.4"/>
    <x v="1"/>
    <x v="2"/>
  </r>
  <r>
    <d v="2024-01-31T00:00:00"/>
    <s v="D001"/>
    <s v="Green Valley Produce"/>
    <s v="P002"/>
    <x v="1"/>
    <n v="38"/>
    <n v="46.2"/>
    <x v="1"/>
    <x v="2"/>
  </r>
  <r>
    <d v="2024-01-31T00:00:00"/>
    <s v="D001"/>
    <s v="Green Valley Produce"/>
    <s v="P003"/>
    <x v="2"/>
    <n v="32"/>
    <n v="31.7"/>
    <x v="0"/>
    <x v="0"/>
  </r>
  <r>
    <d v="2024-01-31T00:00:00"/>
    <s v="D001"/>
    <s v="Green Valley Produce"/>
    <s v="P004"/>
    <x v="3"/>
    <n v="50"/>
    <n v="49.7"/>
    <x v="0"/>
    <x v="0"/>
  </r>
  <r>
    <d v="2024-01-31T00:00:00"/>
    <s v="D001"/>
    <s v="Green Valley Produce"/>
    <s v="P005"/>
    <x v="4"/>
    <n v="38"/>
    <n v="39.299999999999997"/>
    <x v="0"/>
    <x v="0"/>
  </r>
  <r>
    <d v="2024-01-31T00:00:00"/>
    <s v="D001"/>
    <s v="Green Valley Produce"/>
    <s v="P006"/>
    <x v="5"/>
    <n v="32"/>
    <n v="44.3"/>
    <x v="1"/>
    <x v="1"/>
  </r>
  <r>
    <d v="2024-01-31T00:00:00"/>
    <s v="D002"/>
    <s v="Fresh Coast Foods"/>
    <s v="P001"/>
    <x v="0"/>
    <n v="34"/>
    <n v="34.5"/>
    <x v="0"/>
    <x v="0"/>
  </r>
  <r>
    <d v="2024-01-31T00:00:00"/>
    <s v="D002"/>
    <s v="Fresh Coast Foods"/>
    <s v="P002"/>
    <x v="1"/>
    <n v="38"/>
    <n v="51"/>
    <x v="1"/>
    <x v="1"/>
  </r>
  <r>
    <d v="2024-01-31T00:00:00"/>
    <s v="D002"/>
    <s v="Fresh Coast Foods"/>
    <s v="P003"/>
    <x v="2"/>
    <n v="32"/>
    <n v="38.1"/>
    <x v="1"/>
    <x v="2"/>
  </r>
  <r>
    <d v="2024-01-31T00:00:00"/>
    <s v="D002"/>
    <s v="Fresh Coast Foods"/>
    <s v="P004"/>
    <x v="3"/>
    <n v="50"/>
    <n v="51.8"/>
    <x v="0"/>
    <x v="0"/>
  </r>
  <r>
    <d v="2024-01-31T00:00:00"/>
    <s v="D002"/>
    <s v="Fresh Coast Foods"/>
    <s v="P005"/>
    <x v="4"/>
    <n v="38"/>
    <n v="38.1"/>
    <x v="0"/>
    <x v="0"/>
  </r>
  <r>
    <d v="2024-01-31T00:00:00"/>
    <s v="D002"/>
    <s v="Fresh Coast Foods"/>
    <s v="P006"/>
    <x v="5"/>
    <n v="32"/>
    <n v="34.200000000000003"/>
    <x v="0"/>
    <x v="0"/>
  </r>
  <r>
    <d v="2024-01-31T00:00:00"/>
    <s v="D003"/>
    <s v="Heartland Meats"/>
    <s v="P001"/>
    <x v="0"/>
    <n v="34"/>
    <n v="33.5"/>
    <x v="0"/>
    <x v="0"/>
  </r>
  <r>
    <d v="2024-01-31T00:00:00"/>
    <s v="D003"/>
    <s v="Heartland Meats"/>
    <s v="P002"/>
    <x v="1"/>
    <n v="38"/>
    <n v="46.2"/>
    <x v="1"/>
    <x v="2"/>
  </r>
  <r>
    <d v="2024-01-31T00:00:00"/>
    <s v="D003"/>
    <s v="Heartland Meats"/>
    <s v="P003"/>
    <x v="2"/>
    <n v="32"/>
    <n v="32"/>
    <x v="0"/>
    <x v="0"/>
  </r>
  <r>
    <d v="2024-01-31T00:00:00"/>
    <s v="D003"/>
    <s v="Heartland Meats"/>
    <s v="P004"/>
    <x v="3"/>
    <n v="50"/>
    <n v="61.5"/>
    <x v="1"/>
    <x v="1"/>
  </r>
  <r>
    <d v="2024-01-31T00:00:00"/>
    <s v="D003"/>
    <s v="Heartland Meats"/>
    <s v="P005"/>
    <x v="4"/>
    <n v="38"/>
    <n v="39.9"/>
    <x v="0"/>
    <x v="0"/>
  </r>
  <r>
    <d v="2024-01-31T00:00:00"/>
    <s v="D003"/>
    <s v="Heartland Meats"/>
    <s v="P006"/>
    <x v="5"/>
    <n v="32"/>
    <n v="31.4"/>
    <x v="0"/>
    <x v="0"/>
  </r>
  <r>
    <d v="2024-01-31T00:00:00"/>
    <s v="D004"/>
    <s v="Southwest Organics"/>
    <s v="P001"/>
    <x v="0"/>
    <n v="34"/>
    <n v="34.200000000000003"/>
    <x v="0"/>
    <x v="0"/>
  </r>
  <r>
    <d v="2024-01-31T00:00:00"/>
    <s v="D004"/>
    <s v="Southwest Organics"/>
    <s v="P002"/>
    <x v="1"/>
    <n v="38"/>
    <n v="39.200000000000003"/>
    <x v="0"/>
    <x v="0"/>
  </r>
  <r>
    <d v="2024-01-31T00:00:00"/>
    <s v="D004"/>
    <s v="Southwest Organics"/>
    <s v="P003"/>
    <x v="2"/>
    <n v="32"/>
    <n v="34.9"/>
    <x v="0"/>
    <x v="0"/>
  </r>
  <r>
    <d v="2024-01-31T00:00:00"/>
    <s v="D004"/>
    <s v="Southwest Organics"/>
    <s v="P004"/>
    <x v="3"/>
    <n v="50"/>
    <n v="51.5"/>
    <x v="0"/>
    <x v="0"/>
  </r>
  <r>
    <d v="2024-01-31T00:00:00"/>
    <s v="D004"/>
    <s v="Southwest Organics"/>
    <s v="P005"/>
    <x v="4"/>
    <n v="38"/>
    <n v="40.9"/>
    <x v="0"/>
    <x v="0"/>
  </r>
  <r>
    <d v="2024-01-31T00:00:00"/>
    <s v="D004"/>
    <s v="Southwest Organics"/>
    <s v="P006"/>
    <x v="5"/>
    <n v="32"/>
    <n v="32.9"/>
    <x v="0"/>
    <x v="0"/>
  </r>
  <r>
    <d v="2024-01-31T00:00:00"/>
    <s v="D005"/>
    <s v="Great Lakes Dairy"/>
    <s v="P001"/>
    <x v="0"/>
    <n v="34"/>
    <n v="33.799999999999997"/>
    <x v="0"/>
    <x v="0"/>
  </r>
  <r>
    <d v="2024-01-31T00:00:00"/>
    <s v="D005"/>
    <s v="Great Lakes Dairy"/>
    <s v="P002"/>
    <x v="1"/>
    <n v="38"/>
    <n v="44.9"/>
    <x v="1"/>
    <x v="2"/>
  </r>
  <r>
    <d v="2024-01-31T00:00:00"/>
    <s v="D005"/>
    <s v="Great Lakes Dairy"/>
    <s v="P003"/>
    <x v="2"/>
    <n v="32"/>
    <n v="44.8"/>
    <x v="1"/>
    <x v="1"/>
  </r>
  <r>
    <d v="2024-01-31T00:00:00"/>
    <s v="D005"/>
    <s v="Great Lakes Dairy"/>
    <s v="P004"/>
    <x v="3"/>
    <n v="50"/>
    <n v="51"/>
    <x v="0"/>
    <x v="0"/>
  </r>
  <r>
    <d v="2024-01-31T00:00:00"/>
    <s v="D005"/>
    <s v="Great Lakes Dairy"/>
    <s v="P005"/>
    <x v="4"/>
    <n v="38"/>
    <n v="51.4"/>
    <x v="1"/>
    <x v="1"/>
  </r>
  <r>
    <d v="2024-01-31T00:00:00"/>
    <s v="D005"/>
    <s v="Great Lakes Dairy"/>
    <s v="P006"/>
    <x v="5"/>
    <n v="32"/>
    <n v="40.9"/>
    <x v="1"/>
    <x v="2"/>
  </r>
  <r>
    <d v="2024-02-01T00:00:00"/>
    <s v="D001"/>
    <s v="Green Valley Produce"/>
    <s v="P001"/>
    <x v="0"/>
    <n v="34"/>
    <n v="34"/>
    <x v="0"/>
    <x v="0"/>
  </r>
  <r>
    <d v="2024-02-01T00:00:00"/>
    <s v="D001"/>
    <s v="Green Valley Produce"/>
    <s v="P002"/>
    <x v="1"/>
    <n v="38"/>
    <n v="40.6"/>
    <x v="0"/>
    <x v="0"/>
  </r>
  <r>
    <d v="2024-02-01T00:00:00"/>
    <s v="D001"/>
    <s v="Green Valley Produce"/>
    <s v="P003"/>
    <x v="2"/>
    <n v="32"/>
    <n v="31.4"/>
    <x v="0"/>
    <x v="0"/>
  </r>
  <r>
    <d v="2024-02-01T00:00:00"/>
    <s v="D001"/>
    <s v="Green Valley Produce"/>
    <s v="P004"/>
    <x v="3"/>
    <n v="50"/>
    <n v="60.3"/>
    <x v="1"/>
    <x v="1"/>
  </r>
  <r>
    <d v="2024-02-01T00:00:00"/>
    <s v="D001"/>
    <s v="Green Valley Produce"/>
    <s v="P005"/>
    <x v="4"/>
    <n v="38"/>
    <n v="44.2"/>
    <x v="1"/>
    <x v="2"/>
  </r>
  <r>
    <d v="2024-02-01T00:00:00"/>
    <s v="D001"/>
    <s v="Green Valley Produce"/>
    <s v="P006"/>
    <x v="5"/>
    <n v="32"/>
    <n v="31.3"/>
    <x v="0"/>
    <x v="0"/>
  </r>
  <r>
    <d v="2024-02-01T00:00:00"/>
    <s v="D002"/>
    <s v="Fresh Coast Foods"/>
    <s v="P001"/>
    <x v="0"/>
    <n v="34"/>
    <n v="34.799999999999997"/>
    <x v="0"/>
    <x v="0"/>
  </r>
  <r>
    <d v="2024-02-01T00:00:00"/>
    <s v="D002"/>
    <s v="Fresh Coast Foods"/>
    <s v="P002"/>
    <x v="1"/>
    <n v="38"/>
    <n v="38.700000000000003"/>
    <x v="0"/>
    <x v="0"/>
  </r>
  <r>
    <d v="2024-02-01T00:00:00"/>
    <s v="D002"/>
    <s v="Fresh Coast Foods"/>
    <s v="P003"/>
    <x v="2"/>
    <n v="32"/>
    <n v="34.6"/>
    <x v="0"/>
    <x v="0"/>
  </r>
  <r>
    <d v="2024-02-01T00:00:00"/>
    <s v="D002"/>
    <s v="Fresh Coast Foods"/>
    <s v="P004"/>
    <x v="3"/>
    <n v="50"/>
    <n v="49.4"/>
    <x v="0"/>
    <x v="0"/>
  </r>
  <r>
    <d v="2024-02-01T00:00:00"/>
    <s v="D002"/>
    <s v="Fresh Coast Foods"/>
    <s v="P005"/>
    <x v="4"/>
    <n v="38"/>
    <n v="37.9"/>
    <x v="0"/>
    <x v="0"/>
  </r>
  <r>
    <d v="2024-02-01T00:00:00"/>
    <s v="D002"/>
    <s v="Fresh Coast Foods"/>
    <s v="P006"/>
    <x v="5"/>
    <n v="32"/>
    <n v="31.8"/>
    <x v="0"/>
    <x v="0"/>
  </r>
  <r>
    <d v="2024-02-01T00:00:00"/>
    <s v="D003"/>
    <s v="Heartland Meats"/>
    <s v="P001"/>
    <x v="0"/>
    <n v="34"/>
    <n v="33.299999999999997"/>
    <x v="0"/>
    <x v="0"/>
  </r>
  <r>
    <d v="2024-02-01T00:00:00"/>
    <s v="D003"/>
    <s v="Heartland Meats"/>
    <s v="P002"/>
    <x v="1"/>
    <n v="38"/>
    <n v="37.200000000000003"/>
    <x v="0"/>
    <x v="0"/>
  </r>
  <r>
    <d v="2024-02-01T00:00:00"/>
    <s v="D003"/>
    <s v="Heartland Meats"/>
    <s v="P003"/>
    <x v="2"/>
    <n v="32"/>
    <n v="31.9"/>
    <x v="0"/>
    <x v="0"/>
  </r>
  <r>
    <d v="2024-02-01T00:00:00"/>
    <s v="D003"/>
    <s v="Heartland Meats"/>
    <s v="P004"/>
    <x v="3"/>
    <n v="50"/>
    <n v="49.7"/>
    <x v="0"/>
    <x v="0"/>
  </r>
  <r>
    <d v="2024-02-01T00:00:00"/>
    <s v="D003"/>
    <s v="Heartland Meats"/>
    <s v="P005"/>
    <x v="4"/>
    <n v="38"/>
    <n v="38.799999999999997"/>
    <x v="0"/>
    <x v="0"/>
  </r>
  <r>
    <d v="2024-02-01T00:00:00"/>
    <s v="D003"/>
    <s v="Heartland Meats"/>
    <s v="P006"/>
    <x v="5"/>
    <n v="32"/>
    <n v="32.4"/>
    <x v="0"/>
    <x v="0"/>
  </r>
  <r>
    <d v="2024-02-01T00:00:00"/>
    <s v="D004"/>
    <s v="Southwest Organics"/>
    <s v="P001"/>
    <x v="0"/>
    <n v="34"/>
    <n v="34.299999999999997"/>
    <x v="0"/>
    <x v="0"/>
  </r>
  <r>
    <d v="2024-02-01T00:00:00"/>
    <s v="D004"/>
    <s v="Southwest Organics"/>
    <s v="P002"/>
    <x v="1"/>
    <n v="38"/>
    <n v="48.5"/>
    <x v="1"/>
    <x v="1"/>
  </r>
  <r>
    <d v="2024-02-01T00:00:00"/>
    <s v="D004"/>
    <s v="Southwest Organics"/>
    <s v="P003"/>
    <x v="2"/>
    <n v="32"/>
    <n v="31.4"/>
    <x v="0"/>
    <x v="0"/>
  </r>
  <r>
    <d v="2024-02-01T00:00:00"/>
    <s v="D004"/>
    <s v="Southwest Organics"/>
    <s v="P004"/>
    <x v="3"/>
    <n v="50"/>
    <n v="50.7"/>
    <x v="0"/>
    <x v="0"/>
  </r>
  <r>
    <d v="2024-02-01T00:00:00"/>
    <s v="D004"/>
    <s v="Southwest Organics"/>
    <s v="P005"/>
    <x v="4"/>
    <n v="38"/>
    <n v="37.9"/>
    <x v="0"/>
    <x v="0"/>
  </r>
  <r>
    <d v="2024-02-01T00:00:00"/>
    <s v="D004"/>
    <s v="Southwest Organics"/>
    <s v="P006"/>
    <x v="5"/>
    <n v="32"/>
    <n v="31.6"/>
    <x v="0"/>
    <x v="0"/>
  </r>
  <r>
    <d v="2024-02-01T00:00:00"/>
    <s v="D005"/>
    <s v="Great Lakes Dairy"/>
    <s v="P001"/>
    <x v="0"/>
    <n v="34"/>
    <n v="36.799999999999997"/>
    <x v="0"/>
    <x v="0"/>
  </r>
  <r>
    <d v="2024-02-01T00:00:00"/>
    <s v="D005"/>
    <s v="Great Lakes Dairy"/>
    <s v="P002"/>
    <x v="1"/>
    <n v="38"/>
    <n v="39.299999999999997"/>
    <x v="0"/>
    <x v="0"/>
  </r>
  <r>
    <d v="2024-02-01T00:00:00"/>
    <s v="D005"/>
    <s v="Great Lakes Dairy"/>
    <s v="P003"/>
    <x v="2"/>
    <n v="32"/>
    <n v="31.9"/>
    <x v="0"/>
    <x v="0"/>
  </r>
  <r>
    <d v="2024-02-01T00:00:00"/>
    <s v="D005"/>
    <s v="Great Lakes Dairy"/>
    <s v="P004"/>
    <x v="3"/>
    <n v="50"/>
    <n v="51.1"/>
    <x v="0"/>
    <x v="0"/>
  </r>
  <r>
    <d v="2024-02-01T00:00:00"/>
    <s v="D005"/>
    <s v="Great Lakes Dairy"/>
    <s v="P005"/>
    <x v="4"/>
    <n v="38"/>
    <n v="37.9"/>
    <x v="0"/>
    <x v="0"/>
  </r>
  <r>
    <d v="2024-02-01T00:00:00"/>
    <s v="D005"/>
    <s v="Great Lakes Dairy"/>
    <s v="P006"/>
    <x v="5"/>
    <n v="32"/>
    <n v="32.9"/>
    <x v="0"/>
    <x v="0"/>
  </r>
  <r>
    <d v="2024-02-02T00:00:00"/>
    <s v="D001"/>
    <s v="Green Valley Produce"/>
    <s v="P001"/>
    <x v="0"/>
    <n v="34"/>
    <n v="43.4"/>
    <x v="1"/>
    <x v="2"/>
  </r>
  <r>
    <d v="2024-02-02T00:00:00"/>
    <s v="D001"/>
    <s v="Green Valley Produce"/>
    <s v="P002"/>
    <x v="1"/>
    <n v="38"/>
    <n v="38"/>
    <x v="0"/>
    <x v="0"/>
  </r>
  <r>
    <d v="2024-02-02T00:00:00"/>
    <s v="D001"/>
    <s v="Green Valley Produce"/>
    <s v="P003"/>
    <x v="2"/>
    <n v="32"/>
    <n v="31.9"/>
    <x v="0"/>
    <x v="0"/>
  </r>
  <r>
    <d v="2024-02-02T00:00:00"/>
    <s v="D001"/>
    <s v="Green Valley Produce"/>
    <s v="P004"/>
    <x v="3"/>
    <n v="50"/>
    <n v="52.8"/>
    <x v="0"/>
    <x v="0"/>
  </r>
  <r>
    <d v="2024-02-02T00:00:00"/>
    <s v="D001"/>
    <s v="Green Valley Produce"/>
    <s v="P005"/>
    <x v="4"/>
    <n v="38"/>
    <n v="40.6"/>
    <x v="0"/>
    <x v="0"/>
  </r>
  <r>
    <d v="2024-02-02T00:00:00"/>
    <s v="D001"/>
    <s v="Green Valley Produce"/>
    <s v="P006"/>
    <x v="5"/>
    <n v="32"/>
    <n v="31.2"/>
    <x v="0"/>
    <x v="0"/>
  </r>
  <r>
    <d v="2024-02-02T00:00:00"/>
    <s v="D002"/>
    <s v="Fresh Coast Foods"/>
    <s v="P001"/>
    <x v="0"/>
    <n v="34"/>
    <n v="35.9"/>
    <x v="0"/>
    <x v="0"/>
  </r>
  <r>
    <d v="2024-02-02T00:00:00"/>
    <s v="D002"/>
    <s v="Fresh Coast Foods"/>
    <s v="P002"/>
    <x v="1"/>
    <n v="38"/>
    <n v="38.700000000000003"/>
    <x v="0"/>
    <x v="0"/>
  </r>
  <r>
    <d v="2024-02-02T00:00:00"/>
    <s v="D002"/>
    <s v="Fresh Coast Foods"/>
    <s v="P003"/>
    <x v="2"/>
    <n v="32"/>
    <n v="34.200000000000003"/>
    <x v="0"/>
    <x v="0"/>
  </r>
  <r>
    <d v="2024-02-02T00:00:00"/>
    <s v="D002"/>
    <s v="Fresh Coast Foods"/>
    <s v="P004"/>
    <x v="3"/>
    <n v="50"/>
    <n v="49.4"/>
    <x v="0"/>
    <x v="0"/>
  </r>
  <r>
    <d v="2024-02-02T00:00:00"/>
    <s v="D002"/>
    <s v="Fresh Coast Foods"/>
    <s v="P005"/>
    <x v="4"/>
    <n v="38"/>
    <n v="37.299999999999997"/>
    <x v="0"/>
    <x v="0"/>
  </r>
  <r>
    <d v="2024-02-02T00:00:00"/>
    <s v="D002"/>
    <s v="Fresh Coast Foods"/>
    <s v="P006"/>
    <x v="5"/>
    <n v="32"/>
    <n v="33.799999999999997"/>
    <x v="0"/>
    <x v="0"/>
  </r>
  <r>
    <d v="2024-02-02T00:00:00"/>
    <s v="D003"/>
    <s v="Heartland Meats"/>
    <s v="P001"/>
    <x v="0"/>
    <n v="34"/>
    <n v="33.9"/>
    <x v="0"/>
    <x v="0"/>
  </r>
  <r>
    <d v="2024-02-02T00:00:00"/>
    <s v="D003"/>
    <s v="Heartland Meats"/>
    <s v="P002"/>
    <x v="1"/>
    <n v="38"/>
    <n v="38"/>
    <x v="0"/>
    <x v="0"/>
  </r>
  <r>
    <d v="2024-02-02T00:00:00"/>
    <s v="D003"/>
    <s v="Heartland Meats"/>
    <s v="P003"/>
    <x v="2"/>
    <n v="32"/>
    <n v="31.1"/>
    <x v="0"/>
    <x v="0"/>
  </r>
  <r>
    <d v="2024-02-02T00:00:00"/>
    <s v="D003"/>
    <s v="Heartland Meats"/>
    <s v="P004"/>
    <x v="3"/>
    <n v="50"/>
    <n v="49.6"/>
    <x v="0"/>
    <x v="0"/>
  </r>
  <r>
    <d v="2024-02-02T00:00:00"/>
    <s v="D003"/>
    <s v="Heartland Meats"/>
    <s v="P005"/>
    <x v="4"/>
    <n v="38"/>
    <n v="39.299999999999997"/>
    <x v="0"/>
    <x v="0"/>
  </r>
  <r>
    <d v="2024-02-02T00:00:00"/>
    <s v="D003"/>
    <s v="Heartland Meats"/>
    <s v="P006"/>
    <x v="5"/>
    <n v="32"/>
    <n v="34.9"/>
    <x v="0"/>
    <x v="0"/>
  </r>
  <r>
    <d v="2024-02-02T00:00:00"/>
    <s v="D004"/>
    <s v="Southwest Organics"/>
    <s v="P001"/>
    <x v="0"/>
    <n v="34"/>
    <n v="33.6"/>
    <x v="0"/>
    <x v="0"/>
  </r>
  <r>
    <d v="2024-02-02T00:00:00"/>
    <s v="D004"/>
    <s v="Southwest Organics"/>
    <s v="P002"/>
    <x v="1"/>
    <n v="38"/>
    <n v="37.700000000000003"/>
    <x v="0"/>
    <x v="0"/>
  </r>
  <r>
    <d v="2024-02-02T00:00:00"/>
    <s v="D004"/>
    <s v="Southwest Organics"/>
    <s v="P003"/>
    <x v="2"/>
    <n v="32"/>
    <n v="33.5"/>
    <x v="0"/>
    <x v="0"/>
  </r>
  <r>
    <d v="2024-02-02T00:00:00"/>
    <s v="D004"/>
    <s v="Southwest Organics"/>
    <s v="P004"/>
    <x v="3"/>
    <n v="50"/>
    <n v="49"/>
    <x v="0"/>
    <x v="0"/>
  </r>
  <r>
    <d v="2024-02-02T00:00:00"/>
    <s v="D004"/>
    <s v="Southwest Organics"/>
    <s v="P005"/>
    <x v="4"/>
    <n v="38"/>
    <n v="38.5"/>
    <x v="0"/>
    <x v="0"/>
  </r>
  <r>
    <d v="2024-02-02T00:00:00"/>
    <s v="D004"/>
    <s v="Southwest Organics"/>
    <s v="P006"/>
    <x v="5"/>
    <n v="32"/>
    <n v="33.1"/>
    <x v="0"/>
    <x v="0"/>
  </r>
  <r>
    <d v="2024-02-02T00:00:00"/>
    <s v="D005"/>
    <s v="Great Lakes Dairy"/>
    <s v="P001"/>
    <x v="0"/>
    <n v="34"/>
    <n v="36"/>
    <x v="0"/>
    <x v="0"/>
  </r>
  <r>
    <d v="2024-02-02T00:00:00"/>
    <s v="D005"/>
    <s v="Great Lakes Dairy"/>
    <s v="P002"/>
    <x v="1"/>
    <n v="38"/>
    <n v="39.5"/>
    <x v="0"/>
    <x v="0"/>
  </r>
  <r>
    <d v="2024-02-02T00:00:00"/>
    <s v="D005"/>
    <s v="Great Lakes Dairy"/>
    <s v="P003"/>
    <x v="2"/>
    <n v="32"/>
    <n v="31.8"/>
    <x v="0"/>
    <x v="0"/>
  </r>
  <r>
    <d v="2024-02-02T00:00:00"/>
    <s v="D005"/>
    <s v="Great Lakes Dairy"/>
    <s v="P004"/>
    <x v="3"/>
    <n v="50"/>
    <n v="51.5"/>
    <x v="0"/>
    <x v="0"/>
  </r>
  <r>
    <d v="2024-02-02T00:00:00"/>
    <s v="D005"/>
    <s v="Great Lakes Dairy"/>
    <s v="P005"/>
    <x v="4"/>
    <n v="38"/>
    <n v="40.700000000000003"/>
    <x v="0"/>
    <x v="0"/>
  </r>
  <r>
    <d v="2024-02-02T00:00:00"/>
    <s v="D005"/>
    <s v="Great Lakes Dairy"/>
    <s v="P006"/>
    <x v="5"/>
    <n v="32"/>
    <n v="34.6"/>
    <x v="0"/>
    <x v="0"/>
  </r>
  <r>
    <d v="2024-02-03T00:00:00"/>
    <s v="D001"/>
    <s v="Green Valley Produce"/>
    <s v="P001"/>
    <x v="0"/>
    <n v="34"/>
    <n v="33.200000000000003"/>
    <x v="0"/>
    <x v="0"/>
  </r>
  <r>
    <d v="2024-02-03T00:00:00"/>
    <s v="D001"/>
    <s v="Green Valley Produce"/>
    <s v="P002"/>
    <x v="1"/>
    <n v="38"/>
    <n v="38.9"/>
    <x v="0"/>
    <x v="0"/>
  </r>
  <r>
    <d v="2024-02-03T00:00:00"/>
    <s v="D001"/>
    <s v="Green Valley Produce"/>
    <s v="P003"/>
    <x v="2"/>
    <n v="32"/>
    <n v="40.9"/>
    <x v="1"/>
    <x v="2"/>
  </r>
  <r>
    <d v="2024-02-03T00:00:00"/>
    <s v="D001"/>
    <s v="Green Valley Produce"/>
    <s v="P004"/>
    <x v="3"/>
    <n v="50"/>
    <n v="51.8"/>
    <x v="0"/>
    <x v="0"/>
  </r>
  <r>
    <d v="2024-02-03T00:00:00"/>
    <s v="D001"/>
    <s v="Green Valley Produce"/>
    <s v="P005"/>
    <x v="4"/>
    <n v="38"/>
    <n v="40.1"/>
    <x v="0"/>
    <x v="0"/>
  </r>
  <r>
    <d v="2024-02-03T00:00:00"/>
    <s v="D001"/>
    <s v="Green Valley Produce"/>
    <s v="P006"/>
    <x v="5"/>
    <n v="32"/>
    <n v="40.700000000000003"/>
    <x v="1"/>
    <x v="2"/>
  </r>
  <r>
    <d v="2024-02-03T00:00:00"/>
    <s v="D002"/>
    <s v="Fresh Coast Foods"/>
    <s v="P001"/>
    <x v="0"/>
    <n v="34"/>
    <n v="35.6"/>
    <x v="0"/>
    <x v="0"/>
  </r>
  <r>
    <d v="2024-02-03T00:00:00"/>
    <s v="D002"/>
    <s v="Fresh Coast Foods"/>
    <s v="P002"/>
    <x v="1"/>
    <n v="38"/>
    <n v="40"/>
    <x v="0"/>
    <x v="0"/>
  </r>
  <r>
    <d v="2024-02-03T00:00:00"/>
    <s v="D002"/>
    <s v="Fresh Coast Foods"/>
    <s v="P003"/>
    <x v="2"/>
    <n v="32"/>
    <n v="33.799999999999997"/>
    <x v="0"/>
    <x v="0"/>
  </r>
  <r>
    <d v="2024-02-03T00:00:00"/>
    <s v="D002"/>
    <s v="Fresh Coast Foods"/>
    <s v="P004"/>
    <x v="3"/>
    <n v="50"/>
    <n v="52"/>
    <x v="0"/>
    <x v="0"/>
  </r>
  <r>
    <d v="2024-02-03T00:00:00"/>
    <s v="D002"/>
    <s v="Fresh Coast Foods"/>
    <s v="P005"/>
    <x v="4"/>
    <n v="38"/>
    <n v="40.6"/>
    <x v="0"/>
    <x v="0"/>
  </r>
  <r>
    <d v="2024-02-03T00:00:00"/>
    <s v="D002"/>
    <s v="Fresh Coast Foods"/>
    <s v="P006"/>
    <x v="5"/>
    <n v="32"/>
    <n v="32.700000000000003"/>
    <x v="0"/>
    <x v="0"/>
  </r>
  <r>
    <d v="2024-02-03T00:00:00"/>
    <s v="D003"/>
    <s v="Heartland Meats"/>
    <s v="P001"/>
    <x v="0"/>
    <n v="34"/>
    <n v="43"/>
    <x v="1"/>
    <x v="2"/>
  </r>
  <r>
    <d v="2024-02-03T00:00:00"/>
    <s v="D003"/>
    <s v="Heartland Meats"/>
    <s v="P002"/>
    <x v="1"/>
    <n v="38"/>
    <n v="39"/>
    <x v="0"/>
    <x v="0"/>
  </r>
  <r>
    <d v="2024-02-03T00:00:00"/>
    <s v="D003"/>
    <s v="Heartland Meats"/>
    <s v="P003"/>
    <x v="2"/>
    <n v="32"/>
    <n v="32.9"/>
    <x v="0"/>
    <x v="0"/>
  </r>
  <r>
    <d v="2024-02-03T00:00:00"/>
    <s v="D003"/>
    <s v="Heartland Meats"/>
    <s v="P004"/>
    <x v="3"/>
    <n v="50"/>
    <n v="52.3"/>
    <x v="0"/>
    <x v="0"/>
  </r>
  <r>
    <d v="2024-02-03T00:00:00"/>
    <s v="D003"/>
    <s v="Heartland Meats"/>
    <s v="P005"/>
    <x v="4"/>
    <n v="38"/>
    <n v="38.799999999999997"/>
    <x v="0"/>
    <x v="0"/>
  </r>
  <r>
    <d v="2024-02-03T00:00:00"/>
    <s v="D003"/>
    <s v="Heartland Meats"/>
    <s v="P006"/>
    <x v="5"/>
    <n v="32"/>
    <n v="33.700000000000003"/>
    <x v="0"/>
    <x v="0"/>
  </r>
  <r>
    <d v="2024-02-03T00:00:00"/>
    <s v="D004"/>
    <s v="Southwest Organics"/>
    <s v="P001"/>
    <x v="0"/>
    <n v="34"/>
    <n v="36.9"/>
    <x v="0"/>
    <x v="0"/>
  </r>
  <r>
    <d v="2024-02-03T00:00:00"/>
    <s v="D004"/>
    <s v="Southwest Organics"/>
    <s v="P002"/>
    <x v="1"/>
    <n v="38"/>
    <n v="37.799999999999997"/>
    <x v="0"/>
    <x v="0"/>
  </r>
  <r>
    <d v="2024-02-03T00:00:00"/>
    <s v="D004"/>
    <s v="Southwest Organics"/>
    <s v="P003"/>
    <x v="2"/>
    <n v="32"/>
    <n v="31.3"/>
    <x v="0"/>
    <x v="0"/>
  </r>
  <r>
    <d v="2024-02-03T00:00:00"/>
    <s v="D004"/>
    <s v="Southwest Organics"/>
    <s v="P004"/>
    <x v="3"/>
    <n v="50"/>
    <n v="49.7"/>
    <x v="0"/>
    <x v="0"/>
  </r>
  <r>
    <d v="2024-02-03T00:00:00"/>
    <s v="D004"/>
    <s v="Southwest Organics"/>
    <s v="P005"/>
    <x v="4"/>
    <n v="38"/>
    <n v="37.299999999999997"/>
    <x v="0"/>
    <x v="0"/>
  </r>
  <r>
    <d v="2024-02-03T00:00:00"/>
    <s v="D004"/>
    <s v="Southwest Organics"/>
    <s v="P006"/>
    <x v="5"/>
    <n v="32"/>
    <n v="38.9"/>
    <x v="1"/>
    <x v="2"/>
  </r>
  <r>
    <d v="2024-02-03T00:00:00"/>
    <s v="D005"/>
    <s v="Great Lakes Dairy"/>
    <s v="P001"/>
    <x v="0"/>
    <n v="34"/>
    <n v="41.2"/>
    <x v="1"/>
    <x v="2"/>
  </r>
  <r>
    <d v="2024-02-03T00:00:00"/>
    <s v="D005"/>
    <s v="Great Lakes Dairy"/>
    <s v="P002"/>
    <x v="1"/>
    <n v="38"/>
    <n v="40.799999999999997"/>
    <x v="0"/>
    <x v="0"/>
  </r>
  <r>
    <d v="2024-02-03T00:00:00"/>
    <s v="D005"/>
    <s v="Great Lakes Dairy"/>
    <s v="P003"/>
    <x v="2"/>
    <n v="32"/>
    <n v="41.3"/>
    <x v="1"/>
    <x v="2"/>
  </r>
  <r>
    <d v="2024-02-03T00:00:00"/>
    <s v="D005"/>
    <s v="Great Lakes Dairy"/>
    <s v="P004"/>
    <x v="3"/>
    <n v="50"/>
    <n v="52.7"/>
    <x v="0"/>
    <x v="0"/>
  </r>
  <r>
    <d v="2024-02-03T00:00:00"/>
    <s v="D005"/>
    <s v="Great Lakes Dairy"/>
    <s v="P005"/>
    <x v="4"/>
    <n v="38"/>
    <n v="38.700000000000003"/>
    <x v="0"/>
    <x v="0"/>
  </r>
  <r>
    <d v="2024-02-03T00:00:00"/>
    <s v="D005"/>
    <s v="Great Lakes Dairy"/>
    <s v="P006"/>
    <x v="5"/>
    <n v="32"/>
    <n v="31.1"/>
    <x v="0"/>
    <x v="0"/>
  </r>
  <r>
    <d v="2024-02-04T00:00:00"/>
    <s v="D001"/>
    <s v="Green Valley Produce"/>
    <s v="P001"/>
    <x v="0"/>
    <n v="34"/>
    <n v="33.1"/>
    <x v="0"/>
    <x v="0"/>
  </r>
  <r>
    <d v="2024-02-04T00:00:00"/>
    <s v="D001"/>
    <s v="Green Valley Produce"/>
    <s v="P002"/>
    <x v="1"/>
    <n v="38"/>
    <n v="40.299999999999997"/>
    <x v="0"/>
    <x v="0"/>
  </r>
  <r>
    <d v="2024-02-04T00:00:00"/>
    <s v="D001"/>
    <s v="Green Valley Produce"/>
    <s v="P003"/>
    <x v="2"/>
    <n v="32"/>
    <n v="32.299999999999997"/>
    <x v="0"/>
    <x v="0"/>
  </r>
  <r>
    <d v="2024-02-04T00:00:00"/>
    <s v="D001"/>
    <s v="Green Valley Produce"/>
    <s v="P004"/>
    <x v="3"/>
    <n v="50"/>
    <n v="51.6"/>
    <x v="0"/>
    <x v="0"/>
  </r>
  <r>
    <d v="2024-02-04T00:00:00"/>
    <s v="D001"/>
    <s v="Green Valley Produce"/>
    <s v="P005"/>
    <x v="4"/>
    <n v="38"/>
    <n v="38.9"/>
    <x v="0"/>
    <x v="0"/>
  </r>
  <r>
    <d v="2024-02-04T00:00:00"/>
    <s v="D001"/>
    <s v="Green Valley Produce"/>
    <s v="P006"/>
    <x v="5"/>
    <n v="32"/>
    <n v="33.1"/>
    <x v="0"/>
    <x v="0"/>
  </r>
  <r>
    <d v="2024-02-04T00:00:00"/>
    <s v="D002"/>
    <s v="Fresh Coast Foods"/>
    <s v="P001"/>
    <x v="0"/>
    <n v="34"/>
    <n v="34.799999999999997"/>
    <x v="0"/>
    <x v="0"/>
  </r>
  <r>
    <d v="2024-02-04T00:00:00"/>
    <s v="D002"/>
    <s v="Fresh Coast Foods"/>
    <s v="P002"/>
    <x v="1"/>
    <n v="38"/>
    <n v="40.6"/>
    <x v="0"/>
    <x v="0"/>
  </r>
  <r>
    <d v="2024-02-04T00:00:00"/>
    <s v="D002"/>
    <s v="Fresh Coast Foods"/>
    <s v="P003"/>
    <x v="2"/>
    <n v="32"/>
    <n v="34.200000000000003"/>
    <x v="0"/>
    <x v="0"/>
  </r>
  <r>
    <d v="2024-02-04T00:00:00"/>
    <s v="D002"/>
    <s v="Fresh Coast Foods"/>
    <s v="P004"/>
    <x v="3"/>
    <n v="50"/>
    <n v="50.5"/>
    <x v="0"/>
    <x v="0"/>
  </r>
  <r>
    <d v="2024-02-04T00:00:00"/>
    <s v="D002"/>
    <s v="Fresh Coast Foods"/>
    <s v="P005"/>
    <x v="4"/>
    <n v="38"/>
    <n v="40.4"/>
    <x v="0"/>
    <x v="0"/>
  </r>
  <r>
    <d v="2024-02-04T00:00:00"/>
    <s v="D002"/>
    <s v="Fresh Coast Foods"/>
    <s v="P006"/>
    <x v="5"/>
    <n v="32"/>
    <n v="40.299999999999997"/>
    <x v="1"/>
    <x v="2"/>
  </r>
  <r>
    <d v="2024-02-04T00:00:00"/>
    <s v="D003"/>
    <s v="Heartland Meats"/>
    <s v="P001"/>
    <x v="0"/>
    <n v="34"/>
    <n v="35.5"/>
    <x v="0"/>
    <x v="0"/>
  </r>
  <r>
    <d v="2024-02-04T00:00:00"/>
    <s v="D003"/>
    <s v="Heartland Meats"/>
    <s v="P002"/>
    <x v="1"/>
    <n v="38"/>
    <n v="48.3"/>
    <x v="1"/>
    <x v="1"/>
  </r>
  <r>
    <d v="2024-02-04T00:00:00"/>
    <s v="D003"/>
    <s v="Heartland Meats"/>
    <s v="P003"/>
    <x v="2"/>
    <n v="32"/>
    <n v="31.7"/>
    <x v="0"/>
    <x v="0"/>
  </r>
  <r>
    <d v="2024-02-04T00:00:00"/>
    <s v="D003"/>
    <s v="Heartland Meats"/>
    <s v="P004"/>
    <x v="3"/>
    <n v="50"/>
    <n v="52.6"/>
    <x v="0"/>
    <x v="0"/>
  </r>
  <r>
    <d v="2024-02-04T00:00:00"/>
    <s v="D003"/>
    <s v="Heartland Meats"/>
    <s v="P005"/>
    <x v="4"/>
    <n v="38"/>
    <n v="37.6"/>
    <x v="0"/>
    <x v="0"/>
  </r>
  <r>
    <d v="2024-02-04T00:00:00"/>
    <s v="D003"/>
    <s v="Heartland Meats"/>
    <s v="P006"/>
    <x v="5"/>
    <n v="32"/>
    <n v="46"/>
    <x v="1"/>
    <x v="1"/>
  </r>
  <r>
    <d v="2024-02-04T00:00:00"/>
    <s v="D004"/>
    <s v="Southwest Organics"/>
    <s v="P001"/>
    <x v="0"/>
    <n v="34"/>
    <n v="34.799999999999997"/>
    <x v="0"/>
    <x v="0"/>
  </r>
  <r>
    <d v="2024-02-04T00:00:00"/>
    <s v="D004"/>
    <s v="Southwest Organics"/>
    <s v="P002"/>
    <x v="1"/>
    <n v="38"/>
    <n v="37.799999999999997"/>
    <x v="0"/>
    <x v="0"/>
  </r>
  <r>
    <d v="2024-02-04T00:00:00"/>
    <s v="D004"/>
    <s v="Southwest Organics"/>
    <s v="P003"/>
    <x v="2"/>
    <n v="32"/>
    <n v="33.700000000000003"/>
    <x v="0"/>
    <x v="0"/>
  </r>
  <r>
    <d v="2024-02-04T00:00:00"/>
    <s v="D004"/>
    <s v="Southwest Organics"/>
    <s v="P004"/>
    <x v="3"/>
    <n v="50"/>
    <n v="49.6"/>
    <x v="0"/>
    <x v="0"/>
  </r>
  <r>
    <d v="2024-02-04T00:00:00"/>
    <s v="D004"/>
    <s v="Southwest Organics"/>
    <s v="P005"/>
    <x v="4"/>
    <n v="38"/>
    <n v="40.9"/>
    <x v="0"/>
    <x v="0"/>
  </r>
  <r>
    <d v="2024-02-04T00:00:00"/>
    <s v="D004"/>
    <s v="Southwest Organics"/>
    <s v="P006"/>
    <x v="5"/>
    <n v="32"/>
    <n v="31.5"/>
    <x v="0"/>
    <x v="0"/>
  </r>
  <r>
    <d v="2024-02-04T00:00:00"/>
    <s v="D005"/>
    <s v="Great Lakes Dairy"/>
    <s v="P001"/>
    <x v="0"/>
    <n v="34"/>
    <n v="47.4"/>
    <x v="1"/>
    <x v="1"/>
  </r>
  <r>
    <d v="2024-02-04T00:00:00"/>
    <s v="D005"/>
    <s v="Great Lakes Dairy"/>
    <s v="P002"/>
    <x v="1"/>
    <n v="38"/>
    <n v="40.799999999999997"/>
    <x v="0"/>
    <x v="0"/>
  </r>
  <r>
    <d v="2024-02-04T00:00:00"/>
    <s v="D005"/>
    <s v="Great Lakes Dairy"/>
    <s v="P003"/>
    <x v="2"/>
    <n v="32"/>
    <n v="31.6"/>
    <x v="0"/>
    <x v="0"/>
  </r>
  <r>
    <d v="2024-02-04T00:00:00"/>
    <s v="D005"/>
    <s v="Great Lakes Dairy"/>
    <s v="P004"/>
    <x v="3"/>
    <n v="50"/>
    <n v="51.2"/>
    <x v="0"/>
    <x v="0"/>
  </r>
  <r>
    <d v="2024-02-04T00:00:00"/>
    <s v="D005"/>
    <s v="Great Lakes Dairy"/>
    <s v="P005"/>
    <x v="4"/>
    <n v="38"/>
    <n v="39.6"/>
    <x v="0"/>
    <x v="0"/>
  </r>
  <r>
    <d v="2024-02-04T00:00:00"/>
    <s v="D005"/>
    <s v="Great Lakes Dairy"/>
    <s v="P006"/>
    <x v="5"/>
    <n v="32"/>
    <n v="34.6"/>
    <x v="0"/>
    <x v="0"/>
  </r>
  <r>
    <d v="2024-02-05T00:00:00"/>
    <s v="D001"/>
    <s v="Green Valley Produce"/>
    <s v="P001"/>
    <x v="0"/>
    <n v="34"/>
    <n v="36"/>
    <x v="0"/>
    <x v="0"/>
  </r>
  <r>
    <d v="2024-02-05T00:00:00"/>
    <s v="D001"/>
    <s v="Green Valley Produce"/>
    <s v="P002"/>
    <x v="1"/>
    <n v="38"/>
    <n v="39.700000000000003"/>
    <x v="0"/>
    <x v="0"/>
  </r>
  <r>
    <d v="2024-02-05T00:00:00"/>
    <s v="D001"/>
    <s v="Green Valley Produce"/>
    <s v="P003"/>
    <x v="2"/>
    <n v="32"/>
    <n v="33.9"/>
    <x v="0"/>
    <x v="0"/>
  </r>
  <r>
    <d v="2024-02-05T00:00:00"/>
    <s v="D001"/>
    <s v="Green Valley Produce"/>
    <s v="P004"/>
    <x v="3"/>
    <n v="50"/>
    <n v="50.4"/>
    <x v="0"/>
    <x v="0"/>
  </r>
  <r>
    <d v="2024-02-05T00:00:00"/>
    <s v="D001"/>
    <s v="Green Valley Produce"/>
    <s v="P005"/>
    <x v="4"/>
    <n v="38"/>
    <n v="47.8"/>
    <x v="1"/>
    <x v="2"/>
  </r>
  <r>
    <d v="2024-02-05T00:00:00"/>
    <s v="D001"/>
    <s v="Green Valley Produce"/>
    <s v="P006"/>
    <x v="5"/>
    <n v="32"/>
    <n v="43.4"/>
    <x v="1"/>
    <x v="1"/>
  </r>
  <r>
    <d v="2024-02-05T00:00:00"/>
    <s v="D002"/>
    <s v="Fresh Coast Foods"/>
    <s v="P001"/>
    <x v="0"/>
    <n v="34"/>
    <n v="40.200000000000003"/>
    <x v="1"/>
    <x v="2"/>
  </r>
  <r>
    <d v="2024-02-05T00:00:00"/>
    <s v="D002"/>
    <s v="Fresh Coast Foods"/>
    <s v="P002"/>
    <x v="1"/>
    <n v="38"/>
    <n v="37.9"/>
    <x v="0"/>
    <x v="0"/>
  </r>
  <r>
    <d v="2024-02-05T00:00:00"/>
    <s v="D002"/>
    <s v="Fresh Coast Foods"/>
    <s v="P003"/>
    <x v="2"/>
    <n v="32"/>
    <n v="32.299999999999997"/>
    <x v="0"/>
    <x v="0"/>
  </r>
  <r>
    <d v="2024-02-05T00:00:00"/>
    <s v="D002"/>
    <s v="Fresh Coast Foods"/>
    <s v="P004"/>
    <x v="3"/>
    <n v="50"/>
    <n v="49.8"/>
    <x v="0"/>
    <x v="0"/>
  </r>
  <r>
    <d v="2024-02-05T00:00:00"/>
    <s v="D002"/>
    <s v="Fresh Coast Foods"/>
    <s v="P005"/>
    <x v="4"/>
    <n v="38"/>
    <n v="40.1"/>
    <x v="0"/>
    <x v="0"/>
  </r>
  <r>
    <d v="2024-02-05T00:00:00"/>
    <s v="D002"/>
    <s v="Fresh Coast Foods"/>
    <s v="P006"/>
    <x v="5"/>
    <n v="32"/>
    <n v="31.8"/>
    <x v="0"/>
    <x v="0"/>
  </r>
  <r>
    <d v="2024-02-05T00:00:00"/>
    <s v="D003"/>
    <s v="Heartland Meats"/>
    <s v="P001"/>
    <x v="0"/>
    <n v="34"/>
    <n v="46.8"/>
    <x v="1"/>
    <x v="1"/>
  </r>
  <r>
    <d v="2024-02-05T00:00:00"/>
    <s v="D003"/>
    <s v="Heartland Meats"/>
    <s v="P002"/>
    <x v="1"/>
    <n v="38"/>
    <n v="40.799999999999997"/>
    <x v="0"/>
    <x v="0"/>
  </r>
  <r>
    <d v="2024-02-05T00:00:00"/>
    <s v="D003"/>
    <s v="Heartland Meats"/>
    <s v="P003"/>
    <x v="2"/>
    <n v="32"/>
    <n v="32.6"/>
    <x v="0"/>
    <x v="0"/>
  </r>
  <r>
    <d v="2024-02-05T00:00:00"/>
    <s v="D003"/>
    <s v="Heartland Meats"/>
    <s v="P004"/>
    <x v="3"/>
    <n v="50"/>
    <n v="51.4"/>
    <x v="0"/>
    <x v="0"/>
  </r>
  <r>
    <d v="2024-02-05T00:00:00"/>
    <s v="D003"/>
    <s v="Heartland Meats"/>
    <s v="P005"/>
    <x v="4"/>
    <n v="38"/>
    <n v="37.200000000000003"/>
    <x v="0"/>
    <x v="0"/>
  </r>
  <r>
    <d v="2024-02-05T00:00:00"/>
    <s v="D003"/>
    <s v="Heartland Meats"/>
    <s v="P006"/>
    <x v="5"/>
    <n v="32"/>
    <n v="32.6"/>
    <x v="0"/>
    <x v="0"/>
  </r>
  <r>
    <d v="2024-02-05T00:00:00"/>
    <s v="D004"/>
    <s v="Southwest Organics"/>
    <s v="P001"/>
    <x v="0"/>
    <n v="34"/>
    <n v="34.700000000000003"/>
    <x v="0"/>
    <x v="0"/>
  </r>
  <r>
    <d v="2024-02-05T00:00:00"/>
    <s v="D004"/>
    <s v="Southwest Organics"/>
    <s v="P002"/>
    <x v="1"/>
    <n v="38"/>
    <n v="37"/>
    <x v="0"/>
    <x v="0"/>
  </r>
  <r>
    <d v="2024-02-05T00:00:00"/>
    <s v="D004"/>
    <s v="Southwest Organics"/>
    <s v="P003"/>
    <x v="2"/>
    <n v="32"/>
    <n v="32.200000000000003"/>
    <x v="0"/>
    <x v="0"/>
  </r>
  <r>
    <d v="2024-02-05T00:00:00"/>
    <s v="D004"/>
    <s v="Southwest Organics"/>
    <s v="P004"/>
    <x v="3"/>
    <n v="50"/>
    <n v="51.2"/>
    <x v="0"/>
    <x v="0"/>
  </r>
  <r>
    <d v="2024-02-05T00:00:00"/>
    <s v="D004"/>
    <s v="Southwest Organics"/>
    <s v="P005"/>
    <x v="4"/>
    <n v="38"/>
    <n v="40.6"/>
    <x v="0"/>
    <x v="0"/>
  </r>
  <r>
    <d v="2024-02-05T00:00:00"/>
    <s v="D004"/>
    <s v="Southwest Organics"/>
    <s v="P006"/>
    <x v="5"/>
    <n v="32"/>
    <n v="32.700000000000003"/>
    <x v="0"/>
    <x v="0"/>
  </r>
  <r>
    <d v="2024-02-05T00:00:00"/>
    <s v="D005"/>
    <s v="Great Lakes Dairy"/>
    <s v="P001"/>
    <x v="0"/>
    <n v="34"/>
    <n v="33.700000000000003"/>
    <x v="0"/>
    <x v="0"/>
  </r>
  <r>
    <d v="2024-02-05T00:00:00"/>
    <s v="D005"/>
    <s v="Great Lakes Dairy"/>
    <s v="P002"/>
    <x v="1"/>
    <n v="38"/>
    <n v="40.6"/>
    <x v="0"/>
    <x v="0"/>
  </r>
  <r>
    <d v="2024-02-05T00:00:00"/>
    <s v="D005"/>
    <s v="Great Lakes Dairy"/>
    <s v="P003"/>
    <x v="2"/>
    <n v="32"/>
    <n v="32.700000000000003"/>
    <x v="0"/>
    <x v="0"/>
  </r>
  <r>
    <d v="2024-02-05T00:00:00"/>
    <s v="D005"/>
    <s v="Great Lakes Dairy"/>
    <s v="P004"/>
    <x v="3"/>
    <n v="50"/>
    <n v="51.4"/>
    <x v="0"/>
    <x v="0"/>
  </r>
  <r>
    <d v="2024-02-05T00:00:00"/>
    <s v="D005"/>
    <s v="Great Lakes Dairy"/>
    <s v="P005"/>
    <x v="4"/>
    <n v="38"/>
    <n v="46.4"/>
    <x v="1"/>
    <x v="2"/>
  </r>
  <r>
    <d v="2024-02-05T00:00:00"/>
    <s v="D005"/>
    <s v="Great Lakes Dairy"/>
    <s v="P006"/>
    <x v="5"/>
    <n v="32"/>
    <n v="33.1"/>
    <x v="0"/>
    <x v="0"/>
  </r>
  <r>
    <d v="2024-02-06T00:00:00"/>
    <s v="D001"/>
    <s v="Green Valley Produce"/>
    <s v="P001"/>
    <x v="0"/>
    <n v="34"/>
    <n v="36.700000000000003"/>
    <x v="0"/>
    <x v="0"/>
  </r>
  <r>
    <d v="2024-02-06T00:00:00"/>
    <s v="D001"/>
    <s v="Green Valley Produce"/>
    <s v="P002"/>
    <x v="1"/>
    <n v="38"/>
    <n v="38.5"/>
    <x v="0"/>
    <x v="0"/>
  </r>
  <r>
    <d v="2024-02-06T00:00:00"/>
    <s v="D001"/>
    <s v="Green Valley Produce"/>
    <s v="P003"/>
    <x v="2"/>
    <n v="32"/>
    <n v="43.1"/>
    <x v="1"/>
    <x v="1"/>
  </r>
  <r>
    <d v="2024-02-06T00:00:00"/>
    <s v="D001"/>
    <s v="Green Valley Produce"/>
    <s v="P004"/>
    <x v="3"/>
    <n v="50"/>
    <n v="49.7"/>
    <x v="0"/>
    <x v="0"/>
  </r>
  <r>
    <d v="2024-02-06T00:00:00"/>
    <s v="D001"/>
    <s v="Green Valley Produce"/>
    <s v="P005"/>
    <x v="4"/>
    <n v="38"/>
    <n v="39.299999999999997"/>
    <x v="0"/>
    <x v="0"/>
  </r>
  <r>
    <d v="2024-02-06T00:00:00"/>
    <s v="D001"/>
    <s v="Green Valley Produce"/>
    <s v="P006"/>
    <x v="5"/>
    <n v="32"/>
    <n v="31.8"/>
    <x v="0"/>
    <x v="0"/>
  </r>
  <r>
    <d v="2024-02-06T00:00:00"/>
    <s v="D002"/>
    <s v="Fresh Coast Foods"/>
    <s v="P001"/>
    <x v="0"/>
    <n v="34"/>
    <n v="34.200000000000003"/>
    <x v="0"/>
    <x v="0"/>
  </r>
  <r>
    <d v="2024-02-06T00:00:00"/>
    <s v="D002"/>
    <s v="Fresh Coast Foods"/>
    <s v="P002"/>
    <x v="1"/>
    <n v="38"/>
    <n v="40.299999999999997"/>
    <x v="0"/>
    <x v="0"/>
  </r>
  <r>
    <d v="2024-02-06T00:00:00"/>
    <s v="D002"/>
    <s v="Fresh Coast Foods"/>
    <s v="P003"/>
    <x v="2"/>
    <n v="32"/>
    <n v="33.299999999999997"/>
    <x v="0"/>
    <x v="0"/>
  </r>
  <r>
    <d v="2024-02-06T00:00:00"/>
    <s v="D002"/>
    <s v="Fresh Coast Foods"/>
    <s v="P004"/>
    <x v="3"/>
    <n v="50"/>
    <n v="52"/>
    <x v="0"/>
    <x v="0"/>
  </r>
  <r>
    <d v="2024-02-06T00:00:00"/>
    <s v="D002"/>
    <s v="Fresh Coast Foods"/>
    <s v="P005"/>
    <x v="4"/>
    <n v="38"/>
    <n v="40.200000000000003"/>
    <x v="0"/>
    <x v="0"/>
  </r>
  <r>
    <d v="2024-02-06T00:00:00"/>
    <s v="D002"/>
    <s v="Fresh Coast Foods"/>
    <s v="P006"/>
    <x v="5"/>
    <n v="32"/>
    <n v="40.4"/>
    <x v="1"/>
    <x v="2"/>
  </r>
  <r>
    <d v="2024-02-06T00:00:00"/>
    <s v="D003"/>
    <s v="Heartland Meats"/>
    <s v="P001"/>
    <x v="0"/>
    <n v="34"/>
    <n v="35.5"/>
    <x v="0"/>
    <x v="0"/>
  </r>
  <r>
    <d v="2024-02-06T00:00:00"/>
    <s v="D003"/>
    <s v="Heartland Meats"/>
    <s v="P002"/>
    <x v="1"/>
    <n v="38"/>
    <n v="49.3"/>
    <x v="1"/>
    <x v="1"/>
  </r>
  <r>
    <d v="2024-02-06T00:00:00"/>
    <s v="D003"/>
    <s v="Heartland Meats"/>
    <s v="P003"/>
    <x v="2"/>
    <n v="32"/>
    <n v="31.7"/>
    <x v="0"/>
    <x v="0"/>
  </r>
  <r>
    <d v="2024-02-06T00:00:00"/>
    <s v="D003"/>
    <s v="Heartland Meats"/>
    <s v="P004"/>
    <x v="3"/>
    <n v="50"/>
    <n v="51.6"/>
    <x v="0"/>
    <x v="0"/>
  </r>
  <r>
    <d v="2024-02-06T00:00:00"/>
    <s v="D003"/>
    <s v="Heartland Meats"/>
    <s v="P005"/>
    <x v="4"/>
    <n v="38"/>
    <n v="50.1"/>
    <x v="1"/>
    <x v="1"/>
  </r>
  <r>
    <d v="2024-02-06T00:00:00"/>
    <s v="D003"/>
    <s v="Heartland Meats"/>
    <s v="P006"/>
    <x v="5"/>
    <n v="32"/>
    <n v="34.9"/>
    <x v="0"/>
    <x v="0"/>
  </r>
  <r>
    <d v="2024-02-06T00:00:00"/>
    <s v="D004"/>
    <s v="Southwest Organics"/>
    <s v="P001"/>
    <x v="0"/>
    <n v="34"/>
    <n v="34.4"/>
    <x v="0"/>
    <x v="0"/>
  </r>
  <r>
    <d v="2024-02-06T00:00:00"/>
    <s v="D004"/>
    <s v="Southwest Organics"/>
    <s v="P002"/>
    <x v="1"/>
    <n v="38"/>
    <n v="38.700000000000003"/>
    <x v="0"/>
    <x v="0"/>
  </r>
  <r>
    <d v="2024-02-06T00:00:00"/>
    <s v="D004"/>
    <s v="Southwest Organics"/>
    <s v="P003"/>
    <x v="2"/>
    <n v="32"/>
    <n v="33.700000000000003"/>
    <x v="0"/>
    <x v="0"/>
  </r>
  <r>
    <d v="2024-02-06T00:00:00"/>
    <s v="D004"/>
    <s v="Southwest Organics"/>
    <s v="P004"/>
    <x v="3"/>
    <n v="50"/>
    <n v="52.3"/>
    <x v="0"/>
    <x v="0"/>
  </r>
  <r>
    <d v="2024-02-06T00:00:00"/>
    <s v="D004"/>
    <s v="Southwest Organics"/>
    <s v="P005"/>
    <x v="4"/>
    <n v="38"/>
    <n v="39.9"/>
    <x v="0"/>
    <x v="0"/>
  </r>
  <r>
    <d v="2024-02-06T00:00:00"/>
    <s v="D004"/>
    <s v="Southwest Organics"/>
    <s v="P006"/>
    <x v="5"/>
    <n v="32"/>
    <n v="40.1"/>
    <x v="1"/>
    <x v="2"/>
  </r>
  <r>
    <d v="2024-02-06T00:00:00"/>
    <s v="D005"/>
    <s v="Great Lakes Dairy"/>
    <s v="P001"/>
    <x v="0"/>
    <n v="34"/>
    <n v="33.6"/>
    <x v="0"/>
    <x v="0"/>
  </r>
  <r>
    <d v="2024-02-06T00:00:00"/>
    <s v="D005"/>
    <s v="Great Lakes Dairy"/>
    <s v="P002"/>
    <x v="1"/>
    <n v="38"/>
    <n v="39.799999999999997"/>
    <x v="0"/>
    <x v="0"/>
  </r>
  <r>
    <d v="2024-02-06T00:00:00"/>
    <s v="D005"/>
    <s v="Great Lakes Dairy"/>
    <s v="P003"/>
    <x v="2"/>
    <n v="32"/>
    <n v="31.2"/>
    <x v="0"/>
    <x v="0"/>
  </r>
  <r>
    <d v="2024-02-06T00:00:00"/>
    <s v="D005"/>
    <s v="Great Lakes Dairy"/>
    <s v="P004"/>
    <x v="3"/>
    <n v="50"/>
    <n v="51.5"/>
    <x v="0"/>
    <x v="0"/>
  </r>
  <r>
    <d v="2024-02-06T00:00:00"/>
    <s v="D005"/>
    <s v="Great Lakes Dairy"/>
    <s v="P005"/>
    <x v="4"/>
    <n v="38"/>
    <n v="37.200000000000003"/>
    <x v="0"/>
    <x v="0"/>
  </r>
  <r>
    <d v="2024-02-06T00:00:00"/>
    <s v="D005"/>
    <s v="Great Lakes Dairy"/>
    <s v="P006"/>
    <x v="5"/>
    <n v="32"/>
    <n v="33.6"/>
    <x v="0"/>
    <x v="0"/>
  </r>
  <r>
    <d v="2024-02-07T00:00:00"/>
    <s v="D001"/>
    <s v="Green Valley Produce"/>
    <s v="P001"/>
    <x v="0"/>
    <n v="34"/>
    <n v="41.6"/>
    <x v="1"/>
    <x v="2"/>
  </r>
  <r>
    <d v="2024-02-07T00:00:00"/>
    <s v="D001"/>
    <s v="Green Valley Produce"/>
    <s v="P002"/>
    <x v="1"/>
    <n v="38"/>
    <n v="40.1"/>
    <x v="0"/>
    <x v="0"/>
  </r>
  <r>
    <d v="2024-02-07T00:00:00"/>
    <s v="D001"/>
    <s v="Green Valley Produce"/>
    <s v="P003"/>
    <x v="2"/>
    <n v="32"/>
    <n v="31.7"/>
    <x v="0"/>
    <x v="0"/>
  </r>
  <r>
    <d v="2024-02-07T00:00:00"/>
    <s v="D001"/>
    <s v="Green Valley Produce"/>
    <s v="P004"/>
    <x v="3"/>
    <n v="50"/>
    <n v="50.3"/>
    <x v="0"/>
    <x v="0"/>
  </r>
  <r>
    <d v="2024-02-07T00:00:00"/>
    <s v="D001"/>
    <s v="Green Valley Produce"/>
    <s v="P005"/>
    <x v="4"/>
    <n v="38"/>
    <n v="40.200000000000003"/>
    <x v="0"/>
    <x v="0"/>
  </r>
  <r>
    <d v="2024-02-07T00:00:00"/>
    <s v="D001"/>
    <s v="Green Valley Produce"/>
    <s v="P006"/>
    <x v="5"/>
    <n v="32"/>
    <n v="33.799999999999997"/>
    <x v="0"/>
    <x v="0"/>
  </r>
  <r>
    <d v="2024-02-07T00:00:00"/>
    <s v="D002"/>
    <s v="Fresh Coast Foods"/>
    <s v="P001"/>
    <x v="0"/>
    <n v="34"/>
    <n v="35.1"/>
    <x v="0"/>
    <x v="0"/>
  </r>
  <r>
    <d v="2024-02-07T00:00:00"/>
    <s v="D002"/>
    <s v="Fresh Coast Foods"/>
    <s v="P002"/>
    <x v="1"/>
    <n v="38"/>
    <n v="37.6"/>
    <x v="0"/>
    <x v="0"/>
  </r>
  <r>
    <d v="2024-02-07T00:00:00"/>
    <s v="D002"/>
    <s v="Fresh Coast Foods"/>
    <s v="P003"/>
    <x v="2"/>
    <n v="32"/>
    <n v="40.299999999999997"/>
    <x v="1"/>
    <x v="2"/>
  </r>
  <r>
    <d v="2024-02-07T00:00:00"/>
    <s v="D002"/>
    <s v="Fresh Coast Foods"/>
    <s v="P004"/>
    <x v="3"/>
    <n v="50"/>
    <n v="50.6"/>
    <x v="0"/>
    <x v="0"/>
  </r>
  <r>
    <d v="2024-02-07T00:00:00"/>
    <s v="D002"/>
    <s v="Fresh Coast Foods"/>
    <s v="P005"/>
    <x v="4"/>
    <n v="38"/>
    <n v="37.700000000000003"/>
    <x v="0"/>
    <x v="0"/>
  </r>
  <r>
    <d v="2024-02-07T00:00:00"/>
    <s v="D002"/>
    <s v="Fresh Coast Foods"/>
    <s v="P006"/>
    <x v="5"/>
    <n v="32"/>
    <n v="33"/>
    <x v="0"/>
    <x v="0"/>
  </r>
  <r>
    <d v="2024-02-07T00:00:00"/>
    <s v="D003"/>
    <s v="Heartland Meats"/>
    <s v="P001"/>
    <x v="0"/>
    <n v="34"/>
    <n v="36.200000000000003"/>
    <x v="0"/>
    <x v="0"/>
  </r>
  <r>
    <d v="2024-02-07T00:00:00"/>
    <s v="D003"/>
    <s v="Heartland Meats"/>
    <s v="P002"/>
    <x v="1"/>
    <n v="38"/>
    <n v="39.799999999999997"/>
    <x v="0"/>
    <x v="0"/>
  </r>
  <r>
    <d v="2024-02-07T00:00:00"/>
    <s v="D003"/>
    <s v="Heartland Meats"/>
    <s v="P003"/>
    <x v="2"/>
    <n v="32"/>
    <n v="34.4"/>
    <x v="0"/>
    <x v="0"/>
  </r>
  <r>
    <d v="2024-02-07T00:00:00"/>
    <s v="D003"/>
    <s v="Heartland Meats"/>
    <s v="P004"/>
    <x v="3"/>
    <n v="50"/>
    <n v="51.8"/>
    <x v="0"/>
    <x v="0"/>
  </r>
  <r>
    <d v="2024-02-07T00:00:00"/>
    <s v="D003"/>
    <s v="Heartland Meats"/>
    <s v="P005"/>
    <x v="4"/>
    <n v="38"/>
    <n v="38.700000000000003"/>
    <x v="0"/>
    <x v="0"/>
  </r>
  <r>
    <d v="2024-02-07T00:00:00"/>
    <s v="D003"/>
    <s v="Heartland Meats"/>
    <s v="P006"/>
    <x v="5"/>
    <n v="32"/>
    <n v="31.5"/>
    <x v="0"/>
    <x v="0"/>
  </r>
  <r>
    <d v="2024-02-07T00:00:00"/>
    <s v="D004"/>
    <s v="Southwest Organics"/>
    <s v="P001"/>
    <x v="0"/>
    <n v="34"/>
    <n v="40.1"/>
    <x v="1"/>
    <x v="2"/>
  </r>
  <r>
    <d v="2024-02-07T00:00:00"/>
    <s v="D004"/>
    <s v="Southwest Organics"/>
    <s v="P002"/>
    <x v="1"/>
    <n v="38"/>
    <n v="39.799999999999997"/>
    <x v="0"/>
    <x v="0"/>
  </r>
  <r>
    <d v="2024-02-07T00:00:00"/>
    <s v="D004"/>
    <s v="Southwest Organics"/>
    <s v="P003"/>
    <x v="2"/>
    <n v="32"/>
    <n v="41.5"/>
    <x v="1"/>
    <x v="2"/>
  </r>
  <r>
    <d v="2024-02-07T00:00:00"/>
    <s v="D004"/>
    <s v="Southwest Organics"/>
    <s v="P004"/>
    <x v="3"/>
    <n v="50"/>
    <n v="51.1"/>
    <x v="0"/>
    <x v="0"/>
  </r>
  <r>
    <d v="2024-02-07T00:00:00"/>
    <s v="D004"/>
    <s v="Southwest Organics"/>
    <s v="P005"/>
    <x v="4"/>
    <n v="38"/>
    <n v="37.700000000000003"/>
    <x v="0"/>
    <x v="0"/>
  </r>
  <r>
    <d v="2024-02-07T00:00:00"/>
    <s v="D004"/>
    <s v="Southwest Organics"/>
    <s v="P006"/>
    <x v="5"/>
    <n v="32"/>
    <n v="34"/>
    <x v="0"/>
    <x v="0"/>
  </r>
  <r>
    <d v="2024-02-07T00:00:00"/>
    <s v="D005"/>
    <s v="Great Lakes Dairy"/>
    <s v="P001"/>
    <x v="0"/>
    <n v="34"/>
    <n v="41"/>
    <x v="1"/>
    <x v="2"/>
  </r>
  <r>
    <d v="2024-02-07T00:00:00"/>
    <s v="D005"/>
    <s v="Great Lakes Dairy"/>
    <s v="P002"/>
    <x v="1"/>
    <n v="38"/>
    <n v="39.799999999999997"/>
    <x v="0"/>
    <x v="0"/>
  </r>
  <r>
    <d v="2024-02-07T00:00:00"/>
    <s v="D005"/>
    <s v="Great Lakes Dairy"/>
    <s v="P003"/>
    <x v="2"/>
    <n v="32"/>
    <n v="31.8"/>
    <x v="0"/>
    <x v="0"/>
  </r>
  <r>
    <d v="2024-02-07T00:00:00"/>
    <s v="D005"/>
    <s v="Great Lakes Dairy"/>
    <s v="P004"/>
    <x v="3"/>
    <n v="50"/>
    <n v="50.7"/>
    <x v="0"/>
    <x v="0"/>
  </r>
  <r>
    <d v="2024-02-07T00:00:00"/>
    <s v="D005"/>
    <s v="Great Lakes Dairy"/>
    <s v="P005"/>
    <x v="4"/>
    <n v="38"/>
    <n v="37.4"/>
    <x v="0"/>
    <x v="0"/>
  </r>
  <r>
    <d v="2024-02-07T00:00:00"/>
    <s v="D005"/>
    <s v="Great Lakes Dairy"/>
    <s v="P006"/>
    <x v="5"/>
    <n v="32"/>
    <n v="41.9"/>
    <x v="1"/>
    <x v="2"/>
  </r>
  <r>
    <d v="2024-02-08T00:00:00"/>
    <s v="D001"/>
    <s v="Green Valley Produce"/>
    <s v="P001"/>
    <x v="0"/>
    <n v="34"/>
    <n v="33.799999999999997"/>
    <x v="0"/>
    <x v="0"/>
  </r>
  <r>
    <d v="2024-02-08T00:00:00"/>
    <s v="D001"/>
    <s v="Green Valley Produce"/>
    <s v="P002"/>
    <x v="1"/>
    <n v="38"/>
    <n v="49.3"/>
    <x v="1"/>
    <x v="1"/>
  </r>
  <r>
    <d v="2024-02-08T00:00:00"/>
    <s v="D001"/>
    <s v="Green Valley Produce"/>
    <s v="P003"/>
    <x v="2"/>
    <n v="32"/>
    <n v="32.9"/>
    <x v="0"/>
    <x v="0"/>
  </r>
  <r>
    <d v="2024-02-08T00:00:00"/>
    <s v="D001"/>
    <s v="Green Valley Produce"/>
    <s v="P004"/>
    <x v="3"/>
    <n v="50"/>
    <n v="49.2"/>
    <x v="0"/>
    <x v="0"/>
  </r>
  <r>
    <d v="2024-02-08T00:00:00"/>
    <s v="D001"/>
    <s v="Green Valley Produce"/>
    <s v="P005"/>
    <x v="4"/>
    <n v="38"/>
    <n v="37"/>
    <x v="0"/>
    <x v="0"/>
  </r>
  <r>
    <d v="2024-02-08T00:00:00"/>
    <s v="D001"/>
    <s v="Green Valley Produce"/>
    <s v="P006"/>
    <x v="5"/>
    <n v="32"/>
    <n v="39"/>
    <x v="1"/>
    <x v="2"/>
  </r>
  <r>
    <d v="2024-02-08T00:00:00"/>
    <s v="D002"/>
    <s v="Fresh Coast Foods"/>
    <s v="P001"/>
    <x v="0"/>
    <n v="34"/>
    <n v="35.4"/>
    <x v="0"/>
    <x v="0"/>
  </r>
  <r>
    <d v="2024-02-08T00:00:00"/>
    <s v="D002"/>
    <s v="Fresh Coast Foods"/>
    <s v="P002"/>
    <x v="1"/>
    <n v="38"/>
    <n v="39.700000000000003"/>
    <x v="0"/>
    <x v="0"/>
  </r>
  <r>
    <d v="2024-02-08T00:00:00"/>
    <s v="D002"/>
    <s v="Fresh Coast Foods"/>
    <s v="P003"/>
    <x v="2"/>
    <n v="32"/>
    <n v="39.200000000000003"/>
    <x v="1"/>
    <x v="2"/>
  </r>
  <r>
    <d v="2024-02-08T00:00:00"/>
    <s v="D002"/>
    <s v="Fresh Coast Foods"/>
    <s v="P004"/>
    <x v="3"/>
    <n v="50"/>
    <n v="50.1"/>
    <x v="0"/>
    <x v="0"/>
  </r>
  <r>
    <d v="2024-02-08T00:00:00"/>
    <s v="D002"/>
    <s v="Fresh Coast Foods"/>
    <s v="P005"/>
    <x v="4"/>
    <n v="38"/>
    <n v="38.4"/>
    <x v="0"/>
    <x v="0"/>
  </r>
  <r>
    <d v="2024-02-08T00:00:00"/>
    <s v="D002"/>
    <s v="Fresh Coast Foods"/>
    <s v="P006"/>
    <x v="5"/>
    <n v="32"/>
    <n v="34.1"/>
    <x v="0"/>
    <x v="0"/>
  </r>
  <r>
    <d v="2024-02-08T00:00:00"/>
    <s v="D003"/>
    <s v="Heartland Meats"/>
    <s v="P001"/>
    <x v="0"/>
    <n v="34"/>
    <n v="35"/>
    <x v="0"/>
    <x v="0"/>
  </r>
  <r>
    <d v="2024-02-08T00:00:00"/>
    <s v="D003"/>
    <s v="Heartland Meats"/>
    <s v="P002"/>
    <x v="1"/>
    <n v="38"/>
    <n v="50.6"/>
    <x v="1"/>
    <x v="1"/>
  </r>
  <r>
    <d v="2024-02-08T00:00:00"/>
    <s v="D003"/>
    <s v="Heartland Meats"/>
    <s v="P003"/>
    <x v="2"/>
    <n v="32"/>
    <n v="33.1"/>
    <x v="0"/>
    <x v="0"/>
  </r>
  <r>
    <d v="2024-02-08T00:00:00"/>
    <s v="D003"/>
    <s v="Heartland Meats"/>
    <s v="P004"/>
    <x v="3"/>
    <n v="50"/>
    <n v="52.9"/>
    <x v="0"/>
    <x v="0"/>
  </r>
  <r>
    <d v="2024-02-08T00:00:00"/>
    <s v="D003"/>
    <s v="Heartland Meats"/>
    <s v="P005"/>
    <x v="4"/>
    <n v="38"/>
    <n v="50"/>
    <x v="1"/>
    <x v="1"/>
  </r>
  <r>
    <d v="2024-02-08T00:00:00"/>
    <s v="D003"/>
    <s v="Heartland Meats"/>
    <s v="P006"/>
    <x v="5"/>
    <n v="32"/>
    <n v="43.8"/>
    <x v="1"/>
    <x v="1"/>
  </r>
  <r>
    <d v="2024-02-08T00:00:00"/>
    <s v="D004"/>
    <s v="Southwest Organics"/>
    <s v="P001"/>
    <x v="0"/>
    <n v="34"/>
    <n v="36.700000000000003"/>
    <x v="0"/>
    <x v="0"/>
  </r>
  <r>
    <d v="2024-02-08T00:00:00"/>
    <s v="D004"/>
    <s v="Southwest Organics"/>
    <s v="P002"/>
    <x v="1"/>
    <n v="38"/>
    <n v="38.9"/>
    <x v="0"/>
    <x v="0"/>
  </r>
  <r>
    <d v="2024-02-08T00:00:00"/>
    <s v="D004"/>
    <s v="Southwest Organics"/>
    <s v="P003"/>
    <x v="2"/>
    <n v="32"/>
    <n v="31.7"/>
    <x v="0"/>
    <x v="0"/>
  </r>
  <r>
    <d v="2024-02-08T00:00:00"/>
    <s v="D004"/>
    <s v="Southwest Organics"/>
    <s v="P004"/>
    <x v="3"/>
    <n v="50"/>
    <n v="49.4"/>
    <x v="0"/>
    <x v="0"/>
  </r>
  <r>
    <d v="2024-02-08T00:00:00"/>
    <s v="D004"/>
    <s v="Southwest Organics"/>
    <s v="P005"/>
    <x v="4"/>
    <n v="38"/>
    <n v="40.9"/>
    <x v="0"/>
    <x v="0"/>
  </r>
  <r>
    <d v="2024-02-08T00:00:00"/>
    <s v="D004"/>
    <s v="Southwest Organics"/>
    <s v="P006"/>
    <x v="5"/>
    <n v="32"/>
    <n v="33.1"/>
    <x v="0"/>
    <x v="0"/>
  </r>
  <r>
    <d v="2024-02-08T00:00:00"/>
    <s v="D005"/>
    <s v="Great Lakes Dairy"/>
    <s v="P001"/>
    <x v="0"/>
    <n v="34"/>
    <n v="36"/>
    <x v="0"/>
    <x v="0"/>
  </r>
  <r>
    <d v="2024-02-08T00:00:00"/>
    <s v="D005"/>
    <s v="Great Lakes Dairy"/>
    <s v="P002"/>
    <x v="1"/>
    <n v="38"/>
    <n v="38.9"/>
    <x v="0"/>
    <x v="0"/>
  </r>
  <r>
    <d v="2024-02-08T00:00:00"/>
    <s v="D005"/>
    <s v="Great Lakes Dairy"/>
    <s v="P003"/>
    <x v="2"/>
    <n v="32"/>
    <n v="33"/>
    <x v="0"/>
    <x v="0"/>
  </r>
  <r>
    <d v="2024-02-08T00:00:00"/>
    <s v="D005"/>
    <s v="Great Lakes Dairy"/>
    <s v="P004"/>
    <x v="3"/>
    <n v="50"/>
    <n v="50.2"/>
    <x v="0"/>
    <x v="0"/>
  </r>
  <r>
    <d v="2024-02-08T00:00:00"/>
    <s v="D005"/>
    <s v="Great Lakes Dairy"/>
    <s v="P005"/>
    <x v="4"/>
    <n v="38"/>
    <n v="37.299999999999997"/>
    <x v="0"/>
    <x v="0"/>
  </r>
  <r>
    <d v="2024-02-08T00:00:00"/>
    <s v="D005"/>
    <s v="Great Lakes Dairy"/>
    <s v="P006"/>
    <x v="5"/>
    <n v="32"/>
    <n v="32.5"/>
    <x v="0"/>
    <x v="0"/>
  </r>
  <r>
    <d v="2024-02-09T00:00:00"/>
    <s v="D001"/>
    <s v="Green Valley Produce"/>
    <s v="P001"/>
    <x v="0"/>
    <n v="34"/>
    <n v="35.9"/>
    <x v="0"/>
    <x v="0"/>
  </r>
  <r>
    <d v="2024-02-09T00:00:00"/>
    <s v="D001"/>
    <s v="Green Valley Produce"/>
    <s v="P002"/>
    <x v="1"/>
    <n v="38"/>
    <n v="40.4"/>
    <x v="0"/>
    <x v="0"/>
  </r>
  <r>
    <d v="2024-02-09T00:00:00"/>
    <s v="D001"/>
    <s v="Green Valley Produce"/>
    <s v="P003"/>
    <x v="2"/>
    <n v="32"/>
    <n v="32.6"/>
    <x v="0"/>
    <x v="0"/>
  </r>
  <r>
    <d v="2024-02-09T00:00:00"/>
    <s v="D001"/>
    <s v="Green Valley Produce"/>
    <s v="P004"/>
    <x v="3"/>
    <n v="50"/>
    <n v="50.7"/>
    <x v="0"/>
    <x v="0"/>
  </r>
  <r>
    <d v="2024-02-09T00:00:00"/>
    <s v="D001"/>
    <s v="Green Valley Produce"/>
    <s v="P005"/>
    <x v="4"/>
    <n v="38"/>
    <n v="40.6"/>
    <x v="0"/>
    <x v="0"/>
  </r>
  <r>
    <d v="2024-02-09T00:00:00"/>
    <s v="D001"/>
    <s v="Green Valley Produce"/>
    <s v="P006"/>
    <x v="5"/>
    <n v="32"/>
    <n v="34.799999999999997"/>
    <x v="0"/>
    <x v="0"/>
  </r>
  <r>
    <d v="2024-02-09T00:00:00"/>
    <s v="D002"/>
    <s v="Fresh Coast Foods"/>
    <s v="P001"/>
    <x v="0"/>
    <n v="34"/>
    <n v="33.1"/>
    <x v="0"/>
    <x v="0"/>
  </r>
  <r>
    <d v="2024-02-09T00:00:00"/>
    <s v="D002"/>
    <s v="Fresh Coast Foods"/>
    <s v="P002"/>
    <x v="1"/>
    <n v="38"/>
    <n v="39.700000000000003"/>
    <x v="0"/>
    <x v="0"/>
  </r>
  <r>
    <d v="2024-02-09T00:00:00"/>
    <s v="D002"/>
    <s v="Fresh Coast Foods"/>
    <s v="P003"/>
    <x v="2"/>
    <n v="32"/>
    <n v="33.1"/>
    <x v="0"/>
    <x v="0"/>
  </r>
  <r>
    <d v="2024-02-09T00:00:00"/>
    <s v="D002"/>
    <s v="Fresh Coast Foods"/>
    <s v="P004"/>
    <x v="3"/>
    <n v="50"/>
    <n v="49.5"/>
    <x v="0"/>
    <x v="0"/>
  </r>
  <r>
    <d v="2024-02-09T00:00:00"/>
    <s v="D002"/>
    <s v="Fresh Coast Foods"/>
    <s v="P005"/>
    <x v="4"/>
    <n v="38"/>
    <n v="39.799999999999997"/>
    <x v="0"/>
    <x v="0"/>
  </r>
  <r>
    <d v="2024-02-09T00:00:00"/>
    <s v="D002"/>
    <s v="Fresh Coast Foods"/>
    <s v="P006"/>
    <x v="5"/>
    <n v="32"/>
    <n v="34"/>
    <x v="0"/>
    <x v="0"/>
  </r>
  <r>
    <d v="2024-02-09T00:00:00"/>
    <s v="D003"/>
    <s v="Heartland Meats"/>
    <s v="P001"/>
    <x v="0"/>
    <n v="34"/>
    <n v="33.700000000000003"/>
    <x v="0"/>
    <x v="0"/>
  </r>
  <r>
    <d v="2024-02-09T00:00:00"/>
    <s v="D003"/>
    <s v="Heartland Meats"/>
    <s v="P002"/>
    <x v="1"/>
    <n v="38"/>
    <n v="37.799999999999997"/>
    <x v="0"/>
    <x v="0"/>
  </r>
  <r>
    <d v="2024-02-09T00:00:00"/>
    <s v="D003"/>
    <s v="Heartland Meats"/>
    <s v="P003"/>
    <x v="2"/>
    <n v="32"/>
    <n v="34.4"/>
    <x v="0"/>
    <x v="0"/>
  </r>
  <r>
    <d v="2024-02-09T00:00:00"/>
    <s v="D003"/>
    <s v="Heartland Meats"/>
    <s v="P004"/>
    <x v="3"/>
    <n v="50"/>
    <n v="49.9"/>
    <x v="0"/>
    <x v="0"/>
  </r>
  <r>
    <d v="2024-02-09T00:00:00"/>
    <s v="D003"/>
    <s v="Heartland Meats"/>
    <s v="P005"/>
    <x v="4"/>
    <n v="38"/>
    <n v="39"/>
    <x v="0"/>
    <x v="0"/>
  </r>
  <r>
    <d v="2024-02-09T00:00:00"/>
    <s v="D003"/>
    <s v="Heartland Meats"/>
    <s v="P006"/>
    <x v="5"/>
    <n v="32"/>
    <n v="34.1"/>
    <x v="0"/>
    <x v="0"/>
  </r>
  <r>
    <d v="2024-02-09T00:00:00"/>
    <s v="D004"/>
    <s v="Southwest Organics"/>
    <s v="P001"/>
    <x v="0"/>
    <n v="34"/>
    <n v="36"/>
    <x v="0"/>
    <x v="0"/>
  </r>
  <r>
    <d v="2024-02-09T00:00:00"/>
    <s v="D004"/>
    <s v="Southwest Organics"/>
    <s v="P002"/>
    <x v="1"/>
    <n v="38"/>
    <n v="40.799999999999997"/>
    <x v="0"/>
    <x v="0"/>
  </r>
  <r>
    <d v="2024-02-09T00:00:00"/>
    <s v="D004"/>
    <s v="Southwest Organics"/>
    <s v="P003"/>
    <x v="2"/>
    <n v="32"/>
    <n v="33.700000000000003"/>
    <x v="0"/>
    <x v="0"/>
  </r>
  <r>
    <d v="2024-02-09T00:00:00"/>
    <s v="D004"/>
    <s v="Southwest Organics"/>
    <s v="P004"/>
    <x v="3"/>
    <n v="50"/>
    <n v="53"/>
    <x v="0"/>
    <x v="0"/>
  </r>
  <r>
    <d v="2024-02-09T00:00:00"/>
    <s v="D004"/>
    <s v="Southwest Organics"/>
    <s v="P005"/>
    <x v="4"/>
    <n v="38"/>
    <n v="37.6"/>
    <x v="0"/>
    <x v="0"/>
  </r>
  <r>
    <d v="2024-02-09T00:00:00"/>
    <s v="D004"/>
    <s v="Southwest Organics"/>
    <s v="P006"/>
    <x v="5"/>
    <n v="32"/>
    <n v="31.5"/>
    <x v="0"/>
    <x v="0"/>
  </r>
  <r>
    <d v="2024-02-09T00:00:00"/>
    <s v="D005"/>
    <s v="Great Lakes Dairy"/>
    <s v="P001"/>
    <x v="0"/>
    <n v="34"/>
    <n v="33.9"/>
    <x v="0"/>
    <x v="0"/>
  </r>
  <r>
    <d v="2024-02-09T00:00:00"/>
    <s v="D005"/>
    <s v="Great Lakes Dairy"/>
    <s v="P002"/>
    <x v="1"/>
    <n v="38"/>
    <n v="37.1"/>
    <x v="0"/>
    <x v="0"/>
  </r>
  <r>
    <d v="2024-02-09T00:00:00"/>
    <s v="D005"/>
    <s v="Great Lakes Dairy"/>
    <s v="P003"/>
    <x v="2"/>
    <n v="32"/>
    <n v="34.299999999999997"/>
    <x v="0"/>
    <x v="0"/>
  </r>
  <r>
    <d v="2024-02-09T00:00:00"/>
    <s v="D005"/>
    <s v="Great Lakes Dairy"/>
    <s v="P004"/>
    <x v="3"/>
    <n v="50"/>
    <n v="49.1"/>
    <x v="0"/>
    <x v="0"/>
  </r>
  <r>
    <d v="2024-02-09T00:00:00"/>
    <s v="D005"/>
    <s v="Great Lakes Dairy"/>
    <s v="P005"/>
    <x v="4"/>
    <n v="38"/>
    <n v="48.8"/>
    <x v="1"/>
    <x v="1"/>
  </r>
  <r>
    <d v="2024-02-09T00:00:00"/>
    <s v="D005"/>
    <s v="Great Lakes Dairy"/>
    <s v="P006"/>
    <x v="5"/>
    <n v="32"/>
    <n v="32.200000000000003"/>
    <x v="0"/>
    <x v="0"/>
  </r>
  <r>
    <d v="2024-02-10T00:00:00"/>
    <s v="D001"/>
    <s v="Green Valley Produce"/>
    <s v="P001"/>
    <x v="0"/>
    <n v="34"/>
    <n v="36"/>
    <x v="0"/>
    <x v="0"/>
  </r>
  <r>
    <d v="2024-02-10T00:00:00"/>
    <s v="D001"/>
    <s v="Green Valley Produce"/>
    <s v="P002"/>
    <x v="1"/>
    <n v="38"/>
    <n v="39.1"/>
    <x v="0"/>
    <x v="0"/>
  </r>
  <r>
    <d v="2024-02-10T00:00:00"/>
    <s v="D001"/>
    <s v="Green Valley Produce"/>
    <s v="P003"/>
    <x v="2"/>
    <n v="32"/>
    <n v="32.9"/>
    <x v="0"/>
    <x v="0"/>
  </r>
  <r>
    <d v="2024-02-10T00:00:00"/>
    <s v="D001"/>
    <s v="Green Valley Produce"/>
    <s v="P004"/>
    <x v="3"/>
    <n v="50"/>
    <n v="51"/>
    <x v="0"/>
    <x v="0"/>
  </r>
  <r>
    <d v="2024-02-10T00:00:00"/>
    <s v="D001"/>
    <s v="Green Valley Produce"/>
    <s v="P005"/>
    <x v="4"/>
    <n v="38"/>
    <n v="39.200000000000003"/>
    <x v="0"/>
    <x v="0"/>
  </r>
  <r>
    <d v="2024-02-10T00:00:00"/>
    <s v="D001"/>
    <s v="Green Valley Produce"/>
    <s v="P006"/>
    <x v="5"/>
    <n v="32"/>
    <n v="33.200000000000003"/>
    <x v="0"/>
    <x v="0"/>
  </r>
  <r>
    <d v="2024-02-10T00:00:00"/>
    <s v="D002"/>
    <s v="Fresh Coast Foods"/>
    <s v="P001"/>
    <x v="0"/>
    <n v="34"/>
    <n v="46.1"/>
    <x v="1"/>
    <x v="1"/>
  </r>
  <r>
    <d v="2024-02-10T00:00:00"/>
    <s v="D002"/>
    <s v="Fresh Coast Foods"/>
    <s v="P002"/>
    <x v="1"/>
    <n v="38"/>
    <n v="40.5"/>
    <x v="0"/>
    <x v="0"/>
  </r>
  <r>
    <d v="2024-02-10T00:00:00"/>
    <s v="D002"/>
    <s v="Fresh Coast Foods"/>
    <s v="P003"/>
    <x v="2"/>
    <n v="32"/>
    <n v="41.6"/>
    <x v="1"/>
    <x v="2"/>
  </r>
  <r>
    <d v="2024-02-10T00:00:00"/>
    <s v="D002"/>
    <s v="Fresh Coast Foods"/>
    <s v="P004"/>
    <x v="3"/>
    <n v="50"/>
    <n v="50.8"/>
    <x v="0"/>
    <x v="0"/>
  </r>
  <r>
    <d v="2024-02-10T00:00:00"/>
    <s v="D002"/>
    <s v="Fresh Coast Foods"/>
    <s v="P005"/>
    <x v="4"/>
    <n v="38"/>
    <n v="45.4"/>
    <x v="1"/>
    <x v="2"/>
  </r>
  <r>
    <d v="2024-02-10T00:00:00"/>
    <s v="D002"/>
    <s v="Fresh Coast Foods"/>
    <s v="P006"/>
    <x v="5"/>
    <n v="32"/>
    <n v="34.1"/>
    <x v="0"/>
    <x v="0"/>
  </r>
  <r>
    <d v="2024-02-10T00:00:00"/>
    <s v="D003"/>
    <s v="Heartland Meats"/>
    <s v="P001"/>
    <x v="0"/>
    <n v="34"/>
    <n v="33.700000000000003"/>
    <x v="0"/>
    <x v="0"/>
  </r>
  <r>
    <d v="2024-02-10T00:00:00"/>
    <s v="D003"/>
    <s v="Heartland Meats"/>
    <s v="P002"/>
    <x v="1"/>
    <n v="38"/>
    <n v="38.200000000000003"/>
    <x v="0"/>
    <x v="0"/>
  </r>
  <r>
    <d v="2024-02-10T00:00:00"/>
    <s v="D003"/>
    <s v="Heartland Meats"/>
    <s v="P003"/>
    <x v="2"/>
    <n v="32"/>
    <n v="34.1"/>
    <x v="0"/>
    <x v="0"/>
  </r>
  <r>
    <d v="2024-02-10T00:00:00"/>
    <s v="D003"/>
    <s v="Heartland Meats"/>
    <s v="P004"/>
    <x v="3"/>
    <n v="50"/>
    <n v="51"/>
    <x v="0"/>
    <x v="0"/>
  </r>
  <r>
    <d v="2024-02-10T00:00:00"/>
    <s v="D003"/>
    <s v="Heartland Meats"/>
    <s v="P005"/>
    <x v="4"/>
    <n v="38"/>
    <n v="39.200000000000003"/>
    <x v="0"/>
    <x v="0"/>
  </r>
  <r>
    <d v="2024-02-10T00:00:00"/>
    <s v="D003"/>
    <s v="Heartland Meats"/>
    <s v="P006"/>
    <x v="5"/>
    <n v="32"/>
    <n v="33.200000000000003"/>
    <x v="0"/>
    <x v="0"/>
  </r>
  <r>
    <d v="2024-02-10T00:00:00"/>
    <s v="D004"/>
    <s v="Southwest Organics"/>
    <s v="P001"/>
    <x v="0"/>
    <n v="34"/>
    <n v="40.4"/>
    <x v="1"/>
    <x v="2"/>
  </r>
  <r>
    <d v="2024-02-10T00:00:00"/>
    <s v="D004"/>
    <s v="Southwest Organics"/>
    <s v="P002"/>
    <x v="1"/>
    <n v="38"/>
    <n v="39.4"/>
    <x v="0"/>
    <x v="0"/>
  </r>
  <r>
    <d v="2024-02-10T00:00:00"/>
    <s v="D004"/>
    <s v="Southwest Organics"/>
    <s v="P003"/>
    <x v="2"/>
    <n v="32"/>
    <n v="33.700000000000003"/>
    <x v="0"/>
    <x v="0"/>
  </r>
  <r>
    <d v="2024-02-10T00:00:00"/>
    <s v="D004"/>
    <s v="Southwest Organics"/>
    <s v="P004"/>
    <x v="3"/>
    <n v="50"/>
    <n v="50.1"/>
    <x v="0"/>
    <x v="0"/>
  </r>
  <r>
    <d v="2024-02-10T00:00:00"/>
    <s v="D004"/>
    <s v="Southwest Organics"/>
    <s v="P005"/>
    <x v="4"/>
    <n v="38"/>
    <n v="48.7"/>
    <x v="1"/>
    <x v="1"/>
  </r>
  <r>
    <d v="2024-02-10T00:00:00"/>
    <s v="D004"/>
    <s v="Southwest Organics"/>
    <s v="P006"/>
    <x v="5"/>
    <n v="32"/>
    <n v="40.9"/>
    <x v="1"/>
    <x v="2"/>
  </r>
  <r>
    <d v="2024-02-10T00:00:00"/>
    <s v="D005"/>
    <s v="Great Lakes Dairy"/>
    <s v="P001"/>
    <x v="0"/>
    <n v="34"/>
    <n v="35.299999999999997"/>
    <x v="0"/>
    <x v="0"/>
  </r>
  <r>
    <d v="2024-02-10T00:00:00"/>
    <s v="D005"/>
    <s v="Great Lakes Dairy"/>
    <s v="P002"/>
    <x v="1"/>
    <n v="38"/>
    <n v="39.5"/>
    <x v="0"/>
    <x v="0"/>
  </r>
  <r>
    <d v="2024-02-10T00:00:00"/>
    <s v="D005"/>
    <s v="Great Lakes Dairy"/>
    <s v="P003"/>
    <x v="2"/>
    <n v="32"/>
    <n v="32.700000000000003"/>
    <x v="0"/>
    <x v="0"/>
  </r>
  <r>
    <d v="2024-02-10T00:00:00"/>
    <s v="D005"/>
    <s v="Great Lakes Dairy"/>
    <s v="P004"/>
    <x v="3"/>
    <n v="50"/>
    <n v="50.6"/>
    <x v="0"/>
    <x v="0"/>
  </r>
  <r>
    <d v="2024-02-10T00:00:00"/>
    <s v="D005"/>
    <s v="Great Lakes Dairy"/>
    <s v="P005"/>
    <x v="4"/>
    <n v="38"/>
    <n v="46"/>
    <x v="1"/>
    <x v="2"/>
  </r>
  <r>
    <d v="2024-02-10T00:00:00"/>
    <s v="D005"/>
    <s v="Great Lakes Dairy"/>
    <s v="P006"/>
    <x v="5"/>
    <n v="32"/>
    <n v="32.200000000000003"/>
    <x v="0"/>
    <x v="0"/>
  </r>
  <r>
    <d v="2024-02-11T00:00:00"/>
    <s v="D001"/>
    <s v="Green Valley Produce"/>
    <s v="P001"/>
    <x v="0"/>
    <n v="34"/>
    <n v="45.5"/>
    <x v="1"/>
    <x v="1"/>
  </r>
  <r>
    <d v="2024-02-11T00:00:00"/>
    <s v="D001"/>
    <s v="Green Valley Produce"/>
    <s v="P002"/>
    <x v="1"/>
    <n v="38"/>
    <n v="37.5"/>
    <x v="0"/>
    <x v="0"/>
  </r>
  <r>
    <d v="2024-02-11T00:00:00"/>
    <s v="D001"/>
    <s v="Green Valley Produce"/>
    <s v="P003"/>
    <x v="2"/>
    <n v="32"/>
    <n v="42.3"/>
    <x v="1"/>
    <x v="1"/>
  </r>
  <r>
    <d v="2024-02-11T00:00:00"/>
    <s v="D001"/>
    <s v="Green Valley Produce"/>
    <s v="P004"/>
    <x v="3"/>
    <n v="50"/>
    <n v="61.3"/>
    <x v="1"/>
    <x v="1"/>
  </r>
  <r>
    <d v="2024-02-11T00:00:00"/>
    <s v="D001"/>
    <s v="Green Valley Produce"/>
    <s v="P005"/>
    <x v="4"/>
    <n v="38"/>
    <n v="39.1"/>
    <x v="0"/>
    <x v="0"/>
  </r>
  <r>
    <d v="2024-02-11T00:00:00"/>
    <s v="D001"/>
    <s v="Green Valley Produce"/>
    <s v="P006"/>
    <x v="5"/>
    <n v="32"/>
    <n v="31.1"/>
    <x v="0"/>
    <x v="0"/>
  </r>
  <r>
    <d v="2024-02-11T00:00:00"/>
    <s v="D002"/>
    <s v="Fresh Coast Foods"/>
    <s v="P001"/>
    <x v="0"/>
    <n v="34"/>
    <n v="33.1"/>
    <x v="0"/>
    <x v="0"/>
  </r>
  <r>
    <d v="2024-02-11T00:00:00"/>
    <s v="D002"/>
    <s v="Fresh Coast Foods"/>
    <s v="P002"/>
    <x v="1"/>
    <n v="38"/>
    <n v="39.299999999999997"/>
    <x v="0"/>
    <x v="0"/>
  </r>
  <r>
    <d v="2024-02-11T00:00:00"/>
    <s v="D002"/>
    <s v="Fresh Coast Foods"/>
    <s v="P003"/>
    <x v="2"/>
    <n v="32"/>
    <n v="31.4"/>
    <x v="0"/>
    <x v="0"/>
  </r>
  <r>
    <d v="2024-02-11T00:00:00"/>
    <s v="D002"/>
    <s v="Fresh Coast Foods"/>
    <s v="P004"/>
    <x v="3"/>
    <n v="50"/>
    <n v="51.8"/>
    <x v="0"/>
    <x v="0"/>
  </r>
  <r>
    <d v="2024-02-11T00:00:00"/>
    <s v="D002"/>
    <s v="Fresh Coast Foods"/>
    <s v="P005"/>
    <x v="4"/>
    <n v="38"/>
    <n v="39"/>
    <x v="0"/>
    <x v="0"/>
  </r>
  <r>
    <d v="2024-02-11T00:00:00"/>
    <s v="D002"/>
    <s v="Fresh Coast Foods"/>
    <s v="P006"/>
    <x v="5"/>
    <n v="32"/>
    <n v="33.700000000000003"/>
    <x v="0"/>
    <x v="0"/>
  </r>
  <r>
    <d v="2024-02-11T00:00:00"/>
    <s v="D003"/>
    <s v="Heartland Meats"/>
    <s v="P001"/>
    <x v="0"/>
    <n v="34"/>
    <n v="42.4"/>
    <x v="1"/>
    <x v="2"/>
  </r>
  <r>
    <d v="2024-02-11T00:00:00"/>
    <s v="D003"/>
    <s v="Heartland Meats"/>
    <s v="P002"/>
    <x v="1"/>
    <n v="38"/>
    <n v="37.799999999999997"/>
    <x v="0"/>
    <x v="0"/>
  </r>
  <r>
    <d v="2024-02-11T00:00:00"/>
    <s v="D003"/>
    <s v="Heartland Meats"/>
    <s v="P003"/>
    <x v="2"/>
    <n v="32"/>
    <n v="34.9"/>
    <x v="0"/>
    <x v="0"/>
  </r>
  <r>
    <d v="2024-02-11T00:00:00"/>
    <s v="D003"/>
    <s v="Heartland Meats"/>
    <s v="P004"/>
    <x v="3"/>
    <n v="50"/>
    <n v="62.8"/>
    <x v="1"/>
    <x v="1"/>
  </r>
  <r>
    <d v="2024-02-11T00:00:00"/>
    <s v="D003"/>
    <s v="Heartland Meats"/>
    <s v="P005"/>
    <x v="4"/>
    <n v="38"/>
    <n v="38.1"/>
    <x v="0"/>
    <x v="0"/>
  </r>
  <r>
    <d v="2024-02-11T00:00:00"/>
    <s v="D003"/>
    <s v="Heartland Meats"/>
    <s v="P006"/>
    <x v="5"/>
    <n v="32"/>
    <n v="33.299999999999997"/>
    <x v="0"/>
    <x v="0"/>
  </r>
  <r>
    <d v="2024-02-11T00:00:00"/>
    <s v="D004"/>
    <s v="Southwest Organics"/>
    <s v="P001"/>
    <x v="0"/>
    <n v="34"/>
    <n v="35.5"/>
    <x v="0"/>
    <x v="0"/>
  </r>
  <r>
    <d v="2024-02-11T00:00:00"/>
    <s v="D004"/>
    <s v="Southwest Organics"/>
    <s v="P002"/>
    <x v="1"/>
    <n v="38"/>
    <n v="39.9"/>
    <x v="0"/>
    <x v="0"/>
  </r>
  <r>
    <d v="2024-02-11T00:00:00"/>
    <s v="D004"/>
    <s v="Southwest Organics"/>
    <s v="P003"/>
    <x v="2"/>
    <n v="32"/>
    <n v="33.4"/>
    <x v="0"/>
    <x v="0"/>
  </r>
  <r>
    <d v="2024-02-11T00:00:00"/>
    <s v="D004"/>
    <s v="Southwest Organics"/>
    <s v="P004"/>
    <x v="3"/>
    <n v="50"/>
    <n v="51.3"/>
    <x v="0"/>
    <x v="0"/>
  </r>
  <r>
    <d v="2024-02-11T00:00:00"/>
    <s v="D004"/>
    <s v="Southwest Organics"/>
    <s v="P005"/>
    <x v="4"/>
    <n v="38"/>
    <n v="38.700000000000003"/>
    <x v="0"/>
    <x v="0"/>
  </r>
  <r>
    <d v="2024-02-11T00:00:00"/>
    <s v="D004"/>
    <s v="Southwest Organics"/>
    <s v="P006"/>
    <x v="5"/>
    <n v="32"/>
    <n v="31.3"/>
    <x v="0"/>
    <x v="0"/>
  </r>
  <r>
    <d v="2024-02-11T00:00:00"/>
    <s v="D005"/>
    <s v="Great Lakes Dairy"/>
    <s v="P001"/>
    <x v="0"/>
    <n v="34"/>
    <n v="35"/>
    <x v="0"/>
    <x v="0"/>
  </r>
  <r>
    <d v="2024-02-11T00:00:00"/>
    <s v="D005"/>
    <s v="Great Lakes Dairy"/>
    <s v="P002"/>
    <x v="1"/>
    <n v="38"/>
    <n v="39.700000000000003"/>
    <x v="0"/>
    <x v="0"/>
  </r>
  <r>
    <d v="2024-02-11T00:00:00"/>
    <s v="D005"/>
    <s v="Great Lakes Dairy"/>
    <s v="P003"/>
    <x v="2"/>
    <n v="32"/>
    <n v="32.700000000000003"/>
    <x v="0"/>
    <x v="0"/>
  </r>
  <r>
    <d v="2024-02-11T00:00:00"/>
    <s v="D005"/>
    <s v="Great Lakes Dairy"/>
    <s v="P004"/>
    <x v="3"/>
    <n v="50"/>
    <n v="51.1"/>
    <x v="0"/>
    <x v="0"/>
  </r>
  <r>
    <d v="2024-02-11T00:00:00"/>
    <s v="D005"/>
    <s v="Great Lakes Dairy"/>
    <s v="P005"/>
    <x v="4"/>
    <n v="38"/>
    <n v="39.200000000000003"/>
    <x v="0"/>
    <x v="0"/>
  </r>
  <r>
    <d v="2024-02-11T00:00:00"/>
    <s v="D005"/>
    <s v="Great Lakes Dairy"/>
    <s v="P006"/>
    <x v="5"/>
    <n v="32"/>
    <n v="33.5"/>
    <x v="0"/>
    <x v="0"/>
  </r>
  <r>
    <d v="2024-02-12T00:00:00"/>
    <s v="D001"/>
    <s v="Green Valley Produce"/>
    <s v="P001"/>
    <x v="0"/>
    <n v="34"/>
    <n v="33.700000000000003"/>
    <x v="0"/>
    <x v="0"/>
  </r>
  <r>
    <d v="2024-02-12T00:00:00"/>
    <s v="D001"/>
    <s v="Green Valley Produce"/>
    <s v="P002"/>
    <x v="1"/>
    <n v="38"/>
    <n v="39.6"/>
    <x v="0"/>
    <x v="0"/>
  </r>
  <r>
    <d v="2024-02-12T00:00:00"/>
    <s v="D001"/>
    <s v="Green Valley Produce"/>
    <s v="P003"/>
    <x v="2"/>
    <n v="32"/>
    <n v="34.799999999999997"/>
    <x v="0"/>
    <x v="0"/>
  </r>
  <r>
    <d v="2024-02-12T00:00:00"/>
    <s v="D001"/>
    <s v="Green Valley Produce"/>
    <s v="P004"/>
    <x v="3"/>
    <n v="50"/>
    <n v="51.6"/>
    <x v="0"/>
    <x v="0"/>
  </r>
  <r>
    <d v="2024-02-12T00:00:00"/>
    <s v="D001"/>
    <s v="Green Valley Produce"/>
    <s v="P005"/>
    <x v="4"/>
    <n v="38"/>
    <n v="40.4"/>
    <x v="0"/>
    <x v="0"/>
  </r>
  <r>
    <d v="2024-02-12T00:00:00"/>
    <s v="D001"/>
    <s v="Green Valley Produce"/>
    <s v="P006"/>
    <x v="5"/>
    <n v="32"/>
    <n v="34.700000000000003"/>
    <x v="0"/>
    <x v="0"/>
  </r>
  <r>
    <d v="2024-02-12T00:00:00"/>
    <s v="D002"/>
    <s v="Fresh Coast Foods"/>
    <s v="P001"/>
    <x v="0"/>
    <n v="34"/>
    <n v="33.200000000000003"/>
    <x v="0"/>
    <x v="0"/>
  </r>
  <r>
    <d v="2024-02-12T00:00:00"/>
    <s v="D002"/>
    <s v="Fresh Coast Foods"/>
    <s v="P002"/>
    <x v="1"/>
    <n v="38"/>
    <n v="38.799999999999997"/>
    <x v="0"/>
    <x v="0"/>
  </r>
  <r>
    <d v="2024-02-12T00:00:00"/>
    <s v="D002"/>
    <s v="Fresh Coast Foods"/>
    <s v="P003"/>
    <x v="2"/>
    <n v="32"/>
    <n v="34"/>
    <x v="0"/>
    <x v="0"/>
  </r>
  <r>
    <d v="2024-02-12T00:00:00"/>
    <s v="D002"/>
    <s v="Fresh Coast Foods"/>
    <s v="P004"/>
    <x v="3"/>
    <n v="50"/>
    <n v="52.4"/>
    <x v="0"/>
    <x v="0"/>
  </r>
  <r>
    <d v="2024-02-12T00:00:00"/>
    <s v="D002"/>
    <s v="Fresh Coast Foods"/>
    <s v="P005"/>
    <x v="4"/>
    <n v="38"/>
    <n v="40.4"/>
    <x v="0"/>
    <x v="0"/>
  </r>
  <r>
    <d v="2024-02-12T00:00:00"/>
    <s v="D002"/>
    <s v="Fresh Coast Foods"/>
    <s v="P006"/>
    <x v="5"/>
    <n v="32"/>
    <n v="33.5"/>
    <x v="0"/>
    <x v="0"/>
  </r>
  <r>
    <d v="2024-02-12T00:00:00"/>
    <s v="D003"/>
    <s v="Heartland Meats"/>
    <s v="P001"/>
    <x v="0"/>
    <n v="34"/>
    <n v="34.1"/>
    <x v="0"/>
    <x v="0"/>
  </r>
  <r>
    <d v="2024-02-12T00:00:00"/>
    <s v="D003"/>
    <s v="Heartland Meats"/>
    <s v="P002"/>
    <x v="1"/>
    <n v="38"/>
    <n v="37.6"/>
    <x v="0"/>
    <x v="0"/>
  </r>
  <r>
    <d v="2024-02-12T00:00:00"/>
    <s v="D003"/>
    <s v="Heartland Meats"/>
    <s v="P003"/>
    <x v="2"/>
    <n v="32"/>
    <n v="31.9"/>
    <x v="0"/>
    <x v="0"/>
  </r>
  <r>
    <d v="2024-02-12T00:00:00"/>
    <s v="D003"/>
    <s v="Heartland Meats"/>
    <s v="P004"/>
    <x v="3"/>
    <n v="50"/>
    <n v="49.6"/>
    <x v="0"/>
    <x v="0"/>
  </r>
  <r>
    <d v="2024-02-12T00:00:00"/>
    <s v="D003"/>
    <s v="Heartland Meats"/>
    <s v="P005"/>
    <x v="4"/>
    <n v="38"/>
    <n v="50.4"/>
    <x v="1"/>
    <x v="1"/>
  </r>
  <r>
    <d v="2024-02-12T00:00:00"/>
    <s v="D003"/>
    <s v="Heartland Meats"/>
    <s v="P006"/>
    <x v="5"/>
    <n v="32"/>
    <n v="32.9"/>
    <x v="0"/>
    <x v="0"/>
  </r>
  <r>
    <d v="2024-02-12T00:00:00"/>
    <s v="D004"/>
    <s v="Southwest Organics"/>
    <s v="P001"/>
    <x v="0"/>
    <n v="34"/>
    <n v="34.700000000000003"/>
    <x v="0"/>
    <x v="0"/>
  </r>
  <r>
    <d v="2024-02-12T00:00:00"/>
    <s v="D004"/>
    <s v="Southwest Organics"/>
    <s v="P002"/>
    <x v="1"/>
    <n v="38"/>
    <n v="37.799999999999997"/>
    <x v="0"/>
    <x v="0"/>
  </r>
  <r>
    <d v="2024-02-12T00:00:00"/>
    <s v="D004"/>
    <s v="Southwest Organics"/>
    <s v="P003"/>
    <x v="2"/>
    <n v="32"/>
    <n v="31.1"/>
    <x v="0"/>
    <x v="0"/>
  </r>
  <r>
    <d v="2024-02-12T00:00:00"/>
    <s v="D004"/>
    <s v="Southwest Organics"/>
    <s v="P004"/>
    <x v="3"/>
    <n v="50"/>
    <n v="50.1"/>
    <x v="0"/>
    <x v="0"/>
  </r>
  <r>
    <d v="2024-02-12T00:00:00"/>
    <s v="D004"/>
    <s v="Southwest Organics"/>
    <s v="P005"/>
    <x v="4"/>
    <n v="38"/>
    <n v="39.6"/>
    <x v="0"/>
    <x v="0"/>
  </r>
  <r>
    <d v="2024-02-12T00:00:00"/>
    <s v="D004"/>
    <s v="Southwest Organics"/>
    <s v="P006"/>
    <x v="5"/>
    <n v="32"/>
    <n v="43.8"/>
    <x v="1"/>
    <x v="1"/>
  </r>
  <r>
    <d v="2024-02-12T00:00:00"/>
    <s v="D005"/>
    <s v="Great Lakes Dairy"/>
    <s v="P001"/>
    <x v="0"/>
    <n v="34"/>
    <n v="33.200000000000003"/>
    <x v="0"/>
    <x v="0"/>
  </r>
  <r>
    <d v="2024-02-12T00:00:00"/>
    <s v="D005"/>
    <s v="Great Lakes Dairy"/>
    <s v="P002"/>
    <x v="1"/>
    <n v="38"/>
    <n v="38.299999999999997"/>
    <x v="0"/>
    <x v="0"/>
  </r>
  <r>
    <d v="2024-02-12T00:00:00"/>
    <s v="D005"/>
    <s v="Great Lakes Dairy"/>
    <s v="P003"/>
    <x v="2"/>
    <n v="32"/>
    <n v="31.3"/>
    <x v="0"/>
    <x v="0"/>
  </r>
  <r>
    <d v="2024-02-12T00:00:00"/>
    <s v="D005"/>
    <s v="Great Lakes Dairy"/>
    <s v="P004"/>
    <x v="3"/>
    <n v="50"/>
    <n v="52.6"/>
    <x v="0"/>
    <x v="0"/>
  </r>
  <r>
    <d v="2024-02-12T00:00:00"/>
    <s v="D005"/>
    <s v="Great Lakes Dairy"/>
    <s v="P005"/>
    <x v="4"/>
    <n v="38"/>
    <n v="40.5"/>
    <x v="0"/>
    <x v="0"/>
  </r>
  <r>
    <d v="2024-02-12T00:00:00"/>
    <s v="D005"/>
    <s v="Great Lakes Dairy"/>
    <s v="P006"/>
    <x v="5"/>
    <n v="32"/>
    <n v="34.4"/>
    <x v="0"/>
    <x v="0"/>
  </r>
  <r>
    <d v="2024-02-13T00:00:00"/>
    <s v="D001"/>
    <s v="Green Valley Produce"/>
    <s v="P001"/>
    <x v="0"/>
    <n v="34"/>
    <n v="33.9"/>
    <x v="0"/>
    <x v="0"/>
  </r>
  <r>
    <d v="2024-02-13T00:00:00"/>
    <s v="D001"/>
    <s v="Green Valley Produce"/>
    <s v="P002"/>
    <x v="1"/>
    <n v="38"/>
    <n v="39"/>
    <x v="0"/>
    <x v="0"/>
  </r>
  <r>
    <d v="2024-02-13T00:00:00"/>
    <s v="D001"/>
    <s v="Green Valley Produce"/>
    <s v="P003"/>
    <x v="2"/>
    <n v="32"/>
    <n v="43.3"/>
    <x v="1"/>
    <x v="1"/>
  </r>
  <r>
    <d v="2024-02-13T00:00:00"/>
    <s v="D001"/>
    <s v="Green Valley Produce"/>
    <s v="P004"/>
    <x v="3"/>
    <n v="50"/>
    <n v="52.1"/>
    <x v="0"/>
    <x v="0"/>
  </r>
  <r>
    <d v="2024-02-13T00:00:00"/>
    <s v="D001"/>
    <s v="Green Valley Produce"/>
    <s v="P005"/>
    <x v="4"/>
    <n v="38"/>
    <n v="39"/>
    <x v="0"/>
    <x v="0"/>
  </r>
  <r>
    <d v="2024-02-13T00:00:00"/>
    <s v="D001"/>
    <s v="Green Valley Produce"/>
    <s v="P006"/>
    <x v="5"/>
    <n v="32"/>
    <n v="42.8"/>
    <x v="1"/>
    <x v="1"/>
  </r>
  <r>
    <d v="2024-02-13T00:00:00"/>
    <s v="D002"/>
    <s v="Fresh Coast Foods"/>
    <s v="P001"/>
    <x v="0"/>
    <n v="34"/>
    <n v="34.299999999999997"/>
    <x v="0"/>
    <x v="0"/>
  </r>
  <r>
    <d v="2024-02-13T00:00:00"/>
    <s v="D002"/>
    <s v="Fresh Coast Foods"/>
    <s v="P002"/>
    <x v="1"/>
    <n v="38"/>
    <n v="39.9"/>
    <x v="0"/>
    <x v="0"/>
  </r>
  <r>
    <d v="2024-02-13T00:00:00"/>
    <s v="D002"/>
    <s v="Fresh Coast Foods"/>
    <s v="P003"/>
    <x v="2"/>
    <n v="32"/>
    <n v="34"/>
    <x v="0"/>
    <x v="0"/>
  </r>
  <r>
    <d v="2024-02-13T00:00:00"/>
    <s v="D002"/>
    <s v="Fresh Coast Foods"/>
    <s v="P004"/>
    <x v="3"/>
    <n v="50"/>
    <n v="49.9"/>
    <x v="0"/>
    <x v="0"/>
  </r>
  <r>
    <d v="2024-02-13T00:00:00"/>
    <s v="D002"/>
    <s v="Fresh Coast Foods"/>
    <s v="P005"/>
    <x v="4"/>
    <n v="38"/>
    <n v="45.7"/>
    <x v="1"/>
    <x v="2"/>
  </r>
  <r>
    <d v="2024-02-13T00:00:00"/>
    <s v="D002"/>
    <s v="Fresh Coast Foods"/>
    <s v="P006"/>
    <x v="5"/>
    <n v="32"/>
    <n v="32.6"/>
    <x v="0"/>
    <x v="0"/>
  </r>
  <r>
    <d v="2024-02-13T00:00:00"/>
    <s v="D003"/>
    <s v="Heartland Meats"/>
    <s v="P001"/>
    <x v="0"/>
    <n v="34"/>
    <n v="33.200000000000003"/>
    <x v="0"/>
    <x v="0"/>
  </r>
  <r>
    <d v="2024-02-13T00:00:00"/>
    <s v="D003"/>
    <s v="Heartland Meats"/>
    <s v="P002"/>
    <x v="1"/>
    <n v="38"/>
    <n v="39.799999999999997"/>
    <x v="0"/>
    <x v="0"/>
  </r>
  <r>
    <d v="2024-02-13T00:00:00"/>
    <s v="D003"/>
    <s v="Heartland Meats"/>
    <s v="P003"/>
    <x v="2"/>
    <n v="32"/>
    <n v="42.4"/>
    <x v="1"/>
    <x v="1"/>
  </r>
  <r>
    <d v="2024-02-13T00:00:00"/>
    <s v="D003"/>
    <s v="Heartland Meats"/>
    <s v="P004"/>
    <x v="3"/>
    <n v="50"/>
    <n v="50"/>
    <x v="0"/>
    <x v="0"/>
  </r>
  <r>
    <d v="2024-02-13T00:00:00"/>
    <s v="D003"/>
    <s v="Heartland Meats"/>
    <s v="P005"/>
    <x v="4"/>
    <n v="38"/>
    <n v="40.1"/>
    <x v="0"/>
    <x v="0"/>
  </r>
  <r>
    <d v="2024-02-13T00:00:00"/>
    <s v="D003"/>
    <s v="Heartland Meats"/>
    <s v="P006"/>
    <x v="5"/>
    <n v="32"/>
    <n v="41.8"/>
    <x v="1"/>
    <x v="2"/>
  </r>
  <r>
    <d v="2024-02-13T00:00:00"/>
    <s v="D004"/>
    <s v="Southwest Organics"/>
    <s v="P001"/>
    <x v="0"/>
    <n v="34"/>
    <n v="34.200000000000003"/>
    <x v="0"/>
    <x v="0"/>
  </r>
  <r>
    <d v="2024-02-13T00:00:00"/>
    <s v="D004"/>
    <s v="Southwest Organics"/>
    <s v="P002"/>
    <x v="1"/>
    <n v="38"/>
    <n v="40.6"/>
    <x v="0"/>
    <x v="0"/>
  </r>
  <r>
    <d v="2024-02-13T00:00:00"/>
    <s v="D004"/>
    <s v="Southwest Organics"/>
    <s v="P003"/>
    <x v="2"/>
    <n v="32"/>
    <n v="43.9"/>
    <x v="1"/>
    <x v="1"/>
  </r>
  <r>
    <d v="2024-02-13T00:00:00"/>
    <s v="D004"/>
    <s v="Southwest Organics"/>
    <s v="P004"/>
    <x v="3"/>
    <n v="50"/>
    <n v="49.2"/>
    <x v="0"/>
    <x v="0"/>
  </r>
  <r>
    <d v="2024-02-13T00:00:00"/>
    <s v="D004"/>
    <s v="Southwest Organics"/>
    <s v="P005"/>
    <x v="4"/>
    <n v="38"/>
    <n v="39.700000000000003"/>
    <x v="0"/>
    <x v="0"/>
  </r>
  <r>
    <d v="2024-02-13T00:00:00"/>
    <s v="D004"/>
    <s v="Southwest Organics"/>
    <s v="P006"/>
    <x v="5"/>
    <n v="32"/>
    <n v="32.5"/>
    <x v="0"/>
    <x v="0"/>
  </r>
  <r>
    <d v="2024-02-13T00:00:00"/>
    <s v="D005"/>
    <s v="Great Lakes Dairy"/>
    <s v="P001"/>
    <x v="0"/>
    <n v="34"/>
    <n v="35.799999999999997"/>
    <x v="0"/>
    <x v="0"/>
  </r>
  <r>
    <d v="2024-02-13T00:00:00"/>
    <s v="D005"/>
    <s v="Great Lakes Dairy"/>
    <s v="P002"/>
    <x v="1"/>
    <n v="38"/>
    <n v="39.700000000000003"/>
    <x v="0"/>
    <x v="0"/>
  </r>
  <r>
    <d v="2024-02-13T00:00:00"/>
    <s v="D005"/>
    <s v="Great Lakes Dairy"/>
    <s v="P003"/>
    <x v="2"/>
    <n v="32"/>
    <n v="31.9"/>
    <x v="0"/>
    <x v="0"/>
  </r>
  <r>
    <d v="2024-02-13T00:00:00"/>
    <s v="D005"/>
    <s v="Great Lakes Dairy"/>
    <s v="P004"/>
    <x v="3"/>
    <n v="50"/>
    <n v="49"/>
    <x v="0"/>
    <x v="0"/>
  </r>
  <r>
    <d v="2024-02-13T00:00:00"/>
    <s v="D005"/>
    <s v="Great Lakes Dairy"/>
    <s v="P005"/>
    <x v="4"/>
    <n v="38"/>
    <n v="40.700000000000003"/>
    <x v="0"/>
    <x v="0"/>
  </r>
  <r>
    <d v="2024-02-13T00:00:00"/>
    <s v="D005"/>
    <s v="Great Lakes Dairy"/>
    <s v="P006"/>
    <x v="5"/>
    <n v="32"/>
    <n v="32.200000000000003"/>
    <x v="0"/>
    <x v="0"/>
  </r>
  <r>
    <d v="2024-02-14T00:00:00"/>
    <s v="D001"/>
    <s v="Green Valley Produce"/>
    <s v="P001"/>
    <x v="0"/>
    <n v="34"/>
    <n v="36"/>
    <x v="0"/>
    <x v="0"/>
  </r>
  <r>
    <d v="2024-02-14T00:00:00"/>
    <s v="D001"/>
    <s v="Green Valley Produce"/>
    <s v="P002"/>
    <x v="1"/>
    <n v="38"/>
    <n v="40.4"/>
    <x v="0"/>
    <x v="0"/>
  </r>
  <r>
    <d v="2024-02-14T00:00:00"/>
    <s v="D001"/>
    <s v="Green Valley Produce"/>
    <s v="P003"/>
    <x v="2"/>
    <n v="32"/>
    <n v="41.5"/>
    <x v="1"/>
    <x v="2"/>
  </r>
  <r>
    <d v="2024-02-14T00:00:00"/>
    <s v="D001"/>
    <s v="Green Valley Produce"/>
    <s v="P004"/>
    <x v="3"/>
    <n v="50"/>
    <n v="52.2"/>
    <x v="0"/>
    <x v="0"/>
  </r>
  <r>
    <d v="2024-02-14T00:00:00"/>
    <s v="D001"/>
    <s v="Green Valley Produce"/>
    <s v="P005"/>
    <x v="4"/>
    <n v="38"/>
    <n v="40.200000000000003"/>
    <x v="0"/>
    <x v="0"/>
  </r>
  <r>
    <d v="2024-02-14T00:00:00"/>
    <s v="D001"/>
    <s v="Green Valley Produce"/>
    <s v="P006"/>
    <x v="5"/>
    <n v="32"/>
    <n v="31.3"/>
    <x v="0"/>
    <x v="0"/>
  </r>
  <r>
    <d v="2024-02-14T00:00:00"/>
    <s v="D002"/>
    <s v="Fresh Coast Foods"/>
    <s v="P001"/>
    <x v="0"/>
    <n v="34"/>
    <n v="35"/>
    <x v="0"/>
    <x v="0"/>
  </r>
  <r>
    <d v="2024-02-14T00:00:00"/>
    <s v="D002"/>
    <s v="Fresh Coast Foods"/>
    <s v="P002"/>
    <x v="1"/>
    <n v="38"/>
    <n v="40.700000000000003"/>
    <x v="0"/>
    <x v="0"/>
  </r>
  <r>
    <d v="2024-02-14T00:00:00"/>
    <s v="D002"/>
    <s v="Fresh Coast Foods"/>
    <s v="P003"/>
    <x v="2"/>
    <n v="32"/>
    <n v="32.700000000000003"/>
    <x v="0"/>
    <x v="0"/>
  </r>
  <r>
    <d v="2024-02-14T00:00:00"/>
    <s v="D002"/>
    <s v="Fresh Coast Foods"/>
    <s v="P004"/>
    <x v="3"/>
    <n v="50"/>
    <n v="49.4"/>
    <x v="0"/>
    <x v="0"/>
  </r>
  <r>
    <d v="2024-02-14T00:00:00"/>
    <s v="D002"/>
    <s v="Fresh Coast Foods"/>
    <s v="P005"/>
    <x v="4"/>
    <n v="38"/>
    <n v="46.1"/>
    <x v="1"/>
    <x v="2"/>
  </r>
  <r>
    <d v="2024-02-14T00:00:00"/>
    <s v="D002"/>
    <s v="Fresh Coast Foods"/>
    <s v="P006"/>
    <x v="5"/>
    <n v="32"/>
    <n v="41.4"/>
    <x v="1"/>
    <x v="2"/>
  </r>
  <r>
    <d v="2024-02-14T00:00:00"/>
    <s v="D003"/>
    <s v="Heartland Meats"/>
    <s v="P001"/>
    <x v="0"/>
    <n v="34"/>
    <n v="35.200000000000003"/>
    <x v="0"/>
    <x v="0"/>
  </r>
  <r>
    <d v="2024-02-14T00:00:00"/>
    <s v="D003"/>
    <s v="Heartland Meats"/>
    <s v="P002"/>
    <x v="1"/>
    <n v="38"/>
    <n v="39.799999999999997"/>
    <x v="0"/>
    <x v="0"/>
  </r>
  <r>
    <d v="2024-02-14T00:00:00"/>
    <s v="D003"/>
    <s v="Heartland Meats"/>
    <s v="P003"/>
    <x v="2"/>
    <n v="32"/>
    <n v="33.6"/>
    <x v="0"/>
    <x v="0"/>
  </r>
  <r>
    <d v="2024-02-14T00:00:00"/>
    <s v="D003"/>
    <s v="Heartland Meats"/>
    <s v="P004"/>
    <x v="3"/>
    <n v="50"/>
    <n v="50.8"/>
    <x v="0"/>
    <x v="0"/>
  </r>
  <r>
    <d v="2024-02-14T00:00:00"/>
    <s v="D003"/>
    <s v="Heartland Meats"/>
    <s v="P005"/>
    <x v="4"/>
    <n v="38"/>
    <n v="37"/>
    <x v="0"/>
    <x v="0"/>
  </r>
  <r>
    <d v="2024-02-14T00:00:00"/>
    <s v="D003"/>
    <s v="Heartland Meats"/>
    <s v="P006"/>
    <x v="5"/>
    <n v="32"/>
    <n v="32.200000000000003"/>
    <x v="0"/>
    <x v="0"/>
  </r>
  <r>
    <d v="2024-02-14T00:00:00"/>
    <s v="D004"/>
    <s v="Southwest Organics"/>
    <s v="P001"/>
    <x v="0"/>
    <n v="34"/>
    <n v="33.4"/>
    <x v="0"/>
    <x v="0"/>
  </r>
  <r>
    <d v="2024-02-14T00:00:00"/>
    <s v="D004"/>
    <s v="Southwest Organics"/>
    <s v="P002"/>
    <x v="1"/>
    <n v="38"/>
    <n v="39.9"/>
    <x v="0"/>
    <x v="0"/>
  </r>
  <r>
    <d v="2024-02-14T00:00:00"/>
    <s v="D004"/>
    <s v="Southwest Organics"/>
    <s v="P003"/>
    <x v="2"/>
    <n v="32"/>
    <n v="33.6"/>
    <x v="0"/>
    <x v="0"/>
  </r>
  <r>
    <d v="2024-02-14T00:00:00"/>
    <s v="D004"/>
    <s v="Southwest Organics"/>
    <s v="P004"/>
    <x v="3"/>
    <n v="50"/>
    <n v="60.8"/>
    <x v="1"/>
    <x v="1"/>
  </r>
  <r>
    <d v="2024-02-14T00:00:00"/>
    <s v="D004"/>
    <s v="Southwest Organics"/>
    <s v="P005"/>
    <x v="4"/>
    <n v="38"/>
    <n v="40.799999999999997"/>
    <x v="0"/>
    <x v="0"/>
  </r>
  <r>
    <d v="2024-02-14T00:00:00"/>
    <s v="D004"/>
    <s v="Southwest Organics"/>
    <s v="P006"/>
    <x v="5"/>
    <n v="32"/>
    <n v="34.5"/>
    <x v="0"/>
    <x v="0"/>
  </r>
  <r>
    <d v="2024-02-14T00:00:00"/>
    <s v="D005"/>
    <s v="Great Lakes Dairy"/>
    <s v="P001"/>
    <x v="0"/>
    <n v="34"/>
    <n v="41.4"/>
    <x v="1"/>
    <x v="2"/>
  </r>
  <r>
    <d v="2024-02-14T00:00:00"/>
    <s v="D005"/>
    <s v="Great Lakes Dairy"/>
    <s v="P002"/>
    <x v="1"/>
    <n v="38"/>
    <n v="38.299999999999997"/>
    <x v="0"/>
    <x v="0"/>
  </r>
  <r>
    <d v="2024-02-14T00:00:00"/>
    <s v="D005"/>
    <s v="Great Lakes Dairy"/>
    <s v="P003"/>
    <x v="2"/>
    <n v="32"/>
    <n v="31.3"/>
    <x v="0"/>
    <x v="0"/>
  </r>
  <r>
    <d v="2024-02-14T00:00:00"/>
    <s v="D005"/>
    <s v="Great Lakes Dairy"/>
    <s v="P004"/>
    <x v="3"/>
    <n v="50"/>
    <n v="50.6"/>
    <x v="0"/>
    <x v="0"/>
  </r>
  <r>
    <d v="2024-02-14T00:00:00"/>
    <s v="D005"/>
    <s v="Great Lakes Dairy"/>
    <s v="P005"/>
    <x v="4"/>
    <n v="38"/>
    <n v="40.299999999999997"/>
    <x v="0"/>
    <x v="0"/>
  </r>
  <r>
    <d v="2024-02-14T00:00:00"/>
    <s v="D005"/>
    <s v="Great Lakes Dairy"/>
    <s v="P006"/>
    <x v="5"/>
    <n v="32"/>
    <n v="31.1"/>
    <x v="0"/>
    <x v="0"/>
  </r>
  <r>
    <d v="2024-02-15T00:00:00"/>
    <s v="D001"/>
    <s v="Green Valley Produce"/>
    <s v="P001"/>
    <x v="0"/>
    <n v="34"/>
    <n v="44.5"/>
    <x v="1"/>
    <x v="1"/>
  </r>
  <r>
    <d v="2024-02-15T00:00:00"/>
    <s v="D001"/>
    <s v="Green Valley Produce"/>
    <s v="P002"/>
    <x v="1"/>
    <n v="38"/>
    <n v="37.9"/>
    <x v="0"/>
    <x v="0"/>
  </r>
  <r>
    <d v="2024-02-15T00:00:00"/>
    <s v="D001"/>
    <s v="Green Valley Produce"/>
    <s v="P003"/>
    <x v="2"/>
    <n v="32"/>
    <n v="41.7"/>
    <x v="1"/>
    <x v="2"/>
  </r>
  <r>
    <d v="2024-02-15T00:00:00"/>
    <s v="D001"/>
    <s v="Green Valley Produce"/>
    <s v="P004"/>
    <x v="3"/>
    <n v="50"/>
    <n v="52.4"/>
    <x v="0"/>
    <x v="0"/>
  </r>
  <r>
    <d v="2024-02-15T00:00:00"/>
    <s v="D001"/>
    <s v="Green Valley Produce"/>
    <s v="P005"/>
    <x v="4"/>
    <n v="38"/>
    <n v="48.9"/>
    <x v="1"/>
    <x v="1"/>
  </r>
  <r>
    <d v="2024-02-15T00:00:00"/>
    <s v="D001"/>
    <s v="Green Valley Produce"/>
    <s v="P006"/>
    <x v="5"/>
    <n v="32"/>
    <n v="31.6"/>
    <x v="0"/>
    <x v="0"/>
  </r>
  <r>
    <d v="2024-02-15T00:00:00"/>
    <s v="D002"/>
    <s v="Fresh Coast Foods"/>
    <s v="P001"/>
    <x v="0"/>
    <n v="34"/>
    <n v="33.700000000000003"/>
    <x v="0"/>
    <x v="0"/>
  </r>
  <r>
    <d v="2024-02-15T00:00:00"/>
    <s v="D002"/>
    <s v="Fresh Coast Foods"/>
    <s v="P002"/>
    <x v="1"/>
    <n v="38"/>
    <n v="37.1"/>
    <x v="0"/>
    <x v="0"/>
  </r>
  <r>
    <d v="2024-02-15T00:00:00"/>
    <s v="D002"/>
    <s v="Fresh Coast Foods"/>
    <s v="P003"/>
    <x v="2"/>
    <n v="32"/>
    <n v="34.1"/>
    <x v="0"/>
    <x v="0"/>
  </r>
  <r>
    <d v="2024-02-15T00:00:00"/>
    <s v="D002"/>
    <s v="Fresh Coast Foods"/>
    <s v="P004"/>
    <x v="3"/>
    <n v="50"/>
    <n v="52.3"/>
    <x v="0"/>
    <x v="0"/>
  </r>
  <r>
    <d v="2024-02-15T00:00:00"/>
    <s v="D002"/>
    <s v="Fresh Coast Foods"/>
    <s v="P005"/>
    <x v="4"/>
    <n v="38"/>
    <n v="37.9"/>
    <x v="0"/>
    <x v="0"/>
  </r>
  <r>
    <d v="2024-02-15T00:00:00"/>
    <s v="D002"/>
    <s v="Fresh Coast Foods"/>
    <s v="P006"/>
    <x v="5"/>
    <n v="32"/>
    <n v="34.799999999999997"/>
    <x v="0"/>
    <x v="0"/>
  </r>
  <r>
    <d v="2024-02-15T00:00:00"/>
    <s v="D003"/>
    <s v="Heartland Meats"/>
    <s v="P001"/>
    <x v="0"/>
    <n v="34"/>
    <n v="34.1"/>
    <x v="0"/>
    <x v="0"/>
  </r>
  <r>
    <d v="2024-02-15T00:00:00"/>
    <s v="D003"/>
    <s v="Heartland Meats"/>
    <s v="P002"/>
    <x v="1"/>
    <n v="38"/>
    <n v="38.5"/>
    <x v="0"/>
    <x v="0"/>
  </r>
  <r>
    <d v="2024-02-15T00:00:00"/>
    <s v="D003"/>
    <s v="Heartland Meats"/>
    <s v="P003"/>
    <x v="2"/>
    <n v="32"/>
    <n v="31.8"/>
    <x v="0"/>
    <x v="0"/>
  </r>
  <r>
    <d v="2024-02-15T00:00:00"/>
    <s v="D003"/>
    <s v="Heartland Meats"/>
    <s v="P004"/>
    <x v="3"/>
    <n v="50"/>
    <n v="52.3"/>
    <x v="0"/>
    <x v="0"/>
  </r>
  <r>
    <d v="2024-02-15T00:00:00"/>
    <s v="D003"/>
    <s v="Heartland Meats"/>
    <s v="P005"/>
    <x v="4"/>
    <n v="38"/>
    <n v="37.799999999999997"/>
    <x v="0"/>
    <x v="0"/>
  </r>
  <r>
    <d v="2024-02-15T00:00:00"/>
    <s v="D003"/>
    <s v="Heartland Meats"/>
    <s v="P006"/>
    <x v="5"/>
    <n v="32"/>
    <n v="34.200000000000003"/>
    <x v="0"/>
    <x v="0"/>
  </r>
  <r>
    <d v="2024-02-15T00:00:00"/>
    <s v="D004"/>
    <s v="Southwest Organics"/>
    <s v="P001"/>
    <x v="0"/>
    <n v="34"/>
    <n v="47.8"/>
    <x v="1"/>
    <x v="1"/>
  </r>
  <r>
    <d v="2024-02-15T00:00:00"/>
    <s v="D004"/>
    <s v="Southwest Organics"/>
    <s v="P002"/>
    <x v="1"/>
    <n v="38"/>
    <n v="38.799999999999997"/>
    <x v="0"/>
    <x v="0"/>
  </r>
  <r>
    <d v="2024-02-15T00:00:00"/>
    <s v="D004"/>
    <s v="Southwest Organics"/>
    <s v="P003"/>
    <x v="2"/>
    <n v="32"/>
    <n v="33.299999999999997"/>
    <x v="0"/>
    <x v="0"/>
  </r>
  <r>
    <d v="2024-02-15T00:00:00"/>
    <s v="D004"/>
    <s v="Southwest Organics"/>
    <s v="P004"/>
    <x v="3"/>
    <n v="50"/>
    <n v="49.3"/>
    <x v="0"/>
    <x v="0"/>
  </r>
  <r>
    <d v="2024-02-15T00:00:00"/>
    <s v="D004"/>
    <s v="Southwest Organics"/>
    <s v="P005"/>
    <x v="4"/>
    <n v="38"/>
    <n v="40.5"/>
    <x v="0"/>
    <x v="0"/>
  </r>
  <r>
    <d v="2024-02-15T00:00:00"/>
    <s v="D004"/>
    <s v="Southwest Organics"/>
    <s v="P006"/>
    <x v="5"/>
    <n v="32"/>
    <n v="32.6"/>
    <x v="0"/>
    <x v="0"/>
  </r>
  <r>
    <d v="2024-02-15T00:00:00"/>
    <s v="D005"/>
    <s v="Great Lakes Dairy"/>
    <s v="P001"/>
    <x v="0"/>
    <n v="34"/>
    <n v="34.5"/>
    <x v="0"/>
    <x v="0"/>
  </r>
  <r>
    <d v="2024-02-15T00:00:00"/>
    <s v="D005"/>
    <s v="Great Lakes Dairy"/>
    <s v="P002"/>
    <x v="1"/>
    <n v="38"/>
    <n v="39.4"/>
    <x v="0"/>
    <x v="0"/>
  </r>
  <r>
    <d v="2024-02-15T00:00:00"/>
    <s v="D005"/>
    <s v="Great Lakes Dairy"/>
    <s v="P003"/>
    <x v="2"/>
    <n v="32"/>
    <n v="42.5"/>
    <x v="1"/>
    <x v="1"/>
  </r>
  <r>
    <d v="2024-02-15T00:00:00"/>
    <s v="D005"/>
    <s v="Great Lakes Dairy"/>
    <s v="P004"/>
    <x v="3"/>
    <n v="50"/>
    <n v="63.4"/>
    <x v="1"/>
    <x v="1"/>
  </r>
  <r>
    <d v="2024-02-15T00:00:00"/>
    <s v="D005"/>
    <s v="Great Lakes Dairy"/>
    <s v="P005"/>
    <x v="4"/>
    <n v="38"/>
    <n v="38.4"/>
    <x v="0"/>
    <x v="0"/>
  </r>
  <r>
    <d v="2024-02-15T00:00:00"/>
    <s v="D005"/>
    <s v="Great Lakes Dairy"/>
    <s v="P006"/>
    <x v="5"/>
    <n v="32"/>
    <n v="33.700000000000003"/>
    <x v="0"/>
    <x v="0"/>
  </r>
  <r>
    <d v="2024-02-16T00:00:00"/>
    <s v="D001"/>
    <s v="Green Valley Produce"/>
    <s v="P001"/>
    <x v="0"/>
    <n v="34"/>
    <n v="35.799999999999997"/>
    <x v="0"/>
    <x v="0"/>
  </r>
  <r>
    <d v="2024-02-16T00:00:00"/>
    <s v="D001"/>
    <s v="Green Valley Produce"/>
    <s v="P002"/>
    <x v="1"/>
    <n v="38"/>
    <n v="37"/>
    <x v="0"/>
    <x v="0"/>
  </r>
  <r>
    <d v="2024-02-16T00:00:00"/>
    <s v="D001"/>
    <s v="Green Valley Produce"/>
    <s v="P003"/>
    <x v="2"/>
    <n v="32"/>
    <n v="32.5"/>
    <x v="0"/>
    <x v="0"/>
  </r>
  <r>
    <d v="2024-02-16T00:00:00"/>
    <s v="D001"/>
    <s v="Green Valley Produce"/>
    <s v="P004"/>
    <x v="3"/>
    <n v="50"/>
    <n v="51.7"/>
    <x v="0"/>
    <x v="0"/>
  </r>
  <r>
    <d v="2024-02-16T00:00:00"/>
    <s v="D001"/>
    <s v="Green Valley Produce"/>
    <s v="P005"/>
    <x v="4"/>
    <n v="38"/>
    <n v="51.1"/>
    <x v="1"/>
    <x v="1"/>
  </r>
  <r>
    <d v="2024-02-16T00:00:00"/>
    <s v="D001"/>
    <s v="Green Valley Produce"/>
    <s v="P006"/>
    <x v="5"/>
    <n v="32"/>
    <n v="39.4"/>
    <x v="1"/>
    <x v="2"/>
  </r>
  <r>
    <d v="2024-02-16T00:00:00"/>
    <s v="D002"/>
    <s v="Fresh Coast Foods"/>
    <s v="P001"/>
    <x v="0"/>
    <n v="34"/>
    <n v="43.9"/>
    <x v="1"/>
    <x v="2"/>
  </r>
  <r>
    <d v="2024-02-16T00:00:00"/>
    <s v="D002"/>
    <s v="Fresh Coast Foods"/>
    <s v="P002"/>
    <x v="1"/>
    <n v="38"/>
    <n v="38.9"/>
    <x v="0"/>
    <x v="0"/>
  </r>
  <r>
    <d v="2024-02-16T00:00:00"/>
    <s v="D002"/>
    <s v="Fresh Coast Foods"/>
    <s v="P003"/>
    <x v="2"/>
    <n v="32"/>
    <n v="43.7"/>
    <x v="1"/>
    <x v="1"/>
  </r>
  <r>
    <d v="2024-02-16T00:00:00"/>
    <s v="D002"/>
    <s v="Fresh Coast Foods"/>
    <s v="P004"/>
    <x v="3"/>
    <n v="50"/>
    <n v="50"/>
    <x v="0"/>
    <x v="0"/>
  </r>
  <r>
    <d v="2024-02-16T00:00:00"/>
    <s v="D002"/>
    <s v="Fresh Coast Foods"/>
    <s v="P005"/>
    <x v="4"/>
    <n v="38"/>
    <n v="40.9"/>
    <x v="0"/>
    <x v="0"/>
  </r>
  <r>
    <d v="2024-02-16T00:00:00"/>
    <s v="D002"/>
    <s v="Fresh Coast Foods"/>
    <s v="P006"/>
    <x v="5"/>
    <n v="32"/>
    <n v="34.9"/>
    <x v="0"/>
    <x v="0"/>
  </r>
  <r>
    <d v="2024-02-16T00:00:00"/>
    <s v="D003"/>
    <s v="Heartland Meats"/>
    <s v="P001"/>
    <x v="0"/>
    <n v="34"/>
    <n v="34.4"/>
    <x v="0"/>
    <x v="0"/>
  </r>
  <r>
    <d v="2024-02-16T00:00:00"/>
    <s v="D003"/>
    <s v="Heartland Meats"/>
    <s v="P002"/>
    <x v="1"/>
    <n v="38"/>
    <n v="40.6"/>
    <x v="0"/>
    <x v="0"/>
  </r>
  <r>
    <d v="2024-02-16T00:00:00"/>
    <s v="D003"/>
    <s v="Heartland Meats"/>
    <s v="P003"/>
    <x v="2"/>
    <n v="32"/>
    <n v="34.299999999999997"/>
    <x v="0"/>
    <x v="0"/>
  </r>
  <r>
    <d v="2024-02-16T00:00:00"/>
    <s v="D003"/>
    <s v="Heartland Meats"/>
    <s v="P004"/>
    <x v="3"/>
    <n v="50"/>
    <n v="51.1"/>
    <x v="0"/>
    <x v="0"/>
  </r>
  <r>
    <d v="2024-02-16T00:00:00"/>
    <s v="D003"/>
    <s v="Heartland Meats"/>
    <s v="P005"/>
    <x v="4"/>
    <n v="38"/>
    <n v="37.700000000000003"/>
    <x v="0"/>
    <x v="0"/>
  </r>
  <r>
    <d v="2024-02-16T00:00:00"/>
    <s v="D003"/>
    <s v="Heartland Meats"/>
    <s v="P006"/>
    <x v="5"/>
    <n v="32"/>
    <n v="33"/>
    <x v="0"/>
    <x v="0"/>
  </r>
  <r>
    <d v="2024-02-16T00:00:00"/>
    <s v="D004"/>
    <s v="Southwest Organics"/>
    <s v="P001"/>
    <x v="0"/>
    <n v="34"/>
    <n v="35.200000000000003"/>
    <x v="0"/>
    <x v="0"/>
  </r>
  <r>
    <d v="2024-02-16T00:00:00"/>
    <s v="D004"/>
    <s v="Southwest Organics"/>
    <s v="P002"/>
    <x v="1"/>
    <n v="38"/>
    <n v="39.5"/>
    <x v="0"/>
    <x v="0"/>
  </r>
  <r>
    <d v="2024-02-16T00:00:00"/>
    <s v="D004"/>
    <s v="Southwest Organics"/>
    <s v="P003"/>
    <x v="2"/>
    <n v="32"/>
    <n v="31.8"/>
    <x v="0"/>
    <x v="0"/>
  </r>
  <r>
    <d v="2024-02-16T00:00:00"/>
    <s v="D004"/>
    <s v="Southwest Organics"/>
    <s v="P004"/>
    <x v="3"/>
    <n v="50"/>
    <n v="57.5"/>
    <x v="1"/>
    <x v="2"/>
  </r>
  <r>
    <d v="2024-02-16T00:00:00"/>
    <s v="D004"/>
    <s v="Southwest Organics"/>
    <s v="P005"/>
    <x v="4"/>
    <n v="38"/>
    <n v="37.700000000000003"/>
    <x v="0"/>
    <x v="0"/>
  </r>
  <r>
    <d v="2024-02-16T00:00:00"/>
    <s v="D004"/>
    <s v="Southwest Organics"/>
    <s v="P006"/>
    <x v="5"/>
    <n v="32"/>
    <n v="31.5"/>
    <x v="0"/>
    <x v="0"/>
  </r>
  <r>
    <d v="2024-02-16T00:00:00"/>
    <s v="D005"/>
    <s v="Great Lakes Dairy"/>
    <s v="P001"/>
    <x v="0"/>
    <n v="34"/>
    <n v="35"/>
    <x v="0"/>
    <x v="0"/>
  </r>
  <r>
    <d v="2024-02-16T00:00:00"/>
    <s v="D005"/>
    <s v="Great Lakes Dairy"/>
    <s v="P002"/>
    <x v="1"/>
    <n v="38"/>
    <n v="41"/>
    <x v="0"/>
    <x v="0"/>
  </r>
  <r>
    <d v="2024-02-16T00:00:00"/>
    <s v="D005"/>
    <s v="Great Lakes Dairy"/>
    <s v="P003"/>
    <x v="2"/>
    <n v="32"/>
    <n v="32.799999999999997"/>
    <x v="0"/>
    <x v="0"/>
  </r>
  <r>
    <d v="2024-02-16T00:00:00"/>
    <s v="D005"/>
    <s v="Great Lakes Dairy"/>
    <s v="P004"/>
    <x v="3"/>
    <n v="50"/>
    <n v="61.8"/>
    <x v="1"/>
    <x v="1"/>
  </r>
  <r>
    <d v="2024-02-16T00:00:00"/>
    <s v="D005"/>
    <s v="Great Lakes Dairy"/>
    <s v="P005"/>
    <x v="4"/>
    <n v="38"/>
    <n v="46.8"/>
    <x v="1"/>
    <x v="2"/>
  </r>
  <r>
    <d v="2024-02-16T00:00:00"/>
    <s v="D005"/>
    <s v="Great Lakes Dairy"/>
    <s v="P006"/>
    <x v="5"/>
    <n v="32"/>
    <n v="32.1"/>
    <x v="0"/>
    <x v="0"/>
  </r>
  <r>
    <d v="2024-02-17T00:00:00"/>
    <s v="D001"/>
    <s v="Green Valley Produce"/>
    <s v="P001"/>
    <x v="0"/>
    <n v="34"/>
    <n v="36"/>
    <x v="0"/>
    <x v="0"/>
  </r>
  <r>
    <d v="2024-02-17T00:00:00"/>
    <s v="D001"/>
    <s v="Green Valley Produce"/>
    <s v="P002"/>
    <x v="1"/>
    <n v="38"/>
    <n v="39.299999999999997"/>
    <x v="0"/>
    <x v="0"/>
  </r>
  <r>
    <d v="2024-02-17T00:00:00"/>
    <s v="D001"/>
    <s v="Green Valley Produce"/>
    <s v="P003"/>
    <x v="2"/>
    <n v="32"/>
    <n v="31.8"/>
    <x v="0"/>
    <x v="0"/>
  </r>
  <r>
    <d v="2024-02-17T00:00:00"/>
    <s v="D001"/>
    <s v="Green Valley Produce"/>
    <s v="P004"/>
    <x v="3"/>
    <n v="50"/>
    <n v="49"/>
    <x v="0"/>
    <x v="0"/>
  </r>
  <r>
    <d v="2024-02-17T00:00:00"/>
    <s v="D001"/>
    <s v="Green Valley Produce"/>
    <s v="P005"/>
    <x v="4"/>
    <n v="38"/>
    <n v="37.700000000000003"/>
    <x v="0"/>
    <x v="0"/>
  </r>
  <r>
    <d v="2024-02-17T00:00:00"/>
    <s v="D001"/>
    <s v="Green Valley Produce"/>
    <s v="P006"/>
    <x v="5"/>
    <n v="32"/>
    <n v="32"/>
    <x v="0"/>
    <x v="0"/>
  </r>
  <r>
    <d v="2024-02-17T00:00:00"/>
    <s v="D002"/>
    <s v="Fresh Coast Foods"/>
    <s v="P001"/>
    <x v="0"/>
    <n v="34"/>
    <n v="33.4"/>
    <x v="0"/>
    <x v="0"/>
  </r>
  <r>
    <d v="2024-02-17T00:00:00"/>
    <s v="D002"/>
    <s v="Fresh Coast Foods"/>
    <s v="P002"/>
    <x v="1"/>
    <n v="38"/>
    <n v="38.1"/>
    <x v="0"/>
    <x v="0"/>
  </r>
  <r>
    <d v="2024-02-17T00:00:00"/>
    <s v="D002"/>
    <s v="Fresh Coast Foods"/>
    <s v="P003"/>
    <x v="2"/>
    <n v="32"/>
    <n v="31.5"/>
    <x v="0"/>
    <x v="0"/>
  </r>
  <r>
    <d v="2024-02-17T00:00:00"/>
    <s v="D002"/>
    <s v="Fresh Coast Foods"/>
    <s v="P004"/>
    <x v="3"/>
    <n v="50"/>
    <n v="52.7"/>
    <x v="0"/>
    <x v="0"/>
  </r>
  <r>
    <d v="2024-02-17T00:00:00"/>
    <s v="D002"/>
    <s v="Fresh Coast Foods"/>
    <s v="P005"/>
    <x v="4"/>
    <n v="38"/>
    <n v="46.6"/>
    <x v="1"/>
    <x v="2"/>
  </r>
  <r>
    <d v="2024-02-17T00:00:00"/>
    <s v="D002"/>
    <s v="Fresh Coast Foods"/>
    <s v="P006"/>
    <x v="5"/>
    <n v="32"/>
    <n v="41.7"/>
    <x v="1"/>
    <x v="2"/>
  </r>
  <r>
    <d v="2024-02-17T00:00:00"/>
    <s v="D003"/>
    <s v="Heartland Meats"/>
    <s v="P001"/>
    <x v="0"/>
    <n v="34"/>
    <n v="34.9"/>
    <x v="0"/>
    <x v="0"/>
  </r>
  <r>
    <d v="2024-02-17T00:00:00"/>
    <s v="D003"/>
    <s v="Heartland Meats"/>
    <s v="P002"/>
    <x v="1"/>
    <n v="38"/>
    <n v="38.1"/>
    <x v="0"/>
    <x v="0"/>
  </r>
  <r>
    <d v="2024-02-17T00:00:00"/>
    <s v="D003"/>
    <s v="Heartland Meats"/>
    <s v="P003"/>
    <x v="2"/>
    <n v="32"/>
    <n v="32.299999999999997"/>
    <x v="0"/>
    <x v="0"/>
  </r>
  <r>
    <d v="2024-02-17T00:00:00"/>
    <s v="D003"/>
    <s v="Heartland Meats"/>
    <s v="P004"/>
    <x v="3"/>
    <n v="50"/>
    <n v="61"/>
    <x v="1"/>
    <x v="1"/>
  </r>
  <r>
    <d v="2024-02-17T00:00:00"/>
    <s v="D003"/>
    <s v="Heartland Meats"/>
    <s v="P005"/>
    <x v="4"/>
    <n v="38"/>
    <n v="40.799999999999997"/>
    <x v="0"/>
    <x v="0"/>
  </r>
  <r>
    <d v="2024-02-17T00:00:00"/>
    <s v="D003"/>
    <s v="Heartland Meats"/>
    <s v="P006"/>
    <x v="5"/>
    <n v="32"/>
    <n v="34.6"/>
    <x v="0"/>
    <x v="0"/>
  </r>
  <r>
    <d v="2024-02-17T00:00:00"/>
    <s v="D004"/>
    <s v="Southwest Organics"/>
    <s v="P001"/>
    <x v="0"/>
    <n v="34"/>
    <n v="33.5"/>
    <x v="0"/>
    <x v="0"/>
  </r>
  <r>
    <d v="2024-02-17T00:00:00"/>
    <s v="D004"/>
    <s v="Southwest Organics"/>
    <s v="P002"/>
    <x v="1"/>
    <n v="38"/>
    <n v="40.200000000000003"/>
    <x v="0"/>
    <x v="0"/>
  </r>
  <r>
    <d v="2024-02-17T00:00:00"/>
    <s v="D004"/>
    <s v="Southwest Organics"/>
    <s v="P003"/>
    <x v="2"/>
    <n v="32"/>
    <n v="34.200000000000003"/>
    <x v="0"/>
    <x v="0"/>
  </r>
  <r>
    <d v="2024-02-17T00:00:00"/>
    <s v="D004"/>
    <s v="Southwest Organics"/>
    <s v="P004"/>
    <x v="3"/>
    <n v="50"/>
    <n v="51.2"/>
    <x v="0"/>
    <x v="0"/>
  </r>
  <r>
    <d v="2024-02-17T00:00:00"/>
    <s v="D004"/>
    <s v="Southwest Organics"/>
    <s v="P005"/>
    <x v="4"/>
    <n v="38"/>
    <n v="37.4"/>
    <x v="0"/>
    <x v="0"/>
  </r>
  <r>
    <d v="2024-02-17T00:00:00"/>
    <s v="D004"/>
    <s v="Southwest Organics"/>
    <s v="P006"/>
    <x v="5"/>
    <n v="32"/>
    <n v="32"/>
    <x v="0"/>
    <x v="0"/>
  </r>
  <r>
    <d v="2024-02-17T00:00:00"/>
    <s v="D005"/>
    <s v="Great Lakes Dairy"/>
    <s v="P001"/>
    <x v="0"/>
    <n v="34"/>
    <n v="34.6"/>
    <x v="0"/>
    <x v="0"/>
  </r>
  <r>
    <d v="2024-02-17T00:00:00"/>
    <s v="D005"/>
    <s v="Great Lakes Dairy"/>
    <s v="P002"/>
    <x v="1"/>
    <n v="38"/>
    <n v="45.7"/>
    <x v="1"/>
    <x v="2"/>
  </r>
  <r>
    <d v="2024-02-17T00:00:00"/>
    <s v="D005"/>
    <s v="Great Lakes Dairy"/>
    <s v="P003"/>
    <x v="2"/>
    <n v="32"/>
    <n v="32.6"/>
    <x v="0"/>
    <x v="0"/>
  </r>
  <r>
    <d v="2024-02-17T00:00:00"/>
    <s v="D005"/>
    <s v="Great Lakes Dairy"/>
    <s v="P004"/>
    <x v="3"/>
    <n v="50"/>
    <n v="52.8"/>
    <x v="0"/>
    <x v="0"/>
  </r>
  <r>
    <d v="2024-02-17T00:00:00"/>
    <s v="D005"/>
    <s v="Great Lakes Dairy"/>
    <s v="P005"/>
    <x v="4"/>
    <n v="38"/>
    <n v="46.4"/>
    <x v="1"/>
    <x v="2"/>
  </r>
  <r>
    <d v="2024-02-17T00:00:00"/>
    <s v="D005"/>
    <s v="Great Lakes Dairy"/>
    <s v="P006"/>
    <x v="5"/>
    <n v="32"/>
    <n v="33.9"/>
    <x v="0"/>
    <x v="0"/>
  </r>
  <r>
    <d v="2024-02-18T00:00:00"/>
    <s v="D001"/>
    <s v="Green Valley Produce"/>
    <s v="P001"/>
    <x v="0"/>
    <n v="34"/>
    <n v="36.6"/>
    <x v="0"/>
    <x v="0"/>
  </r>
  <r>
    <d v="2024-02-18T00:00:00"/>
    <s v="D001"/>
    <s v="Green Valley Produce"/>
    <s v="P002"/>
    <x v="1"/>
    <n v="38"/>
    <n v="38.4"/>
    <x v="0"/>
    <x v="0"/>
  </r>
  <r>
    <d v="2024-02-18T00:00:00"/>
    <s v="D001"/>
    <s v="Green Valley Produce"/>
    <s v="P003"/>
    <x v="2"/>
    <n v="32"/>
    <n v="40.9"/>
    <x v="1"/>
    <x v="2"/>
  </r>
  <r>
    <d v="2024-02-18T00:00:00"/>
    <s v="D001"/>
    <s v="Green Valley Produce"/>
    <s v="P004"/>
    <x v="3"/>
    <n v="50"/>
    <n v="50.8"/>
    <x v="0"/>
    <x v="0"/>
  </r>
  <r>
    <d v="2024-02-18T00:00:00"/>
    <s v="D001"/>
    <s v="Green Valley Produce"/>
    <s v="P005"/>
    <x v="4"/>
    <n v="38"/>
    <n v="38.1"/>
    <x v="0"/>
    <x v="0"/>
  </r>
  <r>
    <d v="2024-02-18T00:00:00"/>
    <s v="D001"/>
    <s v="Green Valley Produce"/>
    <s v="P006"/>
    <x v="5"/>
    <n v="32"/>
    <n v="31.4"/>
    <x v="0"/>
    <x v="0"/>
  </r>
  <r>
    <d v="2024-02-18T00:00:00"/>
    <s v="D002"/>
    <s v="Fresh Coast Foods"/>
    <s v="P001"/>
    <x v="0"/>
    <n v="34"/>
    <n v="34.5"/>
    <x v="0"/>
    <x v="0"/>
  </r>
  <r>
    <d v="2024-02-18T00:00:00"/>
    <s v="D002"/>
    <s v="Fresh Coast Foods"/>
    <s v="P002"/>
    <x v="1"/>
    <n v="38"/>
    <n v="39.5"/>
    <x v="0"/>
    <x v="0"/>
  </r>
  <r>
    <d v="2024-02-18T00:00:00"/>
    <s v="D002"/>
    <s v="Fresh Coast Foods"/>
    <s v="P003"/>
    <x v="2"/>
    <n v="32"/>
    <n v="42.1"/>
    <x v="1"/>
    <x v="1"/>
  </r>
  <r>
    <d v="2024-02-18T00:00:00"/>
    <s v="D002"/>
    <s v="Fresh Coast Foods"/>
    <s v="P004"/>
    <x v="3"/>
    <n v="50"/>
    <n v="51.7"/>
    <x v="0"/>
    <x v="0"/>
  </r>
  <r>
    <d v="2024-02-18T00:00:00"/>
    <s v="D002"/>
    <s v="Fresh Coast Foods"/>
    <s v="P005"/>
    <x v="4"/>
    <n v="38"/>
    <n v="39.9"/>
    <x v="0"/>
    <x v="0"/>
  </r>
  <r>
    <d v="2024-02-18T00:00:00"/>
    <s v="D002"/>
    <s v="Fresh Coast Foods"/>
    <s v="P006"/>
    <x v="5"/>
    <n v="32"/>
    <n v="33.1"/>
    <x v="0"/>
    <x v="0"/>
  </r>
  <r>
    <d v="2024-02-18T00:00:00"/>
    <s v="D003"/>
    <s v="Heartland Meats"/>
    <s v="P001"/>
    <x v="0"/>
    <n v="34"/>
    <n v="33.299999999999997"/>
    <x v="0"/>
    <x v="0"/>
  </r>
  <r>
    <d v="2024-02-18T00:00:00"/>
    <s v="D003"/>
    <s v="Heartland Meats"/>
    <s v="P002"/>
    <x v="1"/>
    <n v="38"/>
    <n v="37.299999999999997"/>
    <x v="0"/>
    <x v="0"/>
  </r>
  <r>
    <d v="2024-02-18T00:00:00"/>
    <s v="D003"/>
    <s v="Heartland Meats"/>
    <s v="P003"/>
    <x v="2"/>
    <n v="32"/>
    <n v="32.200000000000003"/>
    <x v="0"/>
    <x v="0"/>
  </r>
  <r>
    <d v="2024-02-18T00:00:00"/>
    <s v="D003"/>
    <s v="Heartland Meats"/>
    <s v="P004"/>
    <x v="3"/>
    <n v="50"/>
    <n v="51.7"/>
    <x v="0"/>
    <x v="0"/>
  </r>
  <r>
    <d v="2024-02-18T00:00:00"/>
    <s v="D003"/>
    <s v="Heartland Meats"/>
    <s v="P005"/>
    <x v="4"/>
    <n v="38"/>
    <n v="38"/>
    <x v="0"/>
    <x v="0"/>
  </r>
  <r>
    <d v="2024-02-18T00:00:00"/>
    <s v="D003"/>
    <s v="Heartland Meats"/>
    <s v="P006"/>
    <x v="5"/>
    <n v="32"/>
    <n v="33.299999999999997"/>
    <x v="0"/>
    <x v="0"/>
  </r>
  <r>
    <d v="2024-02-18T00:00:00"/>
    <s v="D004"/>
    <s v="Southwest Organics"/>
    <s v="P001"/>
    <x v="0"/>
    <n v="34"/>
    <n v="36.700000000000003"/>
    <x v="0"/>
    <x v="0"/>
  </r>
  <r>
    <d v="2024-02-18T00:00:00"/>
    <s v="D004"/>
    <s v="Southwest Organics"/>
    <s v="P002"/>
    <x v="1"/>
    <n v="38"/>
    <n v="39"/>
    <x v="0"/>
    <x v="0"/>
  </r>
  <r>
    <d v="2024-02-18T00:00:00"/>
    <s v="D004"/>
    <s v="Southwest Organics"/>
    <s v="P003"/>
    <x v="2"/>
    <n v="32"/>
    <n v="32.9"/>
    <x v="0"/>
    <x v="0"/>
  </r>
  <r>
    <d v="2024-02-18T00:00:00"/>
    <s v="D004"/>
    <s v="Southwest Organics"/>
    <s v="P004"/>
    <x v="3"/>
    <n v="50"/>
    <n v="52.3"/>
    <x v="0"/>
    <x v="0"/>
  </r>
  <r>
    <d v="2024-02-18T00:00:00"/>
    <s v="D004"/>
    <s v="Southwest Organics"/>
    <s v="P005"/>
    <x v="4"/>
    <n v="38"/>
    <n v="39.299999999999997"/>
    <x v="0"/>
    <x v="0"/>
  </r>
  <r>
    <d v="2024-02-18T00:00:00"/>
    <s v="D004"/>
    <s v="Southwest Organics"/>
    <s v="P006"/>
    <x v="5"/>
    <n v="32"/>
    <n v="31.1"/>
    <x v="0"/>
    <x v="0"/>
  </r>
  <r>
    <d v="2024-02-18T00:00:00"/>
    <s v="D005"/>
    <s v="Great Lakes Dairy"/>
    <s v="P001"/>
    <x v="0"/>
    <n v="34"/>
    <n v="34.9"/>
    <x v="0"/>
    <x v="0"/>
  </r>
  <r>
    <d v="2024-02-18T00:00:00"/>
    <s v="D005"/>
    <s v="Great Lakes Dairy"/>
    <s v="P002"/>
    <x v="1"/>
    <n v="38"/>
    <n v="40.4"/>
    <x v="0"/>
    <x v="0"/>
  </r>
  <r>
    <d v="2024-02-18T00:00:00"/>
    <s v="D005"/>
    <s v="Great Lakes Dairy"/>
    <s v="P003"/>
    <x v="2"/>
    <n v="32"/>
    <n v="41.3"/>
    <x v="1"/>
    <x v="2"/>
  </r>
  <r>
    <d v="2024-02-18T00:00:00"/>
    <s v="D005"/>
    <s v="Great Lakes Dairy"/>
    <s v="P004"/>
    <x v="3"/>
    <n v="50"/>
    <n v="50.3"/>
    <x v="0"/>
    <x v="0"/>
  </r>
  <r>
    <d v="2024-02-18T00:00:00"/>
    <s v="D005"/>
    <s v="Great Lakes Dairy"/>
    <s v="P005"/>
    <x v="4"/>
    <n v="38"/>
    <n v="40"/>
    <x v="0"/>
    <x v="0"/>
  </r>
  <r>
    <d v="2024-02-18T00:00:00"/>
    <s v="D005"/>
    <s v="Great Lakes Dairy"/>
    <s v="P006"/>
    <x v="5"/>
    <n v="32"/>
    <n v="34.200000000000003"/>
    <x v="0"/>
    <x v="0"/>
  </r>
  <r>
    <d v="2024-02-19T00:00:00"/>
    <s v="D001"/>
    <s v="Green Valley Produce"/>
    <s v="P001"/>
    <x v="0"/>
    <n v="34"/>
    <n v="36.700000000000003"/>
    <x v="0"/>
    <x v="0"/>
  </r>
  <r>
    <d v="2024-02-19T00:00:00"/>
    <s v="D001"/>
    <s v="Green Valley Produce"/>
    <s v="P002"/>
    <x v="1"/>
    <n v="38"/>
    <n v="37.799999999999997"/>
    <x v="0"/>
    <x v="0"/>
  </r>
  <r>
    <d v="2024-02-19T00:00:00"/>
    <s v="D001"/>
    <s v="Green Valley Produce"/>
    <s v="P003"/>
    <x v="2"/>
    <n v="32"/>
    <n v="45.9"/>
    <x v="1"/>
    <x v="1"/>
  </r>
  <r>
    <d v="2024-02-19T00:00:00"/>
    <s v="D001"/>
    <s v="Green Valley Produce"/>
    <s v="P004"/>
    <x v="3"/>
    <n v="50"/>
    <n v="51.7"/>
    <x v="0"/>
    <x v="0"/>
  </r>
  <r>
    <d v="2024-02-19T00:00:00"/>
    <s v="D001"/>
    <s v="Green Valley Produce"/>
    <s v="P005"/>
    <x v="4"/>
    <n v="38"/>
    <n v="37.1"/>
    <x v="0"/>
    <x v="0"/>
  </r>
  <r>
    <d v="2024-02-19T00:00:00"/>
    <s v="D001"/>
    <s v="Green Valley Produce"/>
    <s v="P006"/>
    <x v="5"/>
    <n v="32"/>
    <n v="31.1"/>
    <x v="0"/>
    <x v="0"/>
  </r>
  <r>
    <d v="2024-02-19T00:00:00"/>
    <s v="D002"/>
    <s v="Fresh Coast Foods"/>
    <s v="P001"/>
    <x v="0"/>
    <n v="34"/>
    <n v="34.799999999999997"/>
    <x v="0"/>
    <x v="0"/>
  </r>
  <r>
    <d v="2024-02-19T00:00:00"/>
    <s v="D002"/>
    <s v="Fresh Coast Foods"/>
    <s v="P002"/>
    <x v="1"/>
    <n v="38"/>
    <n v="39.6"/>
    <x v="0"/>
    <x v="0"/>
  </r>
  <r>
    <d v="2024-02-19T00:00:00"/>
    <s v="D002"/>
    <s v="Fresh Coast Foods"/>
    <s v="P003"/>
    <x v="2"/>
    <n v="32"/>
    <n v="33.9"/>
    <x v="0"/>
    <x v="0"/>
  </r>
  <r>
    <d v="2024-02-19T00:00:00"/>
    <s v="D002"/>
    <s v="Fresh Coast Foods"/>
    <s v="P004"/>
    <x v="3"/>
    <n v="50"/>
    <n v="52.3"/>
    <x v="0"/>
    <x v="0"/>
  </r>
  <r>
    <d v="2024-02-19T00:00:00"/>
    <s v="D002"/>
    <s v="Fresh Coast Foods"/>
    <s v="P005"/>
    <x v="4"/>
    <n v="38"/>
    <n v="39.799999999999997"/>
    <x v="0"/>
    <x v="0"/>
  </r>
  <r>
    <d v="2024-02-19T00:00:00"/>
    <s v="D002"/>
    <s v="Fresh Coast Foods"/>
    <s v="P006"/>
    <x v="5"/>
    <n v="32"/>
    <n v="33.700000000000003"/>
    <x v="0"/>
    <x v="0"/>
  </r>
  <r>
    <d v="2024-02-19T00:00:00"/>
    <s v="D003"/>
    <s v="Heartland Meats"/>
    <s v="P001"/>
    <x v="0"/>
    <n v="34"/>
    <n v="33.4"/>
    <x v="0"/>
    <x v="0"/>
  </r>
  <r>
    <d v="2024-02-19T00:00:00"/>
    <s v="D003"/>
    <s v="Heartland Meats"/>
    <s v="P002"/>
    <x v="1"/>
    <n v="38"/>
    <n v="45.5"/>
    <x v="1"/>
    <x v="2"/>
  </r>
  <r>
    <d v="2024-02-19T00:00:00"/>
    <s v="D003"/>
    <s v="Heartland Meats"/>
    <s v="P003"/>
    <x v="2"/>
    <n v="32"/>
    <n v="33.799999999999997"/>
    <x v="0"/>
    <x v="0"/>
  </r>
  <r>
    <d v="2024-02-19T00:00:00"/>
    <s v="D003"/>
    <s v="Heartland Meats"/>
    <s v="P004"/>
    <x v="3"/>
    <n v="50"/>
    <n v="49.1"/>
    <x v="0"/>
    <x v="0"/>
  </r>
  <r>
    <d v="2024-02-19T00:00:00"/>
    <s v="D003"/>
    <s v="Heartland Meats"/>
    <s v="P005"/>
    <x v="4"/>
    <n v="38"/>
    <n v="37.6"/>
    <x v="0"/>
    <x v="0"/>
  </r>
  <r>
    <d v="2024-02-19T00:00:00"/>
    <s v="D003"/>
    <s v="Heartland Meats"/>
    <s v="P006"/>
    <x v="5"/>
    <n v="32"/>
    <n v="34.4"/>
    <x v="0"/>
    <x v="0"/>
  </r>
  <r>
    <d v="2024-02-19T00:00:00"/>
    <s v="D004"/>
    <s v="Southwest Organics"/>
    <s v="P001"/>
    <x v="0"/>
    <n v="34"/>
    <n v="35.200000000000003"/>
    <x v="0"/>
    <x v="0"/>
  </r>
  <r>
    <d v="2024-02-19T00:00:00"/>
    <s v="D004"/>
    <s v="Southwest Organics"/>
    <s v="P002"/>
    <x v="1"/>
    <n v="38"/>
    <n v="50.2"/>
    <x v="1"/>
    <x v="1"/>
  </r>
  <r>
    <d v="2024-02-19T00:00:00"/>
    <s v="D004"/>
    <s v="Southwest Organics"/>
    <s v="P003"/>
    <x v="2"/>
    <n v="32"/>
    <n v="41.4"/>
    <x v="1"/>
    <x v="2"/>
  </r>
  <r>
    <d v="2024-02-19T00:00:00"/>
    <s v="D004"/>
    <s v="Southwest Organics"/>
    <s v="P004"/>
    <x v="3"/>
    <n v="50"/>
    <n v="63.2"/>
    <x v="1"/>
    <x v="1"/>
  </r>
  <r>
    <d v="2024-02-19T00:00:00"/>
    <s v="D004"/>
    <s v="Southwest Organics"/>
    <s v="P005"/>
    <x v="4"/>
    <n v="38"/>
    <n v="38.799999999999997"/>
    <x v="0"/>
    <x v="0"/>
  </r>
  <r>
    <d v="2024-02-19T00:00:00"/>
    <s v="D004"/>
    <s v="Southwest Organics"/>
    <s v="P006"/>
    <x v="5"/>
    <n v="32"/>
    <n v="31.1"/>
    <x v="0"/>
    <x v="0"/>
  </r>
  <r>
    <d v="2024-02-19T00:00:00"/>
    <s v="D005"/>
    <s v="Great Lakes Dairy"/>
    <s v="P001"/>
    <x v="0"/>
    <n v="34"/>
    <n v="34"/>
    <x v="0"/>
    <x v="0"/>
  </r>
  <r>
    <d v="2024-02-19T00:00:00"/>
    <s v="D005"/>
    <s v="Great Lakes Dairy"/>
    <s v="P002"/>
    <x v="1"/>
    <n v="38"/>
    <n v="40.299999999999997"/>
    <x v="0"/>
    <x v="0"/>
  </r>
  <r>
    <d v="2024-02-19T00:00:00"/>
    <s v="D005"/>
    <s v="Great Lakes Dairy"/>
    <s v="P003"/>
    <x v="2"/>
    <n v="32"/>
    <n v="32.299999999999997"/>
    <x v="0"/>
    <x v="0"/>
  </r>
  <r>
    <d v="2024-02-19T00:00:00"/>
    <s v="D005"/>
    <s v="Great Lakes Dairy"/>
    <s v="P004"/>
    <x v="3"/>
    <n v="50"/>
    <n v="62.8"/>
    <x v="1"/>
    <x v="1"/>
  </r>
  <r>
    <d v="2024-02-19T00:00:00"/>
    <s v="D005"/>
    <s v="Great Lakes Dairy"/>
    <s v="P005"/>
    <x v="4"/>
    <n v="38"/>
    <n v="38.700000000000003"/>
    <x v="0"/>
    <x v="0"/>
  </r>
  <r>
    <d v="2024-02-19T00:00:00"/>
    <s v="D005"/>
    <s v="Great Lakes Dairy"/>
    <s v="P006"/>
    <x v="5"/>
    <n v="32"/>
    <n v="33.299999999999997"/>
    <x v="0"/>
    <x v="0"/>
  </r>
  <r>
    <d v="2024-02-20T00:00:00"/>
    <s v="D001"/>
    <s v="Green Valley Produce"/>
    <s v="P001"/>
    <x v="0"/>
    <n v="34"/>
    <n v="37"/>
    <x v="0"/>
    <x v="0"/>
  </r>
  <r>
    <d v="2024-02-20T00:00:00"/>
    <s v="D001"/>
    <s v="Green Valley Produce"/>
    <s v="P002"/>
    <x v="1"/>
    <n v="38"/>
    <n v="47.2"/>
    <x v="1"/>
    <x v="2"/>
  </r>
  <r>
    <d v="2024-02-20T00:00:00"/>
    <s v="D001"/>
    <s v="Green Valley Produce"/>
    <s v="P003"/>
    <x v="2"/>
    <n v="32"/>
    <n v="33.9"/>
    <x v="0"/>
    <x v="0"/>
  </r>
  <r>
    <d v="2024-02-20T00:00:00"/>
    <s v="D001"/>
    <s v="Green Valley Produce"/>
    <s v="P004"/>
    <x v="3"/>
    <n v="50"/>
    <n v="52.6"/>
    <x v="0"/>
    <x v="0"/>
  </r>
  <r>
    <d v="2024-02-20T00:00:00"/>
    <s v="D001"/>
    <s v="Green Valley Produce"/>
    <s v="P005"/>
    <x v="4"/>
    <n v="38"/>
    <n v="37.9"/>
    <x v="0"/>
    <x v="0"/>
  </r>
  <r>
    <d v="2024-02-20T00:00:00"/>
    <s v="D001"/>
    <s v="Green Valley Produce"/>
    <s v="P006"/>
    <x v="5"/>
    <n v="32"/>
    <n v="38.200000000000003"/>
    <x v="1"/>
    <x v="2"/>
  </r>
  <r>
    <d v="2024-02-20T00:00:00"/>
    <s v="D002"/>
    <s v="Fresh Coast Foods"/>
    <s v="P001"/>
    <x v="0"/>
    <n v="34"/>
    <n v="35.200000000000003"/>
    <x v="0"/>
    <x v="0"/>
  </r>
  <r>
    <d v="2024-02-20T00:00:00"/>
    <s v="D002"/>
    <s v="Fresh Coast Foods"/>
    <s v="P002"/>
    <x v="1"/>
    <n v="38"/>
    <n v="39.6"/>
    <x v="0"/>
    <x v="0"/>
  </r>
  <r>
    <d v="2024-02-20T00:00:00"/>
    <s v="D002"/>
    <s v="Fresh Coast Foods"/>
    <s v="P003"/>
    <x v="2"/>
    <n v="32"/>
    <n v="31.5"/>
    <x v="0"/>
    <x v="0"/>
  </r>
  <r>
    <d v="2024-02-20T00:00:00"/>
    <s v="D002"/>
    <s v="Fresh Coast Foods"/>
    <s v="P004"/>
    <x v="3"/>
    <n v="50"/>
    <n v="51.6"/>
    <x v="0"/>
    <x v="0"/>
  </r>
  <r>
    <d v="2024-02-20T00:00:00"/>
    <s v="D002"/>
    <s v="Fresh Coast Foods"/>
    <s v="P005"/>
    <x v="4"/>
    <n v="38"/>
    <n v="38.700000000000003"/>
    <x v="0"/>
    <x v="0"/>
  </r>
  <r>
    <d v="2024-02-20T00:00:00"/>
    <s v="D002"/>
    <s v="Fresh Coast Foods"/>
    <s v="P006"/>
    <x v="5"/>
    <n v="32"/>
    <n v="43.8"/>
    <x v="1"/>
    <x v="1"/>
  </r>
  <r>
    <d v="2024-02-20T00:00:00"/>
    <s v="D003"/>
    <s v="Heartland Meats"/>
    <s v="P001"/>
    <x v="0"/>
    <n v="34"/>
    <n v="34.799999999999997"/>
    <x v="0"/>
    <x v="0"/>
  </r>
  <r>
    <d v="2024-02-20T00:00:00"/>
    <s v="D003"/>
    <s v="Heartland Meats"/>
    <s v="P002"/>
    <x v="1"/>
    <n v="38"/>
    <n v="39.4"/>
    <x v="0"/>
    <x v="0"/>
  </r>
  <r>
    <d v="2024-02-20T00:00:00"/>
    <s v="D003"/>
    <s v="Heartland Meats"/>
    <s v="P003"/>
    <x v="2"/>
    <n v="32"/>
    <n v="34.700000000000003"/>
    <x v="0"/>
    <x v="0"/>
  </r>
  <r>
    <d v="2024-02-20T00:00:00"/>
    <s v="D003"/>
    <s v="Heartland Meats"/>
    <s v="P004"/>
    <x v="3"/>
    <n v="50"/>
    <n v="51.9"/>
    <x v="0"/>
    <x v="0"/>
  </r>
  <r>
    <d v="2024-02-20T00:00:00"/>
    <s v="D003"/>
    <s v="Heartland Meats"/>
    <s v="P005"/>
    <x v="4"/>
    <n v="38"/>
    <n v="40.5"/>
    <x v="0"/>
    <x v="0"/>
  </r>
  <r>
    <d v="2024-02-20T00:00:00"/>
    <s v="D003"/>
    <s v="Heartland Meats"/>
    <s v="P006"/>
    <x v="5"/>
    <n v="32"/>
    <n v="32.6"/>
    <x v="0"/>
    <x v="0"/>
  </r>
  <r>
    <d v="2024-02-20T00:00:00"/>
    <s v="D004"/>
    <s v="Southwest Organics"/>
    <s v="P001"/>
    <x v="0"/>
    <n v="34"/>
    <n v="36.799999999999997"/>
    <x v="0"/>
    <x v="0"/>
  </r>
  <r>
    <d v="2024-02-20T00:00:00"/>
    <s v="D004"/>
    <s v="Southwest Organics"/>
    <s v="P002"/>
    <x v="1"/>
    <n v="38"/>
    <n v="38.4"/>
    <x v="0"/>
    <x v="0"/>
  </r>
  <r>
    <d v="2024-02-20T00:00:00"/>
    <s v="D004"/>
    <s v="Southwest Organics"/>
    <s v="P003"/>
    <x v="2"/>
    <n v="32"/>
    <n v="34.9"/>
    <x v="0"/>
    <x v="0"/>
  </r>
  <r>
    <d v="2024-02-20T00:00:00"/>
    <s v="D004"/>
    <s v="Southwest Organics"/>
    <s v="P004"/>
    <x v="3"/>
    <n v="50"/>
    <n v="57.7"/>
    <x v="1"/>
    <x v="2"/>
  </r>
  <r>
    <d v="2024-02-20T00:00:00"/>
    <s v="D004"/>
    <s v="Southwest Organics"/>
    <s v="P005"/>
    <x v="4"/>
    <n v="38"/>
    <n v="37.299999999999997"/>
    <x v="0"/>
    <x v="0"/>
  </r>
  <r>
    <d v="2024-02-20T00:00:00"/>
    <s v="D004"/>
    <s v="Southwest Organics"/>
    <s v="P006"/>
    <x v="5"/>
    <n v="32"/>
    <n v="31.7"/>
    <x v="0"/>
    <x v="0"/>
  </r>
  <r>
    <d v="2024-02-20T00:00:00"/>
    <s v="D005"/>
    <s v="Great Lakes Dairy"/>
    <s v="P001"/>
    <x v="0"/>
    <n v="34"/>
    <n v="43.9"/>
    <x v="1"/>
    <x v="2"/>
  </r>
  <r>
    <d v="2024-02-20T00:00:00"/>
    <s v="D005"/>
    <s v="Great Lakes Dairy"/>
    <s v="P002"/>
    <x v="1"/>
    <n v="38"/>
    <n v="40.799999999999997"/>
    <x v="0"/>
    <x v="0"/>
  </r>
  <r>
    <d v="2024-02-20T00:00:00"/>
    <s v="D005"/>
    <s v="Great Lakes Dairy"/>
    <s v="P003"/>
    <x v="2"/>
    <n v="32"/>
    <n v="31.9"/>
    <x v="0"/>
    <x v="0"/>
  </r>
  <r>
    <d v="2024-02-20T00:00:00"/>
    <s v="D005"/>
    <s v="Great Lakes Dairy"/>
    <s v="P004"/>
    <x v="3"/>
    <n v="50"/>
    <n v="53"/>
    <x v="0"/>
    <x v="0"/>
  </r>
  <r>
    <d v="2024-02-20T00:00:00"/>
    <s v="D005"/>
    <s v="Great Lakes Dairy"/>
    <s v="P005"/>
    <x v="4"/>
    <n v="38"/>
    <n v="38"/>
    <x v="0"/>
    <x v="0"/>
  </r>
  <r>
    <d v="2024-02-20T00:00:00"/>
    <s v="D005"/>
    <s v="Great Lakes Dairy"/>
    <s v="P006"/>
    <x v="5"/>
    <n v="32"/>
    <n v="31.7"/>
    <x v="0"/>
    <x v="0"/>
  </r>
  <r>
    <d v="2024-02-21T00:00:00"/>
    <s v="D001"/>
    <s v="Green Valley Produce"/>
    <s v="P001"/>
    <x v="0"/>
    <n v="34"/>
    <n v="35"/>
    <x v="0"/>
    <x v="0"/>
  </r>
  <r>
    <d v="2024-02-21T00:00:00"/>
    <s v="D001"/>
    <s v="Green Valley Produce"/>
    <s v="P002"/>
    <x v="1"/>
    <n v="38"/>
    <n v="38.4"/>
    <x v="0"/>
    <x v="0"/>
  </r>
  <r>
    <d v="2024-02-21T00:00:00"/>
    <s v="D001"/>
    <s v="Green Valley Produce"/>
    <s v="P003"/>
    <x v="2"/>
    <n v="32"/>
    <n v="39.799999999999997"/>
    <x v="1"/>
    <x v="2"/>
  </r>
  <r>
    <d v="2024-02-21T00:00:00"/>
    <s v="D001"/>
    <s v="Green Valley Produce"/>
    <s v="P004"/>
    <x v="3"/>
    <n v="50"/>
    <n v="50.9"/>
    <x v="0"/>
    <x v="0"/>
  </r>
  <r>
    <d v="2024-02-21T00:00:00"/>
    <s v="D001"/>
    <s v="Green Valley Produce"/>
    <s v="P005"/>
    <x v="4"/>
    <n v="38"/>
    <n v="40.1"/>
    <x v="0"/>
    <x v="0"/>
  </r>
  <r>
    <d v="2024-02-21T00:00:00"/>
    <s v="D001"/>
    <s v="Green Valley Produce"/>
    <s v="P006"/>
    <x v="5"/>
    <n v="32"/>
    <n v="34.1"/>
    <x v="0"/>
    <x v="0"/>
  </r>
  <r>
    <d v="2024-02-21T00:00:00"/>
    <s v="D002"/>
    <s v="Fresh Coast Foods"/>
    <s v="P001"/>
    <x v="0"/>
    <n v="34"/>
    <n v="36.6"/>
    <x v="0"/>
    <x v="0"/>
  </r>
  <r>
    <d v="2024-02-21T00:00:00"/>
    <s v="D002"/>
    <s v="Fresh Coast Foods"/>
    <s v="P002"/>
    <x v="1"/>
    <n v="38"/>
    <n v="40.5"/>
    <x v="0"/>
    <x v="0"/>
  </r>
  <r>
    <d v="2024-02-21T00:00:00"/>
    <s v="D002"/>
    <s v="Fresh Coast Foods"/>
    <s v="P003"/>
    <x v="2"/>
    <n v="32"/>
    <n v="31.4"/>
    <x v="0"/>
    <x v="0"/>
  </r>
  <r>
    <d v="2024-02-21T00:00:00"/>
    <s v="D002"/>
    <s v="Fresh Coast Foods"/>
    <s v="P004"/>
    <x v="3"/>
    <n v="50"/>
    <n v="63.6"/>
    <x v="1"/>
    <x v="1"/>
  </r>
  <r>
    <d v="2024-02-21T00:00:00"/>
    <s v="D002"/>
    <s v="Fresh Coast Foods"/>
    <s v="P005"/>
    <x v="4"/>
    <n v="38"/>
    <n v="40.9"/>
    <x v="0"/>
    <x v="0"/>
  </r>
  <r>
    <d v="2024-02-21T00:00:00"/>
    <s v="D002"/>
    <s v="Fresh Coast Foods"/>
    <s v="P006"/>
    <x v="5"/>
    <n v="32"/>
    <n v="34.9"/>
    <x v="0"/>
    <x v="0"/>
  </r>
  <r>
    <d v="2024-02-21T00:00:00"/>
    <s v="D003"/>
    <s v="Heartland Meats"/>
    <s v="P001"/>
    <x v="0"/>
    <n v="34"/>
    <n v="35.4"/>
    <x v="0"/>
    <x v="0"/>
  </r>
  <r>
    <d v="2024-02-21T00:00:00"/>
    <s v="D003"/>
    <s v="Heartland Meats"/>
    <s v="P002"/>
    <x v="1"/>
    <n v="38"/>
    <n v="37.4"/>
    <x v="0"/>
    <x v="0"/>
  </r>
  <r>
    <d v="2024-02-21T00:00:00"/>
    <s v="D003"/>
    <s v="Heartland Meats"/>
    <s v="P003"/>
    <x v="2"/>
    <n v="32"/>
    <n v="33"/>
    <x v="0"/>
    <x v="0"/>
  </r>
  <r>
    <d v="2024-02-21T00:00:00"/>
    <s v="D003"/>
    <s v="Heartland Meats"/>
    <s v="P004"/>
    <x v="3"/>
    <n v="50"/>
    <n v="56.9"/>
    <x v="1"/>
    <x v="2"/>
  </r>
  <r>
    <d v="2024-02-21T00:00:00"/>
    <s v="D003"/>
    <s v="Heartland Meats"/>
    <s v="P005"/>
    <x v="4"/>
    <n v="38"/>
    <n v="38.4"/>
    <x v="0"/>
    <x v="0"/>
  </r>
  <r>
    <d v="2024-02-21T00:00:00"/>
    <s v="D003"/>
    <s v="Heartland Meats"/>
    <s v="P006"/>
    <x v="5"/>
    <n v="32"/>
    <n v="33.799999999999997"/>
    <x v="0"/>
    <x v="0"/>
  </r>
  <r>
    <d v="2024-02-21T00:00:00"/>
    <s v="D004"/>
    <s v="Southwest Organics"/>
    <s v="P001"/>
    <x v="0"/>
    <n v="34"/>
    <n v="35"/>
    <x v="0"/>
    <x v="0"/>
  </r>
  <r>
    <d v="2024-02-21T00:00:00"/>
    <s v="D004"/>
    <s v="Southwest Organics"/>
    <s v="P002"/>
    <x v="1"/>
    <n v="38"/>
    <n v="37.6"/>
    <x v="0"/>
    <x v="0"/>
  </r>
  <r>
    <d v="2024-02-21T00:00:00"/>
    <s v="D004"/>
    <s v="Southwest Organics"/>
    <s v="P003"/>
    <x v="2"/>
    <n v="32"/>
    <n v="34.299999999999997"/>
    <x v="0"/>
    <x v="0"/>
  </r>
  <r>
    <d v="2024-02-21T00:00:00"/>
    <s v="D004"/>
    <s v="Southwest Organics"/>
    <s v="P004"/>
    <x v="3"/>
    <n v="50"/>
    <n v="57.6"/>
    <x v="1"/>
    <x v="2"/>
  </r>
  <r>
    <d v="2024-02-21T00:00:00"/>
    <s v="D004"/>
    <s v="Southwest Organics"/>
    <s v="P005"/>
    <x v="4"/>
    <n v="38"/>
    <n v="40.1"/>
    <x v="0"/>
    <x v="0"/>
  </r>
  <r>
    <d v="2024-02-21T00:00:00"/>
    <s v="D004"/>
    <s v="Southwest Organics"/>
    <s v="P006"/>
    <x v="5"/>
    <n v="32"/>
    <n v="44.7"/>
    <x v="1"/>
    <x v="1"/>
  </r>
  <r>
    <d v="2024-02-21T00:00:00"/>
    <s v="D005"/>
    <s v="Great Lakes Dairy"/>
    <s v="P001"/>
    <x v="0"/>
    <n v="34"/>
    <n v="34.1"/>
    <x v="0"/>
    <x v="0"/>
  </r>
  <r>
    <d v="2024-02-21T00:00:00"/>
    <s v="D005"/>
    <s v="Great Lakes Dairy"/>
    <s v="P002"/>
    <x v="1"/>
    <n v="38"/>
    <n v="46.1"/>
    <x v="1"/>
    <x v="2"/>
  </r>
  <r>
    <d v="2024-02-21T00:00:00"/>
    <s v="D005"/>
    <s v="Great Lakes Dairy"/>
    <s v="P003"/>
    <x v="2"/>
    <n v="32"/>
    <n v="32.700000000000003"/>
    <x v="0"/>
    <x v="0"/>
  </r>
  <r>
    <d v="2024-02-21T00:00:00"/>
    <s v="D005"/>
    <s v="Great Lakes Dairy"/>
    <s v="P004"/>
    <x v="3"/>
    <n v="50"/>
    <n v="50"/>
    <x v="0"/>
    <x v="0"/>
  </r>
  <r>
    <d v="2024-02-21T00:00:00"/>
    <s v="D005"/>
    <s v="Great Lakes Dairy"/>
    <s v="P005"/>
    <x v="4"/>
    <n v="38"/>
    <n v="39.1"/>
    <x v="0"/>
    <x v="0"/>
  </r>
  <r>
    <d v="2024-02-21T00:00:00"/>
    <s v="D005"/>
    <s v="Great Lakes Dairy"/>
    <s v="P006"/>
    <x v="5"/>
    <n v="32"/>
    <n v="31.6"/>
    <x v="0"/>
    <x v="0"/>
  </r>
  <r>
    <d v="2024-02-22T00:00:00"/>
    <s v="D001"/>
    <s v="Green Valley Produce"/>
    <s v="P001"/>
    <x v="0"/>
    <n v="34"/>
    <n v="36.700000000000003"/>
    <x v="0"/>
    <x v="0"/>
  </r>
  <r>
    <d v="2024-02-22T00:00:00"/>
    <s v="D001"/>
    <s v="Green Valley Produce"/>
    <s v="P002"/>
    <x v="1"/>
    <n v="38"/>
    <n v="40.799999999999997"/>
    <x v="0"/>
    <x v="0"/>
  </r>
  <r>
    <d v="2024-02-22T00:00:00"/>
    <s v="D001"/>
    <s v="Green Valley Produce"/>
    <s v="P003"/>
    <x v="2"/>
    <n v="32"/>
    <n v="33.700000000000003"/>
    <x v="0"/>
    <x v="0"/>
  </r>
  <r>
    <d v="2024-02-22T00:00:00"/>
    <s v="D001"/>
    <s v="Green Valley Produce"/>
    <s v="P004"/>
    <x v="3"/>
    <n v="50"/>
    <n v="50.8"/>
    <x v="0"/>
    <x v="0"/>
  </r>
  <r>
    <d v="2024-02-22T00:00:00"/>
    <s v="D001"/>
    <s v="Green Valley Produce"/>
    <s v="P005"/>
    <x v="4"/>
    <n v="38"/>
    <n v="39.9"/>
    <x v="0"/>
    <x v="0"/>
  </r>
  <r>
    <d v="2024-02-22T00:00:00"/>
    <s v="D001"/>
    <s v="Green Valley Produce"/>
    <s v="P006"/>
    <x v="5"/>
    <n v="32"/>
    <n v="31.3"/>
    <x v="0"/>
    <x v="0"/>
  </r>
  <r>
    <d v="2024-02-22T00:00:00"/>
    <s v="D002"/>
    <s v="Fresh Coast Foods"/>
    <s v="P001"/>
    <x v="0"/>
    <n v="34"/>
    <n v="34.6"/>
    <x v="0"/>
    <x v="0"/>
  </r>
  <r>
    <d v="2024-02-22T00:00:00"/>
    <s v="D002"/>
    <s v="Fresh Coast Foods"/>
    <s v="P002"/>
    <x v="1"/>
    <n v="38"/>
    <n v="38.700000000000003"/>
    <x v="0"/>
    <x v="0"/>
  </r>
  <r>
    <d v="2024-02-22T00:00:00"/>
    <s v="D002"/>
    <s v="Fresh Coast Foods"/>
    <s v="P003"/>
    <x v="2"/>
    <n v="32"/>
    <n v="31.1"/>
    <x v="0"/>
    <x v="0"/>
  </r>
  <r>
    <d v="2024-02-22T00:00:00"/>
    <s v="D002"/>
    <s v="Fresh Coast Foods"/>
    <s v="P004"/>
    <x v="3"/>
    <n v="50"/>
    <n v="49.6"/>
    <x v="0"/>
    <x v="0"/>
  </r>
  <r>
    <d v="2024-02-22T00:00:00"/>
    <s v="D002"/>
    <s v="Fresh Coast Foods"/>
    <s v="P005"/>
    <x v="4"/>
    <n v="38"/>
    <n v="40.9"/>
    <x v="0"/>
    <x v="0"/>
  </r>
  <r>
    <d v="2024-02-22T00:00:00"/>
    <s v="D002"/>
    <s v="Fresh Coast Foods"/>
    <s v="P006"/>
    <x v="5"/>
    <n v="32"/>
    <n v="34.200000000000003"/>
    <x v="0"/>
    <x v="0"/>
  </r>
  <r>
    <d v="2024-02-22T00:00:00"/>
    <s v="D003"/>
    <s v="Heartland Meats"/>
    <s v="P001"/>
    <x v="0"/>
    <n v="34"/>
    <n v="36.9"/>
    <x v="0"/>
    <x v="0"/>
  </r>
  <r>
    <d v="2024-02-22T00:00:00"/>
    <s v="D003"/>
    <s v="Heartland Meats"/>
    <s v="P002"/>
    <x v="1"/>
    <n v="38"/>
    <n v="40.5"/>
    <x v="0"/>
    <x v="0"/>
  </r>
  <r>
    <d v="2024-02-22T00:00:00"/>
    <s v="D003"/>
    <s v="Heartland Meats"/>
    <s v="P003"/>
    <x v="2"/>
    <n v="32"/>
    <n v="34.5"/>
    <x v="0"/>
    <x v="0"/>
  </r>
  <r>
    <d v="2024-02-22T00:00:00"/>
    <s v="D003"/>
    <s v="Heartland Meats"/>
    <s v="P004"/>
    <x v="3"/>
    <n v="50"/>
    <n v="50.3"/>
    <x v="0"/>
    <x v="0"/>
  </r>
  <r>
    <d v="2024-02-22T00:00:00"/>
    <s v="D003"/>
    <s v="Heartland Meats"/>
    <s v="P005"/>
    <x v="4"/>
    <n v="38"/>
    <n v="40.299999999999997"/>
    <x v="0"/>
    <x v="0"/>
  </r>
  <r>
    <d v="2024-02-22T00:00:00"/>
    <s v="D003"/>
    <s v="Heartland Meats"/>
    <s v="P006"/>
    <x v="5"/>
    <n v="32"/>
    <n v="33.4"/>
    <x v="0"/>
    <x v="0"/>
  </r>
  <r>
    <d v="2024-02-22T00:00:00"/>
    <s v="D004"/>
    <s v="Southwest Organics"/>
    <s v="P001"/>
    <x v="0"/>
    <n v="34"/>
    <n v="43.2"/>
    <x v="1"/>
    <x v="2"/>
  </r>
  <r>
    <d v="2024-02-22T00:00:00"/>
    <s v="D004"/>
    <s v="Southwest Organics"/>
    <s v="P002"/>
    <x v="1"/>
    <n v="38"/>
    <n v="40.6"/>
    <x v="0"/>
    <x v="0"/>
  </r>
  <r>
    <d v="2024-02-22T00:00:00"/>
    <s v="D004"/>
    <s v="Southwest Organics"/>
    <s v="P003"/>
    <x v="2"/>
    <n v="32"/>
    <n v="33.5"/>
    <x v="0"/>
    <x v="0"/>
  </r>
  <r>
    <d v="2024-02-22T00:00:00"/>
    <s v="D004"/>
    <s v="Southwest Organics"/>
    <s v="P004"/>
    <x v="3"/>
    <n v="50"/>
    <n v="50.4"/>
    <x v="0"/>
    <x v="0"/>
  </r>
  <r>
    <d v="2024-02-22T00:00:00"/>
    <s v="D004"/>
    <s v="Southwest Organics"/>
    <s v="P005"/>
    <x v="4"/>
    <n v="38"/>
    <n v="39.6"/>
    <x v="0"/>
    <x v="0"/>
  </r>
  <r>
    <d v="2024-02-22T00:00:00"/>
    <s v="D004"/>
    <s v="Southwest Organics"/>
    <s v="P006"/>
    <x v="5"/>
    <n v="32"/>
    <n v="34.5"/>
    <x v="0"/>
    <x v="0"/>
  </r>
  <r>
    <d v="2024-02-22T00:00:00"/>
    <s v="D005"/>
    <s v="Great Lakes Dairy"/>
    <s v="P001"/>
    <x v="0"/>
    <n v="34"/>
    <n v="44.3"/>
    <x v="1"/>
    <x v="1"/>
  </r>
  <r>
    <d v="2024-02-22T00:00:00"/>
    <s v="D005"/>
    <s v="Great Lakes Dairy"/>
    <s v="P002"/>
    <x v="1"/>
    <n v="38"/>
    <n v="39.9"/>
    <x v="0"/>
    <x v="0"/>
  </r>
  <r>
    <d v="2024-02-22T00:00:00"/>
    <s v="D005"/>
    <s v="Great Lakes Dairy"/>
    <s v="P003"/>
    <x v="2"/>
    <n v="32"/>
    <n v="33.1"/>
    <x v="0"/>
    <x v="0"/>
  </r>
  <r>
    <d v="2024-02-22T00:00:00"/>
    <s v="D005"/>
    <s v="Great Lakes Dairy"/>
    <s v="P004"/>
    <x v="3"/>
    <n v="50"/>
    <n v="49.9"/>
    <x v="0"/>
    <x v="0"/>
  </r>
  <r>
    <d v="2024-02-22T00:00:00"/>
    <s v="D005"/>
    <s v="Great Lakes Dairy"/>
    <s v="P005"/>
    <x v="4"/>
    <n v="38"/>
    <n v="38.200000000000003"/>
    <x v="0"/>
    <x v="0"/>
  </r>
  <r>
    <d v="2024-02-22T00:00:00"/>
    <s v="D005"/>
    <s v="Great Lakes Dairy"/>
    <s v="P006"/>
    <x v="5"/>
    <n v="32"/>
    <n v="33.5"/>
    <x v="0"/>
    <x v="0"/>
  </r>
  <r>
    <d v="2024-02-23T00:00:00"/>
    <s v="D001"/>
    <s v="Green Valley Produce"/>
    <s v="P001"/>
    <x v="0"/>
    <n v="34"/>
    <n v="47.1"/>
    <x v="1"/>
    <x v="1"/>
  </r>
  <r>
    <d v="2024-02-23T00:00:00"/>
    <s v="D001"/>
    <s v="Green Valley Produce"/>
    <s v="P002"/>
    <x v="1"/>
    <n v="38"/>
    <n v="38"/>
    <x v="0"/>
    <x v="0"/>
  </r>
  <r>
    <d v="2024-02-23T00:00:00"/>
    <s v="D001"/>
    <s v="Green Valley Produce"/>
    <s v="P003"/>
    <x v="2"/>
    <n v="32"/>
    <n v="32.200000000000003"/>
    <x v="0"/>
    <x v="0"/>
  </r>
  <r>
    <d v="2024-02-23T00:00:00"/>
    <s v="D001"/>
    <s v="Green Valley Produce"/>
    <s v="P004"/>
    <x v="3"/>
    <n v="50"/>
    <n v="51"/>
    <x v="0"/>
    <x v="0"/>
  </r>
  <r>
    <d v="2024-02-23T00:00:00"/>
    <s v="D001"/>
    <s v="Green Valley Produce"/>
    <s v="P005"/>
    <x v="4"/>
    <n v="38"/>
    <n v="40.4"/>
    <x v="0"/>
    <x v="0"/>
  </r>
  <r>
    <d v="2024-02-23T00:00:00"/>
    <s v="D001"/>
    <s v="Green Valley Produce"/>
    <s v="P006"/>
    <x v="5"/>
    <n v="32"/>
    <n v="33"/>
    <x v="0"/>
    <x v="0"/>
  </r>
  <r>
    <d v="2024-02-23T00:00:00"/>
    <s v="D002"/>
    <s v="Fresh Coast Foods"/>
    <s v="P001"/>
    <x v="0"/>
    <n v="34"/>
    <n v="46.1"/>
    <x v="1"/>
    <x v="1"/>
  </r>
  <r>
    <d v="2024-02-23T00:00:00"/>
    <s v="D002"/>
    <s v="Fresh Coast Foods"/>
    <s v="P002"/>
    <x v="1"/>
    <n v="38"/>
    <n v="38.799999999999997"/>
    <x v="0"/>
    <x v="0"/>
  </r>
  <r>
    <d v="2024-02-23T00:00:00"/>
    <s v="D002"/>
    <s v="Fresh Coast Foods"/>
    <s v="P003"/>
    <x v="2"/>
    <n v="32"/>
    <n v="31"/>
    <x v="0"/>
    <x v="0"/>
  </r>
  <r>
    <d v="2024-02-23T00:00:00"/>
    <s v="D002"/>
    <s v="Fresh Coast Foods"/>
    <s v="P004"/>
    <x v="3"/>
    <n v="50"/>
    <n v="49.9"/>
    <x v="0"/>
    <x v="0"/>
  </r>
  <r>
    <d v="2024-02-23T00:00:00"/>
    <s v="D002"/>
    <s v="Fresh Coast Foods"/>
    <s v="P005"/>
    <x v="4"/>
    <n v="38"/>
    <n v="39.299999999999997"/>
    <x v="0"/>
    <x v="0"/>
  </r>
  <r>
    <d v="2024-02-23T00:00:00"/>
    <s v="D002"/>
    <s v="Fresh Coast Foods"/>
    <s v="P006"/>
    <x v="5"/>
    <n v="32"/>
    <n v="34.799999999999997"/>
    <x v="0"/>
    <x v="0"/>
  </r>
  <r>
    <d v="2024-02-23T00:00:00"/>
    <s v="D003"/>
    <s v="Heartland Meats"/>
    <s v="P001"/>
    <x v="0"/>
    <n v="34"/>
    <n v="36.4"/>
    <x v="0"/>
    <x v="0"/>
  </r>
  <r>
    <d v="2024-02-23T00:00:00"/>
    <s v="D003"/>
    <s v="Heartland Meats"/>
    <s v="P002"/>
    <x v="1"/>
    <n v="38"/>
    <n v="38.200000000000003"/>
    <x v="0"/>
    <x v="0"/>
  </r>
  <r>
    <d v="2024-02-23T00:00:00"/>
    <s v="D003"/>
    <s v="Heartland Meats"/>
    <s v="P003"/>
    <x v="2"/>
    <n v="32"/>
    <n v="34.299999999999997"/>
    <x v="0"/>
    <x v="0"/>
  </r>
  <r>
    <d v="2024-02-23T00:00:00"/>
    <s v="D003"/>
    <s v="Heartland Meats"/>
    <s v="P004"/>
    <x v="3"/>
    <n v="50"/>
    <n v="49.6"/>
    <x v="0"/>
    <x v="0"/>
  </r>
  <r>
    <d v="2024-02-23T00:00:00"/>
    <s v="D003"/>
    <s v="Heartland Meats"/>
    <s v="P005"/>
    <x v="4"/>
    <n v="38"/>
    <n v="40"/>
    <x v="0"/>
    <x v="0"/>
  </r>
  <r>
    <d v="2024-02-23T00:00:00"/>
    <s v="D003"/>
    <s v="Heartland Meats"/>
    <s v="P006"/>
    <x v="5"/>
    <n v="32"/>
    <n v="42.1"/>
    <x v="1"/>
    <x v="1"/>
  </r>
  <r>
    <d v="2024-02-23T00:00:00"/>
    <s v="D004"/>
    <s v="Southwest Organics"/>
    <s v="P001"/>
    <x v="0"/>
    <n v="34"/>
    <n v="36.1"/>
    <x v="0"/>
    <x v="0"/>
  </r>
  <r>
    <d v="2024-02-23T00:00:00"/>
    <s v="D004"/>
    <s v="Southwest Organics"/>
    <s v="P002"/>
    <x v="1"/>
    <n v="38"/>
    <n v="37.6"/>
    <x v="0"/>
    <x v="0"/>
  </r>
  <r>
    <d v="2024-02-23T00:00:00"/>
    <s v="D004"/>
    <s v="Southwest Organics"/>
    <s v="P003"/>
    <x v="2"/>
    <n v="32"/>
    <n v="32.6"/>
    <x v="0"/>
    <x v="0"/>
  </r>
  <r>
    <d v="2024-02-23T00:00:00"/>
    <s v="D004"/>
    <s v="Southwest Organics"/>
    <s v="P004"/>
    <x v="3"/>
    <n v="50"/>
    <n v="59.4"/>
    <x v="1"/>
    <x v="2"/>
  </r>
  <r>
    <d v="2024-02-23T00:00:00"/>
    <s v="D004"/>
    <s v="Southwest Organics"/>
    <s v="P005"/>
    <x v="4"/>
    <n v="38"/>
    <n v="45.7"/>
    <x v="1"/>
    <x v="2"/>
  </r>
  <r>
    <d v="2024-02-23T00:00:00"/>
    <s v="D004"/>
    <s v="Southwest Organics"/>
    <s v="P006"/>
    <x v="5"/>
    <n v="32"/>
    <n v="43.4"/>
    <x v="1"/>
    <x v="1"/>
  </r>
  <r>
    <d v="2024-02-23T00:00:00"/>
    <s v="D005"/>
    <s v="Great Lakes Dairy"/>
    <s v="P001"/>
    <x v="0"/>
    <n v="34"/>
    <n v="35.200000000000003"/>
    <x v="0"/>
    <x v="0"/>
  </r>
  <r>
    <d v="2024-02-23T00:00:00"/>
    <s v="D005"/>
    <s v="Great Lakes Dairy"/>
    <s v="P002"/>
    <x v="1"/>
    <n v="38"/>
    <n v="40.5"/>
    <x v="0"/>
    <x v="0"/>
  </r>
  <r>
    <d v="2024-02-23T00:00:00"/>
    <s v="D005"/>
    <s v="Great Lakes Dairy"/>
    <s v="P003"/>
    <x v="2"/>
    <n v="32"/>
    <n v="33.5"/>
    <x v="0"/>
    <x v="0"/>
  </r>
  <r>
    <d v="2024-02-23T00:00:00"/>
    <s v="D005"/>
    <s v="Great Lakes Dairy"/>
    <s v="P004"/>
    <x v="3"/>
    <n v="50"/>
    <n v="51.8"/>
    <x v="0"/>
    <x v="0"/>
  </r>
  <r>
    <d v="2024-02-23T00:00:00"/>
    <s v="D005"/>
    <s v="Great Lakes Dairy"/>
    <s v="P005"/>
    <x v="4"/>
    <n v="38"/>
    <n v="39.9"/>
    <x v="0"/>
    <x v="0"/>
  </r>
  <r>
    <d v="2024-02-23T00:00:00"/>
    <s v="D005"/>
    <s v="Great Lakes Dairy"/>
    <s v="P006"/>
    <x v="5"/>
    <n v="32"/>
    <n v="31.7"/>
    <x v="0"/>
    <x v="0"/>
  </r>
  <r>
    <d v="2024-02-24T00:00:00"/>
    <s v="D001"/>
    <s v="Green Valley Produce"/>
    <s v="P001"/>
    <x v="0"/>
    <n v="34"/>
    <n v="34.9"/>
    <x v="0"/>
    <x v="0"/>
  </r>
  <r>
    <d v="2024-02-24T00:00:00"/>
    <s v="D001"/>
    <s v="Green Valley Produce"/>
    <s v="P002"/>
    <x v="1"/>
    <n v="38"/>
    <n v="40.9"/>
    <x v="0"/>
    <x v="0"/>
  </r>
  <r>
    <d v="2024-02-24T00:00:00"/>
    <s v="D001"/>
    <s v="Green Valley Produce"/>
    <s v="P003"/>
    <x v="2"/>
    <n v="32"/>
    <n v="33.1"/>
    <x v="0"/>
    <x v="0"/>
  </r>
  <r>
    <d v="2024-02-24T00:00:00"/>
    <s v="D001"/>
    <s v="Green Valley Produce"/>
    <s v="P004"/>
    <x v="3"/>
    <n v="50"/>
    <n v="50.8"/>
    <x v="0"/>
    <x v="0"/>
  </r>
  <r>
    <d v="2024-02-24T00:00:00"/>
    <s v="D001"/>
    <s v="Green Valley Produce"/>
    <s v="P005"/>
    <x v="4"/>
    <n v="38"/>
    <n v="45.3"/>
    <x v="1"/>
    <x v="2"/>
  </r>
  <r>
    <d v="2024-02-24T00:00:00"/>
    <s v="D001"/>
    <s v="Green Valley Produce"/>
    <s v="P006"/>
    <x v="5"/>
    <n v="32"/>
    <n v="34.700000000000003"/>
    <x v="0"/>
    <x v="0"/>
  </r>
  <r>
    <d v="2024-02-24T00:00:00"/>
    <s v="D002"/>
    <s v="Fresh Coast Foods"/>
    <s v="P001"/>
    <x v="0"/>
    <n v="34"/>
    <n v="46.8"/>
    <x v="1"/>
    <x v="1"/>
  </r>
  <r>
    <d v="2024-02-24T00:00:00"/>
    <s v="D002"/>
    <s v="Fresh Coast Foods"/>
    <s v="P002"/>
    <x v="1"/>
    <n v="38"/>
    <n v="47"/>
    <x v="1"/>
    <x v="2"/>
  </r>
  <r>
    <d v="2024-02-24T00:00:00"/>
    <s v="D002"/>
    <s v="Fresh Coast Foods"/>
    <s v="P003"/>
    <x v="2"/>
    <n v="32"/>
    <n v="33.1"/>
    <x v="0"/>
    <x v="0"/>
  </r>
  <r>
    <d v="2024-02-24T00:00:00"/>
    <s v="D002"/>
    <s v="Fresh Coast Foods"/>
    <s v="P004"/>
    <x v="3"/>
    <n v="50"/>
    <n v="58.4"/>
    <x v="1"/>
    <x v="2"/>
  </r>
  <r>
    <d v="2024-02-24T00:00:00"/>
    <s v="D002"/>
    <s v="Fresh Coast Foods"/>
    <s v="P005"/>
    <x v="4"/>
    <n v="38"/>
    <n v="38.200000000000003"/>
    <x v="0"/>
    <x v="0"/>
  </r>
  <r>
    <d v="2024-02-24T00:00:00"/>
    <s v="D002"/>
    <s v="Fresh Coast Foods"/>
    <s v="P006"/>
    <x v="5"/>
    <n v="32"/>
    <n v="39.1"/>
    <x v="1"/>
    <x v="2"/>
  </r>
  <r>
    <d v="2024-02-24T00:00:00"/>
    <s v="D003"/>
    <s v="Heartland Meats"/>
    <s v="P001"/>
    <x v="0"/>
    <n v="34"/>
    <n v="34.700000000000003"/>
    <x v="0"/>
    <x v="0"/>
  </r>
  <r>
    <d v="2024-02-24T00:00:00"/>
    <s v="D003"/>
    <s v="Heartland Meats"/>
    <s v="P002"/>
    <x v="1"/>
    <n v="38"/>
    <n v="38.200000000000003"/>
    <x v="0"/>
    <x v="0"/>
  </r>
  <r>
    <d v="2024-02-24T00:00:00"/>
    <s v="D003"/>
    <s v="Heartland Meats"/>
    <s v="P003"/>
    <x v="2"/>
    <n v="32"/>
    <n v="31.7"/>
    <x v="0"/>
    <x v="0"/>
  </r>
  <r>
    <d v="2024-02-24T00:00:00"/>
    <s v="D003"/>
    <s v="Heartland Meats"/>
    <s v="P004"/>
    <x v="3"/>
    <n v="50"/>
    <n v="49"/>
    <x v="0"/>
    <x v="0"/>
  </r>
  <r>
    <d v="2024-02-24T00:00:00"/>
    <s v="D003"/>
    <s v="Heartland Meats"/>
    <s v="P005"/>
    <x v="4"/>
    <n v="38"/>
    <n v="37.299999999999997"/>
    <x v="0"/>
    <x v="0"/>
  </r>
  <r>
    <d v="2024-02-24T00:00:00"/>
    <s v="D003"/>
    <s v="Heartland Meats"/>
    <s v="P006"/>
    <x v="5"/>
    <n v="32"/>
    <n v="41.8"/>
    <x v="1"/>
    <x v="2"/>
  </r>
  <r>
    <d v="2024-02-24T00:00:00"/>
    <s v="D004"/>
    <s v="Southwest Organics"/>
    <s v="P001"/>
    <x v="0"/>
    <n v="34"/>
    <n v="34.799999999999997"/>
    <x v="0"/>
    <x v="0"/>
  </r>
  <r>
    <d v="2024-02-24T00:00:00"/>
    <s v="D004"/>
    <s v="Southwest Organics"/>
    <s v="P002"/>
    <x v="1"/>
    <n v="38"/>
    <n v="38.5"/>
    <x v="0"/>
    <x v="0"/>
  </r>
  <r>
    <d v="2024-02-24T00:00:00"/>
    <s v="D004"/>
    <s v="Southwest Organics"/>
    <s v="P003"/>
    <x v="2"/>
    <n v="32"/>
    <n v="34.299999999999997"/>
    <x v="0"/>
    <x v="0"/>
  </r>
  <r>
    <d v="2024-02-24T00:00:00"/>
    <s v="D004"/>
    <s v="Southwest Organics"/>
    <s v="P004"/>
    <x v="3"/>
    <n v="50"/>
    <n v="57.1"/>
    <x v="1"/>
    <x v="2"/>
  </r>
  <r>
    <d v="2024-02-24T00:00:00"/>
    <s v="D004"/>
    <s v="Southwest Organics"/>
    <s v="P005"/>
    <x v="4"/>
    <n v="38"/>
    <n v="40"/>
    <x v="0"/>
    <x v="0"/>
  </r>
  <r>
    <d v="2024-02-24T00:00:00"/>
    <s v="D004"/>
    <s v="Southwest Organics"/>
    <s v="P006"/>
    <x v="5"/>
    <n v="32"/>
    <n v="31.6"/>
    <x v="0"/>
    <x v="0"/>
  </r>
  <r>
    <d v="2024-02-24T00:00:00"/>
    <s v="D005"/>
    <s v="Great Lakes Dairy"/>
    <s v="P001"/>
    <x v="0"/>
    <n v="34"/>
    <n v="33.4"/>
    <x v="0"/>
    <x v="0"/>
  </r>
  <r>
    <d v="2024-02-24T00:00:00"/>
    <s v="D005"/>
    <s v="Great Lakes Dairy"/>
    <s v="P002"/>
    <x v="1"/>
    <n v="38"/>
    <n v="39.5"/>
    <x v="0"/>
    <x v="0"/>
  </r>
  <r>
    <d v="2024-02-24T00:00:00"/>
    <s v="D005"/>
    <s v="Great Lakes Dairy"/>
    <s v="P003"/>
    <x v="2"/>
    <n v="32"/>
    <n v="34.6"/>
    <x v="0"/>
    <x v="0"/>
  </r>
  <r>
    <d v="2024-02-24T00:00:00"/>
    <s v="D005"/>
    <s v="Great Lakes Dairy"/>
    <s v="P004"/>
    <x v="3"/>
    <n v="50"/>
    <n v="49.2"/>
    <x v="0"/>
    <x v="0"/>
  </r>
  <r>
    <d v="2024-02-24T00:00:00"/>
    <s v="D005"/>
    <s v="Great Lakes Dairy"/>
    <s v="P005"/>
    <x v="4"/>
    <n v="38"/>
    <n v="38.799999999999997"/>
    <x v="0"/>
    <x v="0"/>
  </r>
  <r>
    <d v="2024-02-24T00:00:00"/>
    <s v="D005"/>
    <s v="Great Lakes Dairy"/>
    <s v="P006"/>
    <x v="5"/>
    <n v="32"/>
    <n v="31.4"/>
    <x v="0"/>
    <x v="0"/>
  </r>
  <r>
    <d v="2024-02-25T00:00:00"/>
    <s v="D001"/>
    <s v="Green Valley Produce"/>
    <s v="P001"/>
    <x v="0"/>
    <n v="34"/>
    <n v="40.200000000000003"/>
    <x v="1"/>
    <x v="2"/>
  </r>
  <r>
    <d v="2024-02-25T00:00:00"/>
    <s v="D001"/>
    <s v="Green Valley Produce"/>
    <s v="P002"/>
    <x v="1"/>
    <n v="38"/>
    <n v="40.1"/>
    <x v="0"/>
    <x v="0"/>
  </r>
  <r>
    <d v="2024-02-25T00:00:00"/>
    <s v="D001"/>
    <s v="Green Valley Produce"/>
    <s v="P003"/>
    <x v="2"/>
    <n v="32"/>
    <n v="33.6"/>
    <x v="0"/>
    <x v="0"/>
  </r>
  <r>
    <d v="2024-02-25T00:00:00"/>
    <s v="D001"/>
    <s v="Green Valley Produce"/>
    <s v="P004"/>
    <x v="3"/>
    <n v="50"/>
    <n v="49.3"/>
    <x v="0"/>
    <x v="0"/>
  </r>
  <r>
    <d v="2024-02-25T00:00:00"/>
    <s v="D001"/>
    <s v="Green Valley Produce"/>
    <s v="P005"/>
    <x v="4"/>
    <n v="38"/>
    <n v="39.200000000000003"/>
    <x v="0"/>
    <x v="0"/>
  </r>
  <r>
    <d v="2024-02-25T00:00:00"/>
    <s v="D001"/>
    <s v="Green Valley Produce"/>
    <s v="P006"/>
    <x v="5"/>
    <n v="32"/>
    <n v="34.799999999999997"/>
    <x v="0"/>
    <x v="0"/>
  </r>
  <r>
    <d v="2024-02-25T00:00:00"/>
    <s v="D002"/>
    <s v="Fresh Coast Foods"/>
    <s v="P001"/>
    <x v="0"/>
    <n v="34"/>
    <n v="36"/>
    <x v="0"/>
    <x v="0"/>
  </r>
  <r>
    <d v="2024-02-25T00:00:00"/>
    <s v="D002"/>
    <s v="Fresh Coast Foods"/>
    <s v="P002"/>
    <x v="1"/>
    <n v="38"/>
    <n v="37.1"/>
    <x v="0"/>
    <x v="0"/>
  </r>
  <r>
    <d v="2024-02-25T00:00:00"/>
    <s v="D002"/>
    <s v="Fresh Coast Foods"/>
    <s v="P003"/>
    <x v="2"/>
    <n v="32"/>
    <n v="33.1"/>
    <x v="0"/>
    <x v="0"/>
  </r>
  <r>
    <d v="2024-02-25T00:00:00"/>
    <s v="D002"/>
    <s v="Fresh Coast Foods"/>
    <s v="P004"/>
    <x v="3"/>
    <n v="50"/>
    <n v="50.1"/>
    <x v="0"/>
    <x v="0"/>
  </r>
  <r>
    <d v="2024-02-25T00:00:00"/>
    <s v="D002"/>
    <s v="Fresh Coast Foods"/>
    <s v="P005"/>
    <x v="4"/>
    <n v="38"/>
    <n v="40.299999999999997"/>
    <x v="0"/>
    <x v="0"/>
  </r>
  <r>
    <d v="2024-02-25T00:00:00"/>
    <s v="D002"/>
    <s v="Fresh Coast Foods"/>
    <s v="P006"/>
    <x v="5"/>
    <n v="32"/>
    <n v="33.299999999999997"/>
    <x v="0"/>
    <x v="0"/>
  </r>
  <r>
    <d v="2024-02-25T00:00:00"/>
    <s v="D003"/>
    <s v="Heartland Meats"/>
    <s v="P001"/>
    <x v="0"/>
    <n v="34"/>
    <n v="44.3"/>
    <x v="1"/>
    <x v="1"/>
  </r>
  <r>
    <d v="2024-02-25T00:00:00"/>
    <s v="D003"/>
    <s v="Heartland Meats"/>
    <s v="P002"/>
    <x v="1"/>
    <n v="38"/>
    <n v="39.4"/>
    <x v="0"/>
    <x v="0"/>
  </r>
  <r>
    <d v="2024-02-25T00:00:00"/>
    <s v="D003"/>
    <s v="Heartland Meats"/>
    <s v="P003"/>
    <x v="2"/>
    <n v="32"/>
    <n v="34.700000000000003"/>
    <x v="0"/>
    <x v="0"/>
  </r>
  <r>
    <d v="2024-02-25T00:00:00"/>
    <s v="D003"/>
    <s v="Heartland Meats"/>
    <s v="P004"/>
    <x v="3"/>
    <n v="50"/>
    <n v="49.7"/>
    <x v="0"/>
    <x v="0"/>
  </r>
  <r>
    <d v="2024-02-25T00:00:00"/>
    <s v="D003"/>
    <s v="Heartland Meats"/>
    <s v="P005"/>
    <x v="4"/>
    <n v="38"/>
    <n v="48.2"/>
    <x v="1"/>
    <x v="1"/>
  </r>
  <r>
    <d v="2024-02-25T00:00:00"/>
    <s v="D003"/>
    <s v="Heartland Meats"/>
    <s v="P006"/>
    <x v="5"/>
    <n v="32"/>
    <n v="31.4"/>
    <x v="0"/>
    <x v="0"/>
  </r>
  <r>
    <d v="2024-02-25T00:00:00"/>
    <s v="D004"/>
    <s v="Southwest Organics"/>
    <s v="P001"/>
    <x v="0"/>
    <n v="34"/>
    <n v="35.200000000000003"/>
    <x v="0"/>
    <x v="0"/>
  </r>
  <r>
    <d v="2024-02-25T00:00:00"/>
    <s v="D004"/>
    <s v="Southwest Organics"/>
    <s v="P002"/>
    <x v="1"/>
    <n v="38"/>
    <n v="37.700000000000003"/>
    <x v="0"/>
    <x v="0"/>
  </r>
  <r>
    <d v="2024-02-25T00:00:00"/>
    <s v="D004"/>
    <s v="Southwest Organics"/>
    <s v="P003"/>
    <x v="2"/>
    <n v="32"/>
    <n v="31.6"/>
    <x v="0"/>
    <x v="0"/>
  </r>
  <r>
    <d v="2024-02-25T00:00:00"/>
    <s v="D004"/>
    <s v="Southwest Organics"/>
    <s v="P004"/>
    <x v="3"/>
    <n v="50"/>
    <n v="51.7"/>
    <x v="0"/>
    <x v="0"/>
  </r>
  <r>
    <d v="2024-02-25T00:00:00"/>
    <s v="D004"/>
    <s v="Southwest Organics"/>
    <s v="P005"/>
    <x v="4"/>
    <n v="38"/>
    <n v="51.7"/>
    <x v="1"/>
    <x v="1"/>
  </r>
  <r>
    <d v="2024-02-25T00:00:00"/>
    <s v="D004"/>
    <s v="Southwest Organics"/>
    <s v="P006"/>
    <x v="5"/>
    <n v="32"/>
    <n v="33.9"/>
    <x v="0"/>
    <x v="0"/>
  </r>
  <r>
    <d v="2024-02-25T00:00:00"/>
    <s v="D005"/>
    <s v="Great Lakes Dairy"/>
    <s v="P001"/>
    <x v="0"/>
    <n v="34"/>
    <n v="33.4"/>
    <x v="0"/>
    <x v="0"/>
  </r>
  <r>
    <d v="2024-02-25T00:00:00"/>
    <s v="D005"/>
    <s v="Great Lakes Dairy"/>
    <s v="P002"/>
    <x v="1"/>
    <n v="38"/>
    <n v="51.1"/>
    <x v="1"/>
    <x v="1"/>
  </r>
  <r>
    <d v="2024-02-25T00:00:00"/>
    <s v="D005"/>
    <s v="Great Lakes Dairy"/>
    <s v="P003"/>
    <x v="2"/>
    <n v="32"/>
    <n v="34.799999999999997"/>
    <x v="0"/>
    <x v="0"/>
  </r>
  <r>
    <d v="2024-02-25T00:00:00"/>
    <s v="D005"/>
    <s v="Great Lakes Dairy"/>
    <s v="P004"/>
    <x v="3"/>
    <n v="50"/>
    <n v="49.2"/>
    <x v="0"/>
    <x v="0"/>
  </r>
  <r>
    <d v="2024-02-25T00:00:00"/>
    <s v="D005"/>
    <s v="Great Lakes Dairy"/>
    <s v="P005"/>
    <x v="4"/>
    <n v="38"/>
    <n v="39.4"/>
    <x v="0"/>
    <x v="0"/>
  </r>
  <r>
    <d v="2024-02-25T00:00:00"/>
    <s v="D005"/>
    <s v="Great Lakes Dairy"/>
    <s v="P006"/>
    <x v="5"/>
    <n v="32"/>
    <n v="33"/>
    <x v="0"/>
    <x v="0"/>
  </r>
  <r>
    <d v="2024-02-26T00:00:00"/>
    <s v="D001"/>
    <s v="Green Valley Produce"/>
    <s v="P001"/>
    <x v="0"/>
    <n v="34"/>
    <n v="36.799999999999997"/>
    <x v="0"/>
    <x v="0"/>
  </r>
  <r>
    <d v="2024-02-26T00:00:00"/>
    <s v="D001"/>
    <s v="Green Valley Produce"/>
    <s v="P002"/>
    <x v="1"/>
    <n v="38"/>
    <n v="38.299999999999997"/>
    <x v="0"/>
    <x v="0"/>
  </r>
  <r>
    <d v="2024-02-26T00:00:00"/>
    <s v="D001"/>
    <s v="Green Valley Produce"/>
    <s v="P003"/>
    <x v="2"/>
    <n v="32"/>
    <n v="31.3"/>
    <x v="0"/>
    <x v="0"/>
  </r>
  <r>
    <d v="2024-02-26T00:00:00"/>
    <s v="D001"/>
    <s v="Green Valley Produce"/>
    <s v="P004"/>
    <x v="3"/>
    <n v="50"/>
    <n v="61.1"/>
    <x v="1"/>
    <x v="1"/>
  </r>
  <r>
    <d v="2024-02-26T00:00:00"/>
    <s v="D001"/>
    <s v="Green Valley Produce"/>
    <s v="P005"/>
    <x v="4"/>
    <n v="38"/>
    <n v="37.1"/>
    <x v="0"/>
    <x v="0"/>
  </r>
  <r>
    <d v="2024-02-26T00:00:00"/>
    <s v="D001"/>
    <s v="Green Valley Produce"/>
    <s v="P006"/>
    <x v="5"/>
    <n v="32"/>
    <n v="33.299999999999997"/>
    <x v="0"/>
    <x v="0"/>
  </r>
  <r>
    <d v="2024-02-26T00:00:00"/>
    <s v="D002"/>
    <s v="Fresh Coast Foods"/>
    <s v="P001"/>
    <x v="0"/>
    <n v="34"/>
    <n v="46.1"/>
    <x v="1"/>
    <x v="1"/>
  </r>
  <r>
    <d v="2024-02-26T00:00:00"/>
    <s v="D002"/>
    <s v="Fresh Coast Foods"/>
    <s v="P002"/>
    <x v="1"/>
    <n v="38"/>
    <n v="37.5"/>
    <x v="0"/>
    <x v="0"/>
  </r>
  <r>
    <d v="2024-02-26T00:00:00"/>
    <s v="D002"/>
    <s v="Fresh Coast Foods"/>
    <s v="P003"/>
    <x v="2"/>
    <n v="32"/>
    <n v="32.799999999999997"/>
    <x v="0"/>
    <x v="0"/>
  </r>
  <r>
    <d v="2024-02-26T00:00:00"/>
    <s v="D002"/>
    <s v="Fresh Coast Foods"/>
    <s v="P004"/>
    <x v="3"/>
    <n v="50"/>
    <n v="51"/>
    <x v="0"/>
    <x v="0"/>
  </r>
  <r>
    <d v="2024-02-26T00:00:00"/>
    <s v="D002"/>
    <s v="Fresh Coast Foods"/>
    <s v="P005"/>
    <x v="4"/>
    <n v="38"/>
    <n v="37.6"/>
    <x v="0"/>
    <x v="0"/>
  </r>
  <r>
    <d v="2024-02-26T00:00:00"/>
    <s v="D002"/>
    <s v="Fresh Coast Foods"/>
    <s v="P006"/>
    <x v="5"/>
    <n v="32"/>
    <n v="31.7"/>
    <x v="0"/>
    <x v="0"/>
  </r>
  <r>
    <d v="2024-02-26T00:00:00"/>
    <s v="D003"/>
    <s v="Heartland Meats"/>
    <s v="P001"/>
    <x v="0"/>
    <n v="34"/>
    <n v="36.799999999999997"/>
    <x v="0"/>
    <x v="0"/>
  </r>
  <r>
    <d v="2024-02-26T00:00:00"/>
    <s v="D003"/>
    <s v="Heartland Meats"/>
    <s v="P002"/>
    <x v="1"/>
    <n v="38"/>
    <n v="39.200000000000003"/>
    <x v="0"/>
    <x v="0"/>
  </r>
  <r>
    <d v="2024-02-26T00:00:00"/>
    <s v="D003"/>
    <s v="Heartland Meats"/>
    <s v="P003"/>
    <x v="2"/>
    <n v="32"/>
    <n v="44.5"/>
    <x v="1"/>
    <x v="1"/>
  </r>
  <r>
    <d v="2024-02-26T00:00:00"/>
    <s v="D003"/>
    <s v="Heartland Meats"/>
    <s v="P004"/>
    <x v="3"/>
    <n v="50"/>
    <n v="51.5"/>
    <x v="0"/>
    <x v="0"/>
  </r>
  <r>
    <d v="2024-02-26T00:00:00"/>
    <s v="D003"/>
    <s v="Heartland Meats"/>
    <s v="P005"/>
    <x v="4"/>
    <n v="38"/>
    <n v="37.700000000000003"/>
    <x v="0"/>
    <x v="0"/>
  </r>
  <r>
    <d v="2024-02-26T00:00:00"/>
    <s v="D003"/>
    <s v="Heartland Meats"/>
    <s v="P006"/>
    <x v="5"/>
    <n v="32"/>
    <n v="45.4"/>
    <x v="1"/>
    <x v="1"/>
  </r>
  <r>
    <d v="2024-02-26T00:00:00"/>
    <s v="D004"/>
    <s v="Southwest Organics"/>
    <s v="P001"/>
    <x v="0"/>
    <n v="34"/>
    <n v="34"/>
    <x v="0"/>
    <x v="0"/>
  </r>
  <r>
    <d v="2024-02-26T00:00:00"/>
    <s v="D004"/>
    <s v="Southwest Organics"/>
    <s v="P002"/>
    <x v="1"/>
    <n v="38"/>
    <n v="41"/>
    <x v="0"/>
    <x v="0"/>
  </r>
  <r>
    <d v="2024-02-26T00:00:00"/>
    <s v="D004"/>
    <s v="Southwest Organics"/>
    <s v="P003"/>
    <x v="2"/>
    <n v="32"/>
    <n v="31.9"/>
    <x v="0"/>
    <x v="0"/>
  </r>
  <r>
    <d v="2024-02-26T00:00:00"/>
    <s v="D004"/>
    <s v="Southwest Organics"/>
    <s v="P004"/>
    <x v="3"/>
    <n v="50"/>
    <n v="50.1"/>
    <x v="0"/>
    <x v="0"/>
  </r>
  <r>
    <d v="2024-02-26T00:00:00"/>
    <s v="D004"/>
    <s v="Southwest Organics"/>
    <s v="P005"/>
    <x v="4"/>
    <n v="38"/>
    <n v="48.3"/>
    <x v="1"/>
    <x v="1"/>
  </r>
  <r>
    <d v="2024-02-26T00:00:00"/>
    <s v="D004"/>
    <s v="Southwest Organics"/>
    <s v="P006"/>
    <x v="5"/>
    <n v="32"/>
    <n v="38.700000000000003"/>
    <x v="1"/>
    <x v="2"/>
  </r>
  <r>
    <d v="2024-02-26T00:00:00"/>
    <s v="D005"/>
    <s v="Great Lakes Dairy"/>
    <s v="P001"/>
    <x v="0"/>
    <n v="34"/>
    <n v="36.299999999999997"/>
    <x v="0"/>
    <x v="0"/>
  </r>
  <r>
    <d v="2024-02-26T00:00:00"/>
    <s v="D005"/>
    <s v="Great Lakes Dairy"/>
    <s v="P002"/>
    <x v="1"/>
    <n v="38"/>
    <n v="41"/>
    <x v="0"/>
    <x v="0"/>
  </r>
  <r>
    <d v="2024-02-26T00:00:00"/>
    <s v="D005"/>
    <s v="Great Lakes Dairy"/>
    <s v="P003"/>
    <x v="2"/>
    <n v="32"/>
    <n v="31.8"/>
    <x v="0"/>
    <x v="0"/>
  </r>
  <r>
    <d v="2024-02-26T00:00:00"/>
    <s v="D005"/>
    <s v="Great Lakes Dairy"/>
    <s v="P004"/>
    <x v="3"/>
    <n v="50"/>
    <n v="52.2"/>
    <x v="0"/>
    <x v="0"/>
  </r>
  <r>
    <d v="2024-02-26T00:00:00"/>
    <s v="D005"/>
    <s v="Great Lakes Dairy"/>
    <s v="P005"/>
    <x v="4"/>
    <n v="38"/>
    <n v="40.799999999999997"/>
    <x v="0"/>
    <x v="0"/>
  </r>
  <r>
    <d v="2024-02-26T00:00:00"/>
    <s v="D005"/>
    <s v="Great Lakes Dairy"/>
    <s v="P006"/>
    <x v="5"/>
    <n v="32"/>
    <n v="34.9"/>
    <x v="0"/>
    <x v="0"/>
  </r>
  <r>
    <d v="2024-02-27T00:00:00"/>
    <s v="D001"/>
    <s v="Green Valley Produce"/>
    <s v="P001"/>
    <x v="0"/>
    <n v="34"/>
    <n v="34.1"/>
    <x v="0"/>
    <x v="0"/>
  </r>
  <r>
    <d v="2024-02-27T00:00:00"/>
    <s v="D001"/>
    <s v="Green Valley Produce"/>
    <s v="P002"/>
    <x v="1"/>
    <n v="38"/>
    <n v="38.299999999999997"/>
    <x v="0"/>
    <x v="0"/>
  </r>
  <r>
    <d v="2024-02-27T00:00:00"/>
    <s v="D001"/>
    <s v="Green Valley Produce"/>
    <s v="P003"/>
    <x v="2"/>
    <n v="32"/>
    <n v="34.799999999999997"/>
    <x v="0"/>
    <x v="0"/>
  </r>
  <r>
    <d v="2024-02-27T00:00:00"/>
    <s v="D001"/>
    <s v="Green Valley Produce"/>
    <s v="P004"/>
    <x v="3"/>
    <n v="50"/>
    <n v="52.7"/>
    <x v="0"/>
    <x v="0"/>
  </r>
  <r>
    <d v="2024-02-27T00:00:00"/>
    <s v="D001"/>
    <s v="Green Valley Produce"/>
    <s v="P005"/>
    <x v="4"/>
    <n v="38"/>
    <n v="51.4"/>
    <x v="1"/>
    <x v="1"/>
  </r>
  <r>
    <d v="2024-02-27T00:00:00"/>
    <s v="D001"/>
    <s v="Green Valley Produce"/>
    <s v="P006"/>
    <x v="5"/>
    <n v="32"/>
    <n v="31"/>
    <x v="0"/>
    <x v="0"/>
  </r>
  <r>
    <d v="2024-02-27T00:00:00"/>
    <s v="D002"/>
    <s v="Fresh Coast Foods"/>
    <s v="P001"/>
    <x v="0"/>
    <n v="34"/>
    <n v="41.4"/>
    <x v="1"/>
    <x v="2"/>
  </r>
  <r>
    <d v="2024-02-27T00:00:00"/>
    <s v="D002"/>
    <s v="Fresh Coast Foods"/>
    <s v="P002"/>
    <x v="1"/>
    <n v="38"/>
    <n v="39.799999999999997"/>
    <x v="0"/>
    <x v="0"/>
  </r>
  <r>
    <d v="2024-02-27T00:00:00"/>
    <s v="D002"/>
    <s v="Fresh Coast Foods"/>
    <s v="P003"/>
    <x v="2"/>
    <n v="32"/>
    <n v="32.6"/>
    <x v="0"/>
    <x v="0"/>
  </r>
  <r>
    <d v="2024-02-27T00:00:00"/>
    <s v="D002"/>
    <s v="Fresh Coast Foods"/>
    <s v="P004"/>
    <x v="3"/>
    <n v="50"/>
    <n v="63"/>
    <x v="1"/>
    <x v="1"/>
  </r>
  <r>
    <d v="2024-02-27T00:00:00"/>
    <s v="D002"/>
    <s v="Fresh Coast Foods"/>
    <s v="P005"/>
    <x v="4"/>
    <n v="38"/>
    <n v="39.200000000000003"/>
    <x v="0"/>
    <x v="0"/>
  </r>
  <r>
    <d v="2024-02-27T00:00:00"/>
    <s v="D002"/>
    <s v="Fresh Coast Foods"/>
    <s v="P006"/>
    <x v="5"/>
    <n v="32"/>
    <n v="34.299999999999997"/>
    <x v="0"/>
    <x v="0"/>
  </r>
  <r>
    <d v="2024-02-27T00:00:00"/>
    <s v="D003"/>
    <s v="Heartland Meats"/>
    <s v="P001"/>
    <x v="0"/>
    <n v="34"/>
    <n v="33.5"/>
    <x v="0"/>
    <x v="0"/>
  </r>
  <r>
    <d v="2024-02-27T00:00:00"/>
    <s v="D003"/>
    <s v="Heartland Meats"/>
    <s v="P002"/>
    <x v="1"/>
    <n v="38"/>
    <n v="38.5"/>
    <x v="0"/>
    <x v="0"/>
  </r>
  <r>
    <d v="2024-02-27T00:00:00"/>
    <s v="D003"/>
    <s v="Heartland Meats"/>
    <s v="P003"/>
    <x v="2"/>
    <n v="32"/>
    <n v="32.5"/>
    <x v="0"/>
    <x v="0"/>
  </r>
  <r>
    <d v="2024-02-27T00:00:00"/>
    <s v="D003"/>
    <s v="Heartland Meats"/>
    <s v="P004"/>
    <x v="3"/>
    <n v="50"/>
    <n v="52.2"/>
    <x v="0"/>
    <x v="0"/>
  </r>
  <r>
    <d v="2024-02-27T00:00:00"/>
    <s v="D003"/>
    <s v="Heartland Meats"/>
    <s v="P005"/>
    <x v="4"/>
    <n v="38"/>
    <n v="37.5"/>
    <x v="0"/>
    <x v="0"/>
  </r>
  <r>
    <d v="2024-02-27T00:00:00"/>
    <s v="D003"/>
    <s v="Heartland Meats"/>
    <s v="P006"/>
    <x v="5"/>
    <n v="32"/>
    <n v="31.8"/>
    <x v="0"/>
    <x v="0"/>
  </r>
  <r>
    <d v="2024-02-27T00:00:00"/>
    <s v="D004"/>
    <s v="Southwest Organics"/>
    <s v="P001"/>
    <x v="0"/>
    <n v="34"/>
    <n v="45.9"/>
    <x v="1"/>
    <x v="1"/>
  </r>
  <r>
    <d v="2024-02-27T00:00:00"/>
    <s v="D004"/>
    <s v="Southwest Organics"/>
    <s v="P002"/>
    <x v="1"/>
    <n v="38"/>
    <n v="39.700000000000003"/>
    <x v="0"/>
    <x v="0"/>
  </r>
  <r>
    <d v="2024-02-27T00:00:00"/>
    <s v="D004"/>
    <s v="Southwest Organics"/>
    <s v="P003"/>
    <x v="2"/>
    <n v="32"/>
    <n v="31.8"/>
    <x v="0"/>
    <x v="0"/>
  </r>
  <r>
    <d v="2024-02-27T00:00:00"/>
    <s v="D004"/>
    <s v="Southwest Organics"/>
    <s v="P004"/>
    <x v="3"/>
    <n v="50"/>
    <n v="51.5"/>
    <x v="0"/>
    <x v="0"/>
  </r>
  <r>
    <d v="2024-02-27T00:00:00"/>
    <s v="D004"/>
    <s v="Southwest Organics"/>
    <s v="P005"/>
    <x v="4"/>
    <n v="38"/>
    <n v="37.9"/>
    <x v="0"/>
    <x v="0"/>
  </r>
  <r>
    <d v="2024-02-27T00:00:00"/>
    <s v="D004"/>
    <s v="Southwest Organics"/>
    <s v="P006"/>
    <x v="5"/>
    <n v="32"/>
    <n v="34.9"/>
    <x v="0"/>
    <x v="0"/>
  </r>
  <r>
    <d v="2024-02-27T00:00:00"/>
    <s v="D005"/>
    <s v="Great Lakes Dairy"/>
    <s v="P001"/>
    <x v="0"/>
    <n v="34"/>
    <n v="43.9"/>
    <x v="1"/>
    <x v="2"/>
  </r>
  <r>
    <d v="2024-02-27T00:00:00"/>
    <s v="D005"/>
    <s v="Great Lakes Dairy"/>
    <s v="P002"/>
    <x v="1"/>
    <n v="38"/>
    <n v="39.4"/>
    <x v="0"/>
    <x v="0"/>
  </r>
  <r>
    <d v="2024-02-27T00:00:00"/>
    <s v="D005"/>
    <s v="Great Lakes Dairy"/>
    <s v="P003"/>
    <x v="2"/>
    <n v="32"/>
    <n v="45.9"/>
    <x v="1"/>
    <x v="1"/>
  </r>
  <r>
    <d v="2024-02-27T00:00:00"/>
    <s v="D005"/>
    <s v="Great Lakes Dairy"/>
    <s v="P004"/>
    <x v="3"/>
    <n v="50"/>
    <n v="49.4"/>
    <x v="0"/>
    <x v="0"/>
  </r>
  <r>
    <d v="2024-02-27T00:00:00"/>
    <s v="D005"/>
    <s v="Great Lakes Dairy"/>
    <s v="P005"/>
    <x v="4"/>
    <n v="38"/>
    <n v="39"/>
    <x v="0"/>
    <x v="0"/>
  </r>
  <r>
    <d v="2024-02-27T00:00:00"/>
    <s v="D005"/>
    <s v="Great Lakes Dairy"/>
    <s v="P006"/>
    <x v="5"/>
    <n v="32"/>
    <n v="39.6"/>
    <x v="1"/>
    <x v="2"/>
  </r>
  <r>
    <d v="2024-02-28T00:00:00"/>
    <s v="D001"/>
    <s v="Green Valley Produce"/>
    <s v="P001"/>
    <x v="0"/>
    <n v="34"/>
    <n v="35.700000000000003"/>
    <x v="0"/>
    <x v="0"/>
  </r>
  <r>
    <d v="2024-02-28T00:00:00"/>
    <s v="D001"/>
    <s v="Green Valley Produce"/>
    <s v="P002"/>
    <x v="1"/>
    <n v="38"/>
    <n v="37.700000000000003"/>
    <x v="0"/>
    <x v="0"/>
  </r>
  <r>
    <d v="2024-02-28T00:00:00"/>
    <s v="D001"/>
    <s v="Green Valley Produce"/>
    <s v="P003"/>
    <x v="2"/>
    <n v="32"/>
    <n v="34"/>
    <x v="0"/>
    <x v="0"/>
  </r>
  <r>
    <d v="2024-02-28T00:00:00"/>
    <s v="D001"/>
    <s v="Green Valley Produce"/>
    <s v="P004"/>
    <x v="3"/>
    <n v="50"/>
    <n v="63.5"/>
    <x v="1"/>
    <x v="1"/>
  </r>
  <r>
    <d v="2024-02-28T00:00:00"/>
    <s v="D001"/>
    <s v="Green Valley Produce"/>
    <s v="P005"/>
    <x v="4"/>
    <n v="38"/>
    <n v="40.5"/>
    <x v="0"/>
    <x v="0"/>
  </r>
  <r>
    <d v="2024-02-28T00:00:00"/>
    <s v="D001"/>
    <s v="Green Valley Produce"/>
    <s v="P006"/>
    <x v="5"/>
    <n v="32"/>
    <n v="32.1"/>
    <x v="0"/>
    <x v="0"/>
  </r>
  <r>
    <d v="2024-02-28T00:00:00"/>
    <s v="D002"/>
    <s v="Fresh Coast Foods"/>
    <s v="P001"/>
    <x v="0"/>
    <n v="34"/>
    <n v="33.1"/>
    <x v="0"/>
    <x v="0"/>
  </r>
  <r>
    <d v="2024-02-28T00:00:00"/>
    <s v="D002"/>
    <s v="Fresh Coast Foods"/>
    <s v="P002"/>
    <x v="1"/>
    <n v="38"/>
    <n v="39.700000000000003"/>
    <x v="0"/>
    <x v="0"/>
  </r>
  <r>
    <d v="2024-02-28T00:00:00"/>
    <s v="D002"/>
    <s v="Fresh Coast Foods"/>
    <s v="P003"/>
    <x v="2"/>
    <n v="32"/>
    <n v="33.700000000000003"/>
    <x v="0"/>
    <x v="0"/>
  </r>
  <r>
    <d v="2024-02-28T00:00:00"/>
    <s v="D002"/>
    <s v="Fresh Coast Foods"/>
    <s v="P004"/>
    <x v="3"/>
    <n v="50"/>
    <n v="49"/>
    <x v="0"/>
    <x v="0"/>
  </r>
  <r>
    <d v="2024-02-28T00:00:00"/>
    <s v="D002"/>
    <s v="Fresh Coast Foods"/>
    <s v="P005"/>
    <x v="4"/>
    <n v="38"/>
    <n v="39.700000000000003"/>
    <x v="0"/>
    <x v="0"/>
  </r>
  <r>
    <d v="2024-02-28T00:00:00"/>
    <s v="D002"/>
    <s v="Fresh Coast Foods"/>
    <s v="P006"/>
    <x v="5"/>
    <n v="32"/>
    <n v="34.4"/>
    <x v="0"/>
    <x v="0"/>
  </r>
  <r>
    <d v="2024-02-28T00:00:00"/>
    <s v="D003"/>
    <s v="Heartland Meats"/>
    <s v="P001"/>
    <x v="0"/>
    <n v="34"/>
    <n v="36.4"/>
    <x v="0"/>
    <x v="0"/>
  </r>
  <r>
    <d v="2024-02-28T00:00:00"/>
    <s v="D003"/>
    <s v="Heartland Meats"/>
    <s v="P002"/>
    <x v="1"/>
    <n v="38"/>
    <n v="37.5"/>
    <x v="0"/>
    <x v="0"/>
  </r>
  <r>
    <d v="2024-02-28T00:00:00"/>
    <s v="D003"/>
    <s v="Heartland Meats"/>
    <s v="P003"/>
    <x v="2"/>
    <n v="32"/>
    <n v="33"/>
    <x v="0"/>
    <x v="0"/>
  </r>
  <r>
    <d v="2024-02-28T00:00:00"/>
    <s v="D003"/>
    <s v="Heartland Meats"/>
    <s v="P004"/>
    <x v="3"/>
    <n v="50"/>
    <n v="49.2"/>
    <x v="0"/>
    <x v="0"/>
  </r>
  <r>
    <d v="2024-02-28T00:00:00"/>
    <s v="D003"/>
    <s v="Heartland Meats"/>
    <s v="P005"/>
    <x v="4"/>
    <n v="38"/>
    <n v="37.200000000000003"/>
    <x v="0"/>
    <x v="0"/>
  </r>
  <r>
    <d v="2024-02-28T00:00:00"/>
    <s v="D003"/>
    <s v="Heartland Meats"/>
    <s v="P006"/>
    <x v="5"/>
    <n v="32"/>
    <n v="33.1"/>
    <x v="0"/>
    <x v="0"/>
  </r>
  <r>
    <d v="2024-02-28T00:00:00"/>
    <s v="D004"/>
    <s v="Southwest Organics"/>
    <s v="P001"/>
    <x v="0"/>
    <n v="34"/>
    <n v="34.6"/>
    <x v="0"/>
    <x v="0"/>
  </r>
  <r>
    <d v="2024-02-28T00:00:00"/>
    <s v="D004"/>
    <s v="Southwest Organics"/>
    <s v="P002"/>
    <x v="1"/>
    <n v="38"/>
    <n v="40.5"/>
    <x v="0"/>
    <x v="0"/>
  </r>
  <r>
    <d v="2024-02-28T00:00:00"/>
    <s v="D004"/>
    <s v="Southwest Organics"/>
    <s v="P003"/>
    <x v="2"/>
    <n v="32"/>
    <n v="35"/>
    <x v="0"/>
    <x v="0"/>
  </r>
  <r>
    <d v="2024-02-28T00:00:00"/>
    <s v="D004"/>
    <s v="Southwest Organics"/>
    <s v="P004"/>
    <x v="3"/>
    <n v="50"/>
    <n v="51.8"/>
    <x v="0"/>
    <x v="0"/>
  </r>
  <r>
    <d v="2024-02-28T00:00:00"/>
    <s v="D004"/>
    <s v="Southwest Organics"/>
    <s v="P005"/>
    <x v="4"/>
    <n v="38"/>
    <n v="40.700000000000003"/>
    <x v="0"/>
    <x v="0"/>
  </r>
  <r>
    <d v="2024-02-28T00:00:00"/>
    <s v="D004"/>
    <s v="Southwest Organics"/>
    <s v="P006"/>
    <x v="5"/>
    <n v="32"/>
    <n v="32.299999999999997"/>
    <x v="0"/>
    <x v="0"/>
  </r>
  <r>
    <d v="2024-02-28T00:00:00"/>
    <s v="D005"/>
    <s v="Great Lakes Dairy"/>
    <s v="P001"/>
    <x v="0"/>
    <n v="34"/>
    <n v="45"/>
    <x v="1"/>
    <x v="1"/>
  </r>
  <r>
    <d v="2024-02-28T00:00:00"/>
    <s v="D005"/>
    <s v="Great Lakes Dairy"/>
    <s v="P002"/>
    <x v="1"/>
    <n v="38"/>
    <n v="47.5"/>
    <x v="1"/>
    <x v="2"/>
  </r>
  <r>
    <d v="2024-02-28T00:00:00"/>
    <s v="D005"/>
    <s v="Great Lakes Dairy"/>
    <s v="P003"/>
    <x v="2"/>
    <n v="32"/>
    <n v="44.4"/>
    <x v="1"/>
    <x v="1"/>
  </r>
  <r>
    <d v="2024-02-28T00:00:00"/>
    <s v="D005"/>
    <s v="Great Lakes Dairy"/>
    <s v="P004"/>
    <x v="3"/>
    <n v="50"/>
    <n v="52.4"/>
    <x v="0"/>
    <x v="0"/>
  </r>
  <r>
    <d v="2024-02-28T00:00:00"/>
    <s v="D005"/>
    <s v="Great Lakes Dairy"/>
    <s v="P005"/>
    <x v="4"/>
    <n v="38"/>
    <n v="38.9"/>
    <x v="0"/>
    <x v="0"/>
  </r>
  <r>
    <d v="2024-02-28T00:00:00"/>
    <s v="D005"/>
    <s v="Great Lakes Dairy"/>
    <s v="P006"/>
    <x v="5"/>
    <n v="32"/>
    <n v="34.299999999999997"/>
    <x v="0"/>
    <x v="0"/>
  </r>
  <r>
    <d v="2024-02-29T00:00:00"/>
    <s v="D001"/>
    <s v="Green Valley Produce"/>
    <s v="P001"/>
    <x v="0"/>
    <n v="34"/>
    <n v="35.1"/>
    <x v="0"/>
    <x v="0"/>
  </r>
  <r>
    <d v="2024-02-29T00:00:00"/>
    <s v="D001"/>
    <s v="Green Valley Produce"/>
    <s v="P002"/>
    <x v="1"/>
    <n v="38"/>
    <n v="37.299999999999997"/>
    <x v="0"/>
    <x v="0"/>
  </r>
  <r>
    <d v="2024-02-29T00:00:00"/>
    <s v="D001"/>
    <s v="Green Valley Produce"/>
    <s v="P003"/>
    <x v="2"/>
    <n v="32"/>
    <n v="32.799999999999997"/>
    <x v="0"/>
    <x v="0"/>
  </r>
  <r>
    <d v="2024-02-29T00:00:00"/>
    <s v="D001"/>
    <s v="Green Valley Produce"/>
    <s v="P004"/>
    <x v="3"/>
    <n v="50"/>
    <n v="59.6"/>
    <x v="1"/>
    <x v="2"/>
  </r>
  <r>
    <d v="2024-02-29T00:00:00"/>
    <s v="D001"/>
    <s v="Green Valley Produce"/>
    <s v="P005"/>
    <x v="4"/>
    <n v="38"/>
    <n v="51.8"/>
    <x v="1"/>
    <x v="1"/>
  </r>
  <r>
    <d v="2024-02-29T00:00:00"/>
    <s v="D001"/>
    <s v="Green Valley Produce"/>
    <s v="P006"/>
    <x v="5"/>
    <n v="32"/>
    <n v="32.5"/>
    <x v="0"/>
    <x v="0"/>
  </r>
  <r>
    <d v="2024-02-29T00:00:00"/>
    <s v="D002"/>
    <s v="Fresh Coast Foods"/>
    <s v="P001"/>
    <x v="0"/>
    <n v="34"/>
    <n v="35.799999999999997"/>
    <x v="0"/>
    <x v="0"/>
  </r>
  <r>
    <d v="2024-02-29T00:00:00"/>
    <s v="D002"/>
    <s v="Fresh Coast Foods"/>
    <s v="P002"/>
    <x v="1"/>
    <n v="38"/>
    <n v="37.200000000000003"/>
    <x v="0"/>
    <x v="0"/>
  </r>
  <r>
    <d v="2024-02-29T00:00:00"/>
    <s v="D002"/>
    <s v="Fresh Coast Foods"/>
    <s v="P003"/>
    <x v="2"/>
    <n v="32"/>
    <n v="31.2"/>
    <x v="0"/>
    <x v="0"/>
  </r>
  <r>
    <d v="2024-02-29T00:00:00"/>
    <s v="D002"/>
    <s v="Fresh Coast Foods"/>
    <s v="P004"/>
    <x v="3"/>
    <n v="50"/>
    <n v="50.7"/>
    <x v="0"/>
    <x v="0"/>
  </r>
  <r>
    <d v="2024-02-29T00:00:00"/>
    <s v="D002"/>
    <s v="Fresh Coast Foods"/>
    <s v="P005"/>
    <x v="4"/>
    <n v="38"/>
    <n v="44.4"/>
    <x v="1"/>
    <x v="2"/>
  </r>
  <r>
    <d v="2024-02-29T00:00:00"/>
    <s v="D002"/>
    <s v="Fresh Coast Foods"/>
    <s v="P006"/>
    <x v="5"/>
    <n v="32"/>
    <n v="44.8"/>
    <x v="1"/>
    <x v="1"/>
  </r>
  <r>
    <d v="2024-02-29T00:00:00"/>
    <s v="D003"/>
    <s v="Heartland Meats"/>
    <s v="P001"/>
    <x v="0"/>
    <n v="34"/>
    <n v="35.5"/>
    <x v="0"/>
    <x v="0"/>
  </r>
  <r>
    <d v="2024-02-29T00:00:00"/>
    <s v="D003"/>
    <s v="Heartland Meats"/>
    <s v="P002"/>
    <x v="1"/>
    <n v="38"/>
    <n v="40.5"/>
    <x v="0"/>
    <x v="0"/>
  </r>
  <r>
    <d v="2024-02-29T00:00:00"/>
    <s v="D003"/>
    <s v="Heartland Meats"/>
    <s v="P003"/>
    <x v="2"/>
    <n v="32"/>
    <n v="33.5"/>
    <x v="0"/>
    <x v="0"/>
  </r>
  <r>
    <d v="2024-02-29T00:00:00"/>
    <s v="D003"/>
    <s v="Heartland Meats"/>
    <s v="P004"/>
    <x v="3"/>
    <n v="50"/>
    <n v="50.9"/>
    <x v="0"/>
    <x v="0"/>
  </r>
  <r>
    <d v="2024-02-29T00:00:00"/>
    <s v="D003"/>
    <s v="Heartland Meats"/>
    <s v="P005"/>
    <x v="4"/>
    <n v="38"/>
    <n v="39.5"/>
    <x v="0"/>
    <x v="0"/>
  </r>
  <r>
    <d v="2024-02-29T00:00:00"/>
    <s v="D003"/>
    <s v="Heartland Meats"/>
    <s v="P006"/>
    <x v="5"/>
    <n v="32"/>
    <n v="43.2"/>
    <x v="1"/>
    <x v="1"/>
  </r>
  <r>
    <d v="2024-02-29T00:00:00"/>
    <s v="D004"/>
    <s v="Southwest Organics"/>
    <s v="P001"/>
    <x v="0"/>
    <n v="34"/>
    <n v="33.1"/>
    <x v="0"/>
    <x v="0"/>
  </r>
  <r>
    <d v="2024-02-29T00:00:00"/>
    <s v="D004"/>
    <s v="Southwest Organics"/>
    <s v="P002"/>
    <x v="1"/>
    <n v="38"/>
    <n v="39.4"/>
    <x v="0"/>
    <x v="0"/>
  </r>
  <r>
    <d v="2024-02-29T00:00:00"/>
    <s v="D004"/>
    <s v="Southwest Organics"/>
    <s v="P003"/>
    <x v="2"/>
    <n v="32"/>
    <n v="38.1"/>
    <x v="1"/>
    <x v="2"/>
  </r>
  <r>
    <d v="2024-02-29T00:00:00"/>
    <s v="D004"/>
    <s v="Southwest Organics"/>
    <s v="P004"/>
    <x v="3"/>
    <n v="50"/>
    <n v="51.4"/>
    <x v="0"/>
    <x v="0"/>
  </r>
  <r>
    <d v="2024-02-29T00:00:00"/>
    <s v="D004"/>
    <s v="Southwest Organics"/>
    <s v="P005"/>
    <x v="4"/>
    <n v="38"/>
    <n v="40.6"/>
    <x v="0"/>
    <x v="0"/>
  </r>
  <r>
    <d v="2024-02-29T00:00:00"/>
    <s v="D004"/>
    <s v="Southwest Organics"/>
    <s v="P006"/>
    <x v="5"/>
    <n v="32"/>
    <n v="42.1"/>
    <x v="1"/>
    <x v="1"/>
  </r>
  <r>
    <d v="2024-02-29T00:00:00"/>
    <s v="D005"/>
    <s v="Great Lakes Dairy"/>
    <s v="P001"/>
    <x v="0"/>
    <n v="34"/>
    <n v="34.9"/>
    <x v="0"/>
    <x v="0"/>
  </r>
  <r>
    <d v="2024-02-29T00:00:00"/>
    <s v="D005"/>
    <s v="Great Lakes Dairy"/>
    <s v="P002"/>
    <x v="1"/>
    <n v="38"/>
    <n v="37.700000000000003"/>
    <x v="0"/>
    <x v="0"/>
  </r>
  <r>
    <d v="2024-02-29T00:00:00"/>
    <s v="D005"/>
    <s v="Great Lakes Dairy"/>
    <s v="P003"/>
    <x v="2"/>
    <n v="32"/>
    <n v="38.4"/>
    <x v="1"/>
    <x v="2"/>
  </r>
  <r>
    <d v="2024-02-29T00:00:00"/>
    <s v="D005"/>
    <s v="Great Lakes Dairy"/>
    <s v="P004"/>
    <x v="3"/>
    <n v="50"/>
    <n v="60.7"/>
    <x v="1"/>
    <x v="1"/>
  </r>
  <r>
    <d v="2024-02-29T00:00:00"/>
    <s v="D005"/>
    <s v="Great Lakes Dairy"/>
    <s v="P005"/>
    <x v="4"/>
    <n v="38"/>
    <n v="39.6"/>
    <x v="0"/>
    <x v="0"/>
  </r>
  <r>
    <d v="2024-02-29T00:00:00"/>
    <s v="D005"/>
    <s v="Great Lakes Dairy"/>
    <s v="P006"/>
    <x v="5"/>
    <n v="32"/>
    <n v="33.299999999999997"/>
    <x v="0"/>
    <x v="0"/>
  </r>
  <r>
    <d v="2024-03-01T00:00:00"/>
    <s v="D001"/>
    <s v="Green Valley Produce"/>
    <s v="P001"/>
    <x v="0"/>
    <n v="34"/>
    <n v="33.6"/>
    <x v="0"/>
    <x v="0"/>
  </r>
  <r>
    <d v="2024-03-01T00:00:00"/>
    <s v="D001"/>
    <s v="Green Valley Produce"/>
    <s v="P002"/>
    <x v="1"/>
    <n v="38"/>
    <n v="39.4"/>
    <x v="0"/>
    <x v="0"/>
  </r>
  <r>
    <d v="2024-03-01T00:00:00"/>
    <s v="D001"/>
    <s v="Green Valley Produce"/>
    <s v="P003"/>
    <x v="2"/>
    <n v="32"/>
    <n v="34.9"/>
    <x v="0"/>
    <x v="0"/>
  </r>
  <r>
    <d v="2024-03-01T00:00:00"/>
    <s v="D001"/>
    <s v="Green Valley Produce"/>
    <s v="P004"/>
    <x v="3"/>
    <n v="50"/>
    <n v="51.6"/>
    <x v="0"/>
    <x v="0"/>
  </r>
  <r>
    <d v="2024-03-01T00:00:00"/>
    <s v="D001"/>
    <s v="Green Valley Produce"/>
    <s v="P005"/>
    <x v="4"/>
    <n v="38"/>
    <n v="45.9"/>
    <x v="1"/>
    <x v="2"/>
  </r>
  <r>
    <d v="2024-03-01T00:00:00"/>
    <s v="D001"/>
    <s v="Green Valley Produce"/>
    <s v="P006"/>
    <x v="5"/>
    <n v="32"/>
    <n v="33.200000000000003"/>
    <x v="0"/>
    <x v="0"/>
  </r>
  <r>
    <d v="2024-03-01T00:00:00"/>
    <s v="D002"/>
    <s v="Fresh Coast Foods"/>
    <s v="P001"/>
    <x v="0"/>
    <n v="34"/>
    <n v="42.8"/>
    <x v="1"/>
    <x v="2"/>
  </r>
  <r>
    <d v="2024-03-01T00:00:00"/>
    <s v="D002"/>
    <s v="Fresh Coast Foods"/>
    <s v="P002"/>
    <x v="1"/>
    <n v="38"/>
    <n v="39.6"/>
    <x v="0"/>
    <x v="0"/>
  </r>
  <r>
    <d v="2024-03-01T00:00:00"/>
    <s v="D002"/>
    <s v="Fresh Coast Foods"/>
    <s v="P003"/>
    <x v="2"/>
    <n v="32"/>
    <n v="31.3"/>
    <x v="0"/>
    <x v="0"/>
  </r>
  <r>
    <d v="2024-03-01T00:00:00"/>
    <s v="D002"/>
    <s v="Fresh Coast Foods"/>
    <s v="P004"/>
    <x v="3"/>
    <n v="50"/>
    <n v="50.9"/>
    <x v="0"/>
    <x v="0"/>
  </r>
  <r>
    <d v="2024-03-01T00:00:00"/>
    <s v="D002"/>
    <s v="Fresh Coast Foods"/>
    <s v="P005"/>
    <x v="4"/>
    <n v="38"/>
    <n v="38.9"/>
    <x v="0"/>
    <x v="0"/>
  </r>
  <r>
    <d v="2024-03-01T00:00:00"/>
    <s v="D002"/>
    <s v="Fresh Coast Foods"/>
    <s v="P006"/>
    <x v="5"/>
    <n v="32"/>
    <n v="34.4"/>
    <x v="0"/>
    <x v="0"/>
  </r>
  <r>
    <d v="2024-03-01T00:00:00"/>
    <s v="D003"/>
    <s v="Heartland Meats"/>
    <s v="P001"/>
    <x v="0"/>
    <n v="34"/>
    <n v="34.299999999999997"/>
    <x v="0"/>
    <x v="0"/>
  </r>
  <r>
    <d v="2024-03-01T00:00:00"/>
    <s v="D003"/>
    <s v="Heartland Meats"/>
    <s v="P002"/>
    <x v="1"/>
    <n v="38"/>
    <n v="38.299999999999997"/>
    <x v="0"/>
    <x v="0"/>
  </r>
  <r>
    <d v="2024-03-01T00:00:00"/>
    <s v="D003"/>
    <s v="Heartland Meats"/>
    <s v="P003"/>
    <x v="2"/>
    <n v="32"/>
    <n v="45"/>
    <x v="1"/>
    <x v="1"/>
  </r>
  <r>
    <d v="2024-03-01T00:00:00"/>
    <s v="D003"/>
    <s v="Heartland Meats"/>
    <s v="P004"/>
    <x v="3"/>
    <n v="50"/>
    <n v="51"/>
    <x v="0"/>
    <x v="0"/>
  </r>
  <r>
    <d v="2024-03-01T00:00:00"/>
    <s v="D003"/>
    <s v="Heartland Meats"/>
    <s v="P005"/>
    <x v="4"/>
    <n v="38"/>
    <n v="39.6"/>
    <x v="0"/>
    <x v="0"/>
  </r>
  <r>
    <d v="2024-03-01T00:00:00"/>
    <s v="D003"/>
    <s v="Heartland Meats"/>
    <s v="P006"/>
    <x v="5"/>
    <n v="32"/>
    <n v="32.9"/>
    <x v="0"/>
    <x v="0"/>
  </r>
  <r>
    <d v="2024-03-01T00:00:00"/>
    <s v="D004"/>
    <s v="Southwest Organics"/>
    <s v="P001"/>
    <x v="0"/>
    <n v="34"/>
    <n v="34.9"/>
    <x v="0"/>
    <x v="0"/>
  </r>
  <r>
    <d v="2024-03-01T00:00:00"/>
    <s v="D004"/>
    <s v="Southwest Organics"/>
    <s v="P002"/>
    <x v="1"/>
    <n v="38"/>
    <n v="40.299999999999997"/>
    <x v="0"/>
    <x v="0"/>
  </r>
  <r>
    <d v="2024-03-01T00:00:00"/>
    <s v="D004"/>
    <s v="Southwest Organics"/>
    <s v="P003"/>
    <x v="2"/>
    <n v="32"/>
    <n v="32.5"/>
    <x v="0"/>
    <x v="0"/>
  </r>
  <r>
    <d v="2024-03-01T00:00:00"/>
    <s v="D004"/>
    <s v="Southwest Organics"/>
    <s v="P004"/>
    <x v="3"/>
    <n v="50"/>
    <n v="52.3"/>
    <x v="0"/>
    <x v="0"/>
  </r>
  <r>
    <d v="2024-03-01T00:00:00"/>
    <s v="D004"/>
    <s v="Southwest Organics"/>
    <s v="P005"/>
    <x v="4"/>
    <n v="38"/>
    <n v="44.1"/>
    <x v="1"/>
    <x v="2"/>
  </r>
  <r>
    <d v="2024-03-01T00:00:00"/>
    <s v="D004"/>
    <s v="Southwest Organics"/>
    <s v="P006"/>
    <x v="5"/>
    <n v="32"/>
    <n v="33.200000000000003"/>
    <x v="0"/>
    <x v="0"/>
  </r>
  <r>
    <d v="2024-03-01T00:00:00"/>
    <s v="D005"/>
    <s v="Great Lakes Dairy"/>
    <s v="P001"/>
    <x v="0"/>
    <n v="34"/>
    <n v="43.5"/>
    <x v="1"/>
    <x v="2"/>
  </r>
  <r>
    <d v="2024-03-01T00:00:00"/>
    <s v="D005"/>
    <s v="Great Lakes Dairy"/>
    <s v="P002"/>
    <x v="1"/>
    <n v="38"/>
    <n v="40.700000000000003"/>
    <x v="0"/>
    <x v="0"/>
  </r>
  <r>
    <d v="2024-03-01T00:00:00"/>
    <s v="D005"/>
    <s v="Great Lakes Dairy"/>
    <s v="P003"/>
    <x v="2"/>
    <n v="32"/>
    <n v="34.9"/>
    <x v="0"/>
    <x v="0"/>
  </r>
  <r>
    <d v="2024-03-01T00:00:00"/>
    <s v="D005"/>
    <s v="Great Lakes Dairy"/>
    <s v="P004"/>
    <x v="3"/>
    <n v="50"/>
    <n v="50.1"/>
    <x v="0"/>
    <x v="0"/>
  </r>
  <r>
    <d v="2024-03-01T00:00:00"/>
    <s v="D005"/>
    <s v="Great Lakes Dairy"/>
    <s v="P005"/>
    <x v="4"/>
    <n v="38"/>
    <n v="38"/>
    <x v="0"/>
    <x v="0"/>
  </r>
  <r>
    <d v="2024-03-01T00:00:00"/>
    <s v="D005"/>
    <s v="Great Lakes Dairy"/>
    <s v="P006"/>
    <x v="5"/>
    <n v="32"/>
    <n v="44.8"/>
    <x v="1"/>
    <x v="1"/>
  </r>
  <r>
    <d v="2024-03-02T00:00:00"/>
    <s v="D001"/>
    <s v="Green Valley Produce"/>
    <s v="P001"/>
    <x v="0"/>
    <n v="34"/>
    <n v="33.799999999999997"/>
    <x v="0"/>
    <x v="0"/>
  </r>
  <r>
    <d v="2024-03-02T00:00:00"/>
    <s v="D001"/>
    <s v="Green Valley Produce"/>
    <s v="P002"/>
    <x v="1"/>
    <n v="38"/>
    <n v="46.1"/>
    <x v="1"/>
    <x v="2"/>
  </r>
  <r>
    <d v="2024-03-02T00:00:00"/>
    <s v="D001"/>
    <s v="Green Valley Produce"/>
    <s v="P003"/>
    <x v="2"/>
    <n v="32"/>
    <n v="44.7"/>
    <x v="1"/>
    <x v="1"/>
  </r>
  <r>
    <d v="2024-03-02T00:00:00"/>
    <s v="D001"/>
    <s v="Green Valley Produce"/>
    <s v="P004"/>
    <x v="3"/>
    <n v="50"/>
    <n v="61.2"/>
    <x v="1"/>
    <x v="1"/>
  </r>
  <r>
    <d v="2024-03-02T00:00:00"/>
    <s v="D001"/>
    <s v="Green Valley Produce"/>
    <s v="P005"/>
    <x v="4"/>
    <n v="38"/>
    <n v="38.4"/>
    <x v="0"/>
    <x v="0"/>
  </r>
  <r>
    <d v="2024-03-02T00:00:00"/>
    <s v="D001"/>
    <s v="Green Valley Produce"/>
    <s v="P006"/>
    <x v="5"/>
    <n v="32"/>
    <n v="32.799999999999997"/>
    <x v="0"/>
    <x v="0"/>
  </r>
  <r>
    <d v="2024-03-02T00:00:00"/>
    <s v="D002"/>
    <s v="Fresh Coast Foods"/>
    <s v="P001"/>
    <x v="0"/>
    <n v="34"/>
    <n v="34.5"/>
    <x v="0"/>
    <x v="0"/>
  </r>
  <r>
    <d v="2024-03-02T00:00:00"/>
    <s v="D002"/>
    <s v="Fresh Coast Foods"/>
    <s v="P002"/>
    <x v="1"/>
    <n v="38"/>
    <n v="48.2"/>
    <x v="1"/>
    <x v="1"/>
  </r>
  <r>
    <d v="2024-03-02T00:00:00"/>
    <s v="D002"/>
    <s v="Fresh Coast Foods"/>
    <s v="P003"/>
    <x v="2"/>
    <n v="32"/>
    <n v="33.5"/>
    <x v="0"/>
    <x v="0"/>
  </r>
  <r>
    <d v="2024-03-02T00:00:00"/>
    <s v="D002"/>
    <s v="Fresh Coast Foods"/>
    <s v="P004"/>
    <x v="3"/>
    <n v="50"/>
    <n v="51.8"/>
    <x v="0"/>
    <x v="0"/>
  </r>
  <r>
    <d v="2024-03-02T00:00:00"/>
    <s v="D002"/>
    <s v="Fresh Coast Foods"/>
    <s v="P005"/>
    <x v="4"/>
    <n v="38"/>
    <n v="51.1"/>
    <x v="1"/>
    <x v="1"/>
  </r>
  <r>
    <d v="2024-03-02T00:00:00"/>
    <s v="D002"/>
    <s v="Fresh Coast Foods"/>
    <s v="P006"/>
    <x v="5"/>
    <n v="32"/>
    <n v="39.5"/>
    <x v="1"/>
    <x v="2"/>
  </r>
  <r>
    <d v="2024-03-02T00:00:00"/>
    <s v="D003"/>
    <s v="Heartland Meats"/>
    <s v="P001"/>
    <x v="0"/>
    <n v="34"/>
    <n v="35.799999999999997"/>
    <x v="0"/>
    <x v="0"/>
  </r>
  <r>
    <d v="2024-03-02T00:00:00"/>
    <s v="D003"/>
    <s v="Heartland Meats"/>
    <s v="P002"/>
    <x v="1"/>
    <n v="38"/>
    <n v="38.700000000000003"/>
    <x v="0"/>
    <x v="0"/>
  </r>
  <r>
    <d v="2024-03-02T00:00:00"/>
    <s v="D003"/>
    <s v="Heartland Meats"/>
    <s v="P003"/>
    <x v="2"/>
    <n v="32"/>
    <n v="34.700000000000003"/>
    <x v="0"/>
    <x v="0"/>
  </r>
  <r>
    <d v="2024-03-02T00:00:00"/>
    <s v="D003"/>
    <s v="Heartland Meats"/>
    <s v="P004"/>
    <x v="3"/>
    <n v="50"/>
    <n v="51.3"/>
    <x v="0"/>
    <x v="0"/>
  </r>
  <r>
    <d v="2024-03-02T00:00:00"/>
    <s v="D003"/>
    <s v="Heartland Meats"/>
    <s v="P005"/>
    <x v="4"/>
    <n v="38"/>
    <n v="38.200000000000003"/>
    <x v="0"/>
    <x v="0"/>
  </r>
  <r>
    <d v="2024-03-02T00:00:00"/>
    <s v="D003"/>
    <s v="Heartland Meats"/>
    <s v="P006"/>
    <x v="5"/>
    <n v="32"/>
    <n v="40"/>
    <x v="1"/>
    <x v="2"/>
  </r>
  <r>
    <d v="2024-03-02T00:00:00"/>
    <s v="D004"/>
    <s v="Southwest Organics"/>
    <s v="P001"/>
    <x v="0"/>
    <n v="34"/>
    <n v="34.1"/>
    <x v="0"/>
    <x v="0"/>
  </r>
  <r>
    <d v="2024-03-02T00:00:00"/>
    <s v="D004"/>
    <s v="Southwest Organics"/>
    <s v="P002"/>
    <x v="1"/>
    <n v="38"/>
    <n v="48.1"/>
    <x v="1"/>
    <x v="1"/>
  </r>
  <r>
    <d v="2024-03-02T00:00:00"/>
    <s v="D004"/>
    <s v="Southwest Organics"/>
    <s v="P003"/>
    <x v="2"/>
    <n v="32"/>
    <n v="33"/>
    <x v="0"/>
    <x v="0"/>
  </r>
  <r>
    <d v="2024-03-02T00:00:00"/>
    <s v="D004"/>
    <s v="Southwest Organics"/>
    <s v="P004"/>
    <x v="3"/>
    <n v="50"/>
    <n v="52.1"/>
    <x v="0"/>
    <x v="0"/>
  </r>
  <r>
    <d v="2024-03-02T00:00:00"/>
    <s v="D004"/>
    <s v="Southwest Organics"/>
    <s v="P005"/>
    <x v="4"/>
    <n v="38"/>
    <n v="39.5"/>
    <x v="0"/>
    <x v="0"/>
  </r>
  <r>
    <d v="2024-03-02T00:00:00"/>
    <s v="D004"/>
    <s v="Southwest Organics"/>
    <s v="P006"/>
    <x v="5"/>
    <n v="32"/>
    <n v="41.1"/>
    <x v="1"/>
    <x v="2"/>
  </r>
  <r>
    <d v="2024-03-02T00:00:00"/>
    <s v="D005"/>
    <s v="Great Lakes Dairy"/>
    <s v="P001"/>
    <x v="0"/>
    <n v="34"/>
    <n v="36"/>
    <x v="0"/>
    <x v="0"/>
  </r>
  <r>
    <d v="2024-03-02T00:00:00"/>
    <s v="D005"/>
    <s v="Great Lakes Dairy"/>
    <s v="P002"/>
    <x v="1"/>
    <n v="38"/>
    <n v="39.1"/>
    <x v="0"/>
    <x v="0"/>
  </r>
  <r>
    <d v="2024-03-02T00:00:00"/>
    <s v="D005"/>
    <s v="Great Lakes Dairy"/>
    <s v="P003"/>
    <x v="2"/>
    <n v="32"/>
    <n v="43.7"/>
    <x v="1"/>
    <x v="1"/>
  </r>
  <r>
    <d v="2024-03-02T00:00:00"/>
    <s v="D005"/>
    <s v="Great Lakes Dairy"/>
    <s v="P004"/>
    <x v="3"/>
    <n v="50"/>
    <n v="50.9"/>
    <x v="0"/>
    <x v="0"/>
  </r>
  <r>
    <d v="2024-03-02T00:00:00"/>
    <s v="D005"/>
    <s v="Great Lakes Dairy"/>
    <s v="P005"/>
    <x v="4"/>
    <n v="38"/>
    <n v="38.9"/>
    <x v="0"/>
    <x v="0"/>
  </r>
  <r>
    <d v="2024-03-02T00:00:00"/>
    <s v="D005"/>
    <s v="Great Lakes Dairy"/>
    <s v="P006"/>
    <x v="5"/>
    <n v="32"/>
    <n v="33.6"/>
    <x v="0"/>
    <x v="0"/>
  </r>
  <r>
    <d v="2024-03-03T00:00:00"/>
    <s v="D001"/>
    <s v="Green Valley Produce"/>
    <s v="P001"/>
    <x v="0"/>
    <n v="34"/>
    <n v="35.6"/>
    <x v="0"/>
    <x v="0"/>
  </r>
  <r>
    <d v="2024-03-03T00:00:00"/>
    <s v="D001"/>
    <s v="Green Valley Produce"/>
    <s v="P002"/>
    <x v="1"/>
    <n v="38"/>
    <n v="40.6"/>
    <x v="0"/>
    <x v="0"/>
  </r>
  <r>
    <d v="2024-03-03T00:00:00"/>
    <s v="D001"/>
    <s v="Green Valley Produce"/>
    <s v="P003"/>
    <x v="2"/>
    <n v="32"/>
    <n v="31.9"/>
    <x v="0"/>
    <x v="0"/>
  </r>
  <r>
    <d v="2024-03-03T00:00:00"/>
    <s v="D001"/>
    <s v="Green Valley Produce"/>
    <s v="P004"/>
    <x v="3"/>
    <n v="50"/>
    <n v="50.7"/>
    <x v="0"/>
    <x v="0"/>
  </r>
  <r>
    <d v="2024-03-03T00:00:00"/>
    <s v="D001"/>
    <s v="Green Valley Produce"/>
    <s v="P005"/>
    <x v="4"/>
    <n v="38"/>
    <n v="37.6"/>
    <x v="0"/>
    <x v="0"/>
  </r>
  <r>
    <d v="2024-03-03T00:00:00"/>
    <s v="D001"/>
    <s v="Green Valley Produce"/>
    <s v="P006"/>
    <x v="5"/>
    <n v="32"/>
    <n v="32"/>
    <x v="0"/>
    <x v="0"/>
  </r>
  <r>
    <d v="2024-03-03T00:00:00"/>
    <s v="D002"/>
    <s v="Fresh Coast Foods"/>
    <s v="P001"/>
    <x v="0"/>
    <n v="34"/>
    <n v="46"/>
    <x v="1"/>
    <x v="1"/>
  </r>
  <r>
    <d v="2024-03-03T00:00:00"/>
    <s v="D002"/>
    <s v="Fresh Coast Foods"/>
    <s v="P002"/>
    <x v="1"/>
    <n v="38"/>
    <n v="39.1"/>
    <x v="0"/>
    <x v="0"/>
  </r>
  <r>
    <d v="2024-03-03T00:00:00"/>
    <s v="D002"/>
    <s v="Fresh Coast Foods"/>
    <s v="P003"/>
    <x v="2"/>
    <n v="32"/>
    <n v="31.2"/>
    <x v="0"/>
    <x v="0"/>
  </r>
  <r>
    <d v="2024-03-03T00:00:00"/>
    <s v="D002"/>
    <s v="Fresh Coast Foods"/>
    <s v="P004"/>
    <x v="3"/>
    <n v="50"/>
    <n v="50.3"/>
    <x v="0"/>
    <x v="0"/>
  </r>
  <r>
    <d v="2024-03-03T00:00:00"/>
    <s v="D002"/>
    <s v="Fresh Coast Foods"/>
    <s v="P005"/>
    <x v="4"/>
    <n v="38"/>
    <n v="38.700000000000003"/>
    <x v="0"/>
    <x v="0"/>
  </r>
  <r>
    <d v="2024-03-03T00:00:00"/>
    <s v="D002"/>
    <s v="Fresh Coast Foods"/>
    <s v="P006"/>
    <x v="5"/>
    <n v="32"/>
    <n v="33"/>
    <x v="0"/>
    <x v="0"/>
  </r>
  <r>
    <d v="2024-03-03T00:00:00"/>
    <s v="D003"/>
    <s v="Heartland Meats"/>
    <s v="P001"/>
    <x v="0"/>
    <n v="34"/>
    <n v="33.1"/>
    <x v="0"/>
    <x v="0"/>
  </r>
  <r>
    <d v="2024-03-03T00:00:00"/>
    <s v="D003"/>
    <s v="Heartland Meats"/>
    <s v="P002"/>
    <x v="1"/>
    <n v="38"/>
    <n v="38.1"/>
    <x v="0"/>
    <x v="0"/>
  </r>
  <r>
    <d v="2024-03-03T00:00:00"/>
    <s v="D003"/>
    <s v="Heartland Meats"/>
    <s v="P003"/>
    <x v="2"/>
    <n v="32"/>
    <n v="45.2"/>
    <x v="1"/>
    <x v="1"/>
  </r>
  <r>
    <d v="2024-03-03T00:00:00"/>
    <s v="D003"/>
    <s v="Heartland Meats"/>
    <s v="P004"/>
    <x v="3"/>
    <n v="50"/>
    <n v="51"/>
    <x v="0"/>
    <x v="0"/>
  </r>
  <r>
    <d v="2024-03-03T00:00:00"/>
    <s v="D003"/>
    <s v="Heartland Meats"/>
    <s v="P005"/>
    <x v="4"/>
    <n v="38"/>
    <n v="37.299999999999997"/>
    <x v="0"/>
    <x v="0"/>
  </r>
  <r>
    <d v="2024-03-03T00:00:00"/>
    <s v="D003"/>
    <s v="Heartland Meats"/>
    <s v="P006"/>
    <x v="5"/>
    <n v="32"/>
    <n v="31.9"/>
    <x v="0"/>
    <x v="0"/>
  </r>
  <r>
    <d v="2024-03-03T00:00:00"/>
    <s v="D004"/>
    <s v="Southwest Organics"/>
    <s v="P001"/>
    <x v="0"/>
    <n v="34"/>
    <n v="42.9"/>
    <x v="1"/>
    <x v="2"/>
  </r>
  <r>
    <d v="2024-03-03T00:00:00"/>
    <s v="D004"/>
    <s v="Southwest Organics"/>
    <s v="P002"/>
    <x v="1"/>
    <n v="38"/>
    <n v="38.299999999999997"/>
    <x v="0"/>
    <x v="0"/>
  </r>
  <r>
    <d v="2024-03-03T00:00:00"/>
    <s v="D004"/>
    <s v="Southwest Organics"/>
    <s v="P003"/>
    <x v="2"/>
    <n v="32"/>
    <n v="32"/>
    <x v="0"/>
    <x v="0"/>
  </r>
  <r>
    <d v="2024-03-03T00:00:00"/>
    <s v="D004"/>
    <s v="Southwest Organics"/>
    <s v="P004"/>
    <x v="3"/>
    <n v="50"/>
    <n v="52.1"/>
    <x v="0"/>
    <x v="0"/>
  </r>
  <r>
    <d v="2024-03-03T00:00:00"/>
    <s v="D004"/>
    <s v="Southwest Organics"/>
    <s v="P005"/>
    <x v="4"/>
    <n v="38"/>
    <n v="37.799999999999997"/>
    <x v="0"/>
    <x v="0"/>
  </r>
  <r>
    <d v="2024-03-03T00:00:00"/>
    <s v="D004"/>
    <s v="Southwest Organics"/>
    <s v="P006"/>
    <x v="5"/>
    <n v="32"/>
    <n v="31.6"/>
    <x v="0"/>
    <x v="0"/>
  </r>
  <r>
    <d v="2024-03-03T00:00:00"/>
    <s v="D005"/>
    <s v="Great Lakes Dairy"/>
    <s v="P001"/>
    <x v="0"/>
    <n v="34"/>
    <n v="35.9"/>
    <x v="0"/>
    <x v="0"/>
  </r>
  <r>
    <d v="2024-03-03T00:00:00"/>
    <s v="D005"/>
    <s v="Great Lakes Dairy"/>
    <s v="P002"/>
    <x v="1"/>
    <n v="38"/>
    <n v="38"/>
    <x v="0"/>
    <x v="0"/>
  </r>
  <r>
    <d v="2024-03-03T00:00:00"/>
    <s v="D005"/>
    <s v="Great Lakes Dairy"/>
    <s v="P003"/>
    <x v="2"/>
    <n v="32"/>
    <n v="32.1"/>
    <x v="0"/>
    <x v="0"/>
  </r>
  <r>
    <d v="2024-03-03T00:00:00"/>
    <s v="D005"/>
    <s v="Great Lakes Dairy"/>
    <s v="P004"/>
    <x v="3"/>
    <n v="50"/>
    <n v="53"/>
    <x v="0"/>
    <x v="0"/>
  </r>
  <r>
    <d v="2024-03-03T00:00:00"/>
    <s v="D005"/>
    <s v="Great Lakes Dairy"/>
    <s v="P005"/>
    <x v="4"/>
    <n v="38"/>
    <n v="40.299999999999997"/>
    <x v="0"/>
    <x v="0"/>
  </r>
  <r>
    <d v="2024-03-03T00:00:00"/>
    <s v="D005"/>
    <s v="Great Lakes Dairy"/>
    <s v="P006"/>
    <x v="5"/>
    <n v="32"/>
    <n v="31"/>
    <x v="0"/>
    <x v="0"/>
  </r>
  <r>
    <d v="2024-03-04T00:00:00"/>
    <s v="D001"/>
    <s v="Green Valley Produce"/>
    <s v="P001"/>
    <x v="0"/>
    <n v="34"/>
    <n v="37"/>
    <x v="0"/>
    <x v="0"/>
  </r>
  <r>
    <d v="2024-03-04T00:00:00"/>
    <s v="D001"/>
    <s v="Green Valley Produce"/>
    <s v="P002"/>
    <x v="1"/>
    <n v="38"/>
    <n v="40.5"/>
    <x v="0"/>
    <x v="0"/>
  </r>
  <r>
    <d v="2024-03-04T00:00:00"/>
    <s v="D001"/>
    <s v="Green Valley Produce"/>
    <s v="P003"/>
    <x v="2"/>
    <n v="32"/>
    <n v="33.9"/>
    <x v="0"/>
    <x v="0"/>
  </r>
  <r>
    <d v="2024-03-04T00:00:00"/>
    <s v="D001"/>
    <s v="Green Valley Produce"/>
    <s v="P004"/>
    <x v="3"/>
    <n v="50"/>
    <n v="49.9"/>
    <x v="0"/>
    <x v="0"/>
  </r>
  <r>
    <d v="2024-03-04T00:00:00"/>
    <s v="D001"/>
    <s v="Green Valley Produce"/>
    <s v="P005"/>
    <x v="4"/>
    <n v="38"/>
    <n v="39.200000000000003"/>
    <x v="0"/>
    <x v="0"/>
  </r>
  <r>
    <d v="2024-03-04T00:00:00"/>
    <s v="D001"/>
    <s v="Green Valley Produce"/>
    <s v="P006"/>
    <x v="5"/>
    <n v="32"/>
    <n v="34.299999999999997"/>
    <x v="0"/>
    <x v="0"/>
  </r>
  <r>
    <d v="2024-03-04T00:00:00"/>
    <s v="D002"/>
    <s v="Fresh Coast Foods"/>
    <s v="P001"/>
    <x v="0"/>
    <n v="34"/>
    <n v="33.299999999999997"/>
    <x v="0"/>
    <x v="0"/>
  </r>
  <r>
    <d v="2024-03-04T00:00:00"/>
    <s v="D002"/>
    <s v="Fresh Coast Foods"/>
    <s v="P002"/>
    <x v="1"/>
    <n v="38"/>
    <n v="38.700000000000003"/>
    <x v="0"/>
    <x v="0"/>
  </r>
  <r>
    <d v="2024-03-04T00:00:00"/>
    <s v="D002"/>
    <s v="Fresh Coast Foods"/>
    <s v="P003"/>
    <x v="2"/>
    <n v="32"/>
    <n v="32.700000000000003"/>
    <x v="0"/>
    <x v="0"/>
  </r>
  <r>
    <d v="2024-03-04T00:00:00"/>
    <s v="D002"/>
    <s v="Fresh Coast Foods"/>
    <s v="P004"/>
    <x v="3"/>
    <n v="50"/>
    <n v="52.4"/>
    <x v="0"/>
    <x v="0"/>
  </r>
  <r>
    <d v="2024-03-04T00:00:00"/>
    <s v="D002"/>
    <s v="Fresh Coast Foods"/>
    <s v="P005"/>
    <x v="4"/>
    <n v="38"/>
    <n v="45.1"/>
    <x v="1"/>
    <x v="2"/>
  </r>
  <r>
    <d v="2024-03-04T00:00:00"/>
    <s v="D002"/>
    <s v="Fresh Coast Foods"/>
    <s v="P006"/>
    <x v="5"/>
    <n v="32"/>
    <n v="32.200000000000003"/>
    <x v="0"/>
    <x v="0"/>
  </r>
  <r>
    <d v="2024-03-04T00:00:00"/>
    <s v="D003"/>
    <s v="Heartland Meats"/>
    <s v="P001"/>
    <x v="0"/>
    <n v="34"/>
    <n v="35"/>
    <x v="0"/>
    <x v="0"/>
  </r>
  <r>
    <d v="2024-03-04T00:00:00"/>
    <s v="D003"/>
    <s v="Heartland Meats"/>
    <s v="P002"/>
    <x v="1"/>
    <n v="38"/>
    <n v="38.4"/>
    <x v="0"/>
    <x v="0"/>
  </r>
  <r>
    <d v="2024-03-04T00:00:00"/>
    <s v="D003"/>
    <s v="Heartland Meats"/>
    <s v="P003"/>
    <x v="2"/>
    <n v="32"/>
    <n v="32.700000000000003"/>
    <x v="0"/>
    <x v="0"/>
  </r>
  <r>
    <d v="2024-03-04T00:00:00"/>
    <s v="D003"/>
    <s v="Heartland Meats"/>
    <s v="P004"/>
    <x v="3"/>
    <n v="50"/>
    <n v="52.1"/>
    <x v="0"/>
    <x v="0"/>
  </r>
  <r>
    <d v="2024-03-04T00:00:00"/>
    <s v="D003"/>
    <s v="Heartland Meats"/>
    <s v="P005"/>
    <x v="4"/>
    <n v="38"/>
    <n v="38.200000000000003"/>
    <x v="0"/>
    <x v="0"/>
  </r>
  <r>
    <d v="2024-03-04T00:00:00"/>
    <s v="D003"/>
    <s v="Heartland Meats"/>
    <s v="P006"/>
    <x v="5"/>
    <n v="32"/>
    <n v="33.299999999999997"/>
    <x v="0"/>
    <x v="0"/>
  </r>
  <r>
    <d v="2024-03-04T00:00:00"/>
    <s v="D004"/>
    <s v="Southwest Organics"/>
    <s v="P001"/>
    <x v="0"/>
    <n v="34"/>
    <n v="41.1"/>
    <x v="1"/>
    <x v="2"/>
  </r>
  <r>
    <d v="2024-03-04T00:00:00"/>
    <s v="D004"/>
    <s v="Southwest Organics"/>
    <s v="P002"/>
    <x v="1"/>
    <n v="38"/>
    <n v="41"/>
    <x v="0"/>
    <x v="0"/>
  </r>
  <r>
    <d v="2024-03-04T00:00:00"/>
    <s v="D004"/>
    <s v="Southwest Organics"/>
    <s v="P003"/>
    <x v="2"/>
    <n v="32"/>
    <n v="34.200000000000003"/>
    <x v="0"/>
    <x v="0"/>
  </r>
  <r>
    <d v="2024-03-04T00:00:00"/>
    <s v="D004"/>
    <s v="Southwest Organics"/>
    <s v="P004"/>
    <x v="3"/>
    <n v="50"/>
    <n v="51.3"/>
    <x v="0"/>
    <x v="0"/>
  </r>
  <r>
    <d v="2024-03-04T00:00:00"/>
    <s v="D004"/>
    <s v="Southwest Organics"/>
    <s v="P005"/>
    <x v="4"/>
    <n v="38"/>
    <n v="38.5"/>
    <x v="0"/>
    <x v="0"/>
  </r>
  <r>
    <d v="2024-03-04T00:00:00"/>
    <s v="D004"/>
    <s v="Southwest Organics"/>
    <s v="P006"/>
    <x v="5"/>
    <n v="32"/>
    <n v="31.3"/>
    <x v="0"/>
    <x v="0"/>
  </r>
  <r>
    <d v="2024-03-04T00:00:00"/>
    <s v="D005"/>
    <s v="Great Lakes Dairy"/>
    <s v="P001"/>
    <x v="0"/>
    <n v="34"/>
    <n v="34.9"/>
    <x v="0"/>
    <x v="0"/>
  </r>
  <r>
    <d v="2024-03-04T00:00:00"/>
    <s v="D005"/>
    <s v="Great Lakes Dairy"/>
    <s v="P002"/>
    <x v="1"/>
    <n v="38"/>
    <n v="40.799999999999997"/>
    <x v="0"/>
    <x v="0"/>
  </r>
  <r>
    <d v="2024-03-04T00:00:00"/>
    <s v="D005"/>
    <s v="Great Lakes Dairy"/>
    <s v="P003"/>
    <x v="2"/>
    <n v="32"/>
    <n v="32.200000000000003"/>
    <x v="0"/>
    <x v="0"/>
  </r>
  <r>
    <d v="2024-03-04T00:00:00"/>
    <s v="D005"/>
    <s v="Great Lakes Dairy"/>
    <s v="P004"/>
    <x v="3"/>
    <n v="50"/>
    <n v="61.4"/>
    <x v="1"/>
    <x v="1"/>
  </r>
  <r>
    <d v="2024-03-04T00:00:00"/>
    <s v="D005"/>
    <s v="Great Lakes Dairy"/>
    <s v="P005"/>
    <x v="4"/>
    <n v="38"/>
    <n v="50.6"/>
    <x v="1"/>
    <x v="1"/>
  </r>
  <r>
    <d v="2024-03-04T00:00:00"/>
    <s v="D005"/>
    <s v="Great Lakes Dairy"/>
    <s v="P006"/>
    <x v="5"/>
    <n v="32"/>
    <n v="31.1"/>
    <x v="0"/>
    <x v="0"/>
  </r>
  <r>
    <d v="2024-03-05T00:00:00"/>
    <s v="D001"/>
    <s v="Green Valley Produce"/>
    <s v="P001"/>
    <x v="0"/>
    <n v="34"/>
    <n v="36.6"/>
    <x v="0"/>
    <x v="0"/>
  </r>
  <r>
    <d v="2024-03-05T00:00:00"/>
    <s v="D001"/>
    <s v="Green Valley Produce"/>
    <s v="P002"/>
    <x v="1"/>
    <n v="38"/>
    <n v="37.799999999999997"/>
    <x v="0"/>
    <x v="0"/>
  </r>
  <r>
    <d v="2024-03-05T00:00:00"/>
    <s v="D001"/>
    <s v="Green Valley Produce"/>
    <s v="P003"/>
    <x v="2"/>
    <n v="32"/>
    <n v="33.1"/>
    <x v="0"/>
    <x v="0"/>
  </r>
  <r>
    <d v="2024-03-05T00:00:00"/>
    <s v="D001"/>
    <s v="Green Valley Produce"/>
    <s v="P004"/>
    <x v="3"/>
    <n v="50"/>
    <n v="50.5"/>
    <x v="0"/>
    <x v="0"/>
  </r>
  <r>
    <d v="2024-03-05T00:00:00"/>
    <s v="D001"/>
    <s v="Green Valley Produce"/>
    <s v="P005"/>
    <x v="4"/>
    <n v="38"/>
    <n v="46.6"/>
    <x v="1"/>
    <x v="2"/>
  </r>
  <r>
    <d v="2024-03-05T00:00:00"/>
    <s v="D001"/>
    <s v="Green Valley Produce"/>
    <s v="P006"/>
    <x v="5"/>
    <n v="32"/>
    <n v="32.6"/>
    <x v="0"/>
    <x v="0"/>
  </r>
  <r>
    <d v="2024-03-05T00:00:00"/>
    <s v="D002"/>
    <s v="Fresh Coast Foods"/>
    <s v="P001"/>
    <x v="0"/>
    <n v="34"/>
    <n v="33.5"/>
    <x v="0"/>
    <x v="0"/>
  </r>
  <r>
    <d v="2024-03-05T00:00:00"/>
    <s v="D002"/>
    <s v="Fresh Coast Foods"/>
    <s v="P002"/>
    <x v="1"/>
    <n v="38"/>
    <n v="40"/>
    <x v="0"/>
    <x v="0"/>
  </r>
  <r>
    <d v="2024-03-05T00:00:00"/>
    <s v="D002"/>
    <s v="Fresh Coast Foods"/>
    <s v="P003"/>
    <x v="2"/>
    <n v="32"/>
    <n v="34.6"/>
    <x v="0"/>
    <x v="0"/>
  </r>
  <r>
    <d v="2024-03-05T00:00:00"/>
    <s v="D002"/>
    <s v="Fresh Coast Foods"/>
    <s v="P004"/>
    <x v="3"/>
    <n v="50"/>
    <n v="52.5"/>
    <x v="0"/>
    <x v="0"/>
  </r>
  <r>
    <d v="2024-03-05T00:00:00"/>
    <s v="D002"/>
    <s v="Fresh Coast Foods"/>
    <s v="P005"/>
    <x v="4"/>
    <n v="38"/>
    <n v="40.299999999999997"/>
    <x v="0"/>
    <x v="0"/>
  </r>
  <r>
    <d v="2024-03-05T00:00:00"/>
    <s v="D002"/>
    <s v="Fresh Coast Foods"/>
    <s v="P006"/>
    <x v="5"/>
    <n v="32"/>
    <n v="31.6"/>
    <x v="0"/>
    <x v="0"/>
  </r>
  <r>
    <d v="2024-03-05T00:00:00"/>
    <s v="D003"/>
    <s v="Heartland Meats"/>
    <s v="P001"/>
    <x v="0"/>
    <n v="34"/>
    <n v="34.200000000000003"/>
    <x v="0"/>
    <x v="0"/>
  </r>
  <r>
    <d v="2024-03-05T00:00:00"/>
    <s v="D003"/>
    <s v="Heartland Meats"/>
    <s v="P002"/>
    <x v="1"/>
    <n v="38"/>
    <n v="39.9"/>
    <x v="0"/>
    <x v="0"/>
  </r>
  <r>
    <d v="2024-03-05T00:00:00"/>
    <s v="D003"/>
    <s v="Heartland Meats"/>
    <s v="P003"/>
    <x v="2"/>
    <n v="32"/>
    <n v="31.8"/>
    <x v="0"/>
    <x v="0"/>
  </r>
  <r>
    <d v="2024-03-05T00:00:00"/>
    <s v="D003"/>
    <s v="Heartland Meats"/>
    <s v="P004"/>
    <x v="3"/>
    <n v="50"/>
    <n v="50.8"/>
    <x v="0"/>
    <x v="0"/>
  </r>
  <r>
    <d v="2024-03-05T00:00:00"/>
    <s v="D003"/>
    <s v="Heartland Meats"/>
    <s v="P005"/>
    <x v="4"/>
    <n v="38"/>
    <n v="39.4"/>
    <x v="0"/>
    <x v="0"/>
  </r>
  <r>
    <d v="2024-03-05T00:00:00"/>
    <s v="D003"/>
    <s v="Heartland Meats"/>
    <s v="P006"/>
    <x v="5"/>
    <n v="32"/>
    <n v="32.299999999999997"/>
    <x v="0"/>
    <x v="0"/>
  </r>
  <r>
    <d v="2024-03-05T00:00:00"/>
    <s v="D004"/>
    <s v="Southwest Organics"/>
    <s v="P001"/>
    <x v="0"/>
    <n v="34"/>
    <n v="35"/>
    <x v="0"/>
    <x v="0"/>
  </r>
  <r>
    <d v="2024-03-05T00:00:00"/>
    <s v="D004"/>
    <s v="Southwest Organics"/>
    <s v="P002"/>
    <x v="1"/>
    <n v="38"/>
    <n v="37.200000000000003"/>
    <x v="0"/>
    <x v="0"/>
  </r>
  <r>
    <d v="2024-03-05T00:00:00"/>
    <s v="D004"/>
    <s v="Southwest Organics"/>
    <s v="P003"/>
    <x v="2"/>
    <n v="32"/>
    <n v="43.2"/>
    <x v="1"/>
    <x v="1"/>
  </r>
  <r>
    <d v="2024-03-05T00:00:00"/>
    <s v="D004"/>
    <s v="Southwest Organics"/>
    <s v="P004"/>
    <x v="3"/>
    <n v="50"/>
    <n v="50.4"/>
    <x v="0"/>
    <x v="0"/>
  </r>
  <r>
    <d v="2024-03-05T00:00:00"/>
    <s v="D004"/>
    <s v="Southwest Organics"/>
    <s v="P005"/>
    <x v="4"/>
    <n v="38"/>
    <n v="40.200000000000003"/>
    <x v="0"/>
    <x v="0"/>
  </r>
  <r>
    <d v="2024-03-05T00:00:00"/>
    <s v="D004"/>
    <s v="Southwest Organics"/>
    <s v="P006"/>
    <x v="5"/>
    <n v="32"/>
    <n v="34.299999999999997"/>
    <x v="0"/>
    <x v="0"/>
  </r>
  <r>
    <d v="2024-03-05T00:00:00"/>
    <s v="D005"/>
    <s v="Great Lakes Dairy"/>
    <s v="P001"/>
    <x v="0"/>
    <n v="34"/>
    <n v="34.700000000000003"/>
    <x v="0"/>
    <x v="0"/>
  </r>
  <r>
    <d v="2024-03-05T00:00:00"/>
    <s v="D005"/>
    <s v="Great Lakes Dairy"/>
    <s v="P002"/>
    <x v="1"/>
    <n v="38"/>
    <n v="48.9"/>
    <x v="1"/>
    <x v="1"/>
  </r>
  <r>
    <d v="2024-03-05T00:00:00"/>
    <s v="D005"/>
    <s v="Great Lakes Dairy"/>
    <s v="P003"/>
    <x v="2"/>
    <n v="32"/>
    <n v="32.5"/>
    <x v="0"/>
    <x v="0"/>
  </r>
  <r>
    <d v="2024-03-05T00:00:00"/>
    <s v="D005"/>
    <s v="Great Lakes Dairy"/>
    <s v="P004"/>
    <x v="3"/>
    <n v="50"/>
    <n v="51.8"/>
    <x v="0"/>
    <x v="0"/>
  </r>
  <r>
    <d v="2024-03-05T00:00:00"/>
    <s v="D005"/>
    <s v="Great Lakes Dairy"/>
    <s v="P005"/>
    <x v="4"/>
    <n v="38"/>
    <n v="49.6"/>
    <x v="1"/>
    <x v="1"/>
  </r>
  <r>
    <d v="2024-03-05T00:00:00"/>
    <s v="D005"/>
    <s v="Great Lakes Dairy"/>
    <s v="P006"/>
    <x v="5"/>
    <n v="32"/>
    <n v="45.1"/>
    <x v="1"/>
    <x v="1"/>
  </r>
  <r>
    <d v="2024-03-06T00:00:00"/>
    <s v="D001"/>
    <s v="Green Valley Produce"/>
    <s v="P001"/>
    <x v="0"/>
    <n v="34"/>
    <n v="47.1"/>
    <x v="1"/>
    <x v="1"/>
  </r>
  <r>
    <d v="2024-03-06T00:00:00"/>
    <s v="D001"/>
    <s v="Green Valley Produce"/>
    <s v="P002"/>
    <x v="1"/>
    <n v="38"/>
    <n v="39.700000000000003"/>
    <x v="0"/>
    <x v="0"/>
  </r>
  <r>
    <d v="2024-03-06T00:00:00"/>
    <s v="D001"/>
    <s v="Green Valley Produce"/>
    <s v="P003"/>
    <x v="2"/>
    <n v="32"/>
    <n v="43.8"/>
    <x v="1"/>
    <x v="1"/>
  </r>
  <r>
    <d v="2024-03-06T00:00:00"/>
    <s v="D001"/>
    <s v="Green Valley Produce"/>
    <s v="P004"/>
    <x v="3"/>
    <n v="50"/>
    <n v="52.6"/>
    <x v="0"/>
    <x v="0"/>
  </r>
  <r>
    <d v="2024-03-06T00:00:00"/>
    <s v="D001"/>
    <s v="Green Valley Produce"/>
    <s v="P005"/>
    <x v="4"/>
    <n v="38"/>
    <n v="40"/>
    <x v="0"/>
    <x v="0"/>
  </r>
  <r>
    <d v="2024-03-06T00:00:00"/>
    <s v="D001"/>
    <s v="Green Valley Produce"/>
    <s v="P006"/>
    <x v="5"/>
    <n v="32"/>
    <n v="40.9"/>
    <x v="1"/>
    <x v="2"/>
  </r>
  <r>
    <d v="2024-03-06T00:00:00"/>
    <s v="D002"/>
    <s v="Fresh Coast Foods"/>
    <s v="P001"/>
    <x v="0"/>
    <n v="34"/>
    <n v="35"/>
    <x v="0"/>
    <x v="0"/>
  </r>
  <r>
    <d v="2024-03-06T00:00:00"/>
    <s v="D002"/>
    <s v="Fresh Coast Foods"/>
    <s v="P002"/>
    <x v="1"/>
    <n v="38"/>
    <n v="38.6"/>
    <x v="0"/>
    <x v="0"/>
  </r>
  <r>
    <d v="2024-03-06T00:00:00"/>
    <s v="D002"/>
    <s v="Fresh Coast Foods"/>
    <s v="P003"/>
    <x v="2"/>
    <n v="32"/>
    <n v="39.700000000000003"/>
    <x v="1"/>
    <x v="2"/>
  </r>
  <r>
    <d v="2024-03-06T00:00:00"/>
    <s v="D002"/>
    <s v="Fresh Coast Foods"/>
    <s v="P004"/>
    <x v="3"/>
    <n v="50"/>
    <n v="56.2"/>
    <x v="1"/>
    <x v="2"/>
  </r>
  <r>
    <d v="2024-03-06T00:00:00"/>
    <s v="D002"/>
    <s v="Fresh Coast Foods"/>
    <s v="P005"/>
    <x v="4"/>
    <n v="38"/>
    <n v="39.700000000000003"/>
    <x v="0"/>
    <x v="0"/>
  </r>
  <r>
    <d v="2024-03-06T00:00:00"/>
    <s v="D002"/>
    <s v="Fresh Coast Foods"/>
    <s v="P006"/>
    <x v="5"/>
    <n v="32"/>
    <n v="32.4"/>
    <x v="0"/>
    <x v="0"/>
  </r>
  <r>
    <d v="2024-03-06T00:00:00"/>
    <s v="D003"/>
    <s v="Heartland Meats"/>
    <s v="P001"/>
    <x v="0"/>
    <n v="34"/>
    <n v="33.799999999999997"/>
    <x v="0"/>
    <x v="0"/>
  </r>
  <r>
    <d v="2024-03-06T00:00:00"/>
    <s v="D003"/>
    <s v="Heartland Meats"/>
    <s v="P002"/>
    <x v="1"/>
    <n v="38"/>
    <n v="46"/>
    <x v="1"/>
    <x v="2"/>
  </r>
  <r>
    <d v="2024-03-06T00:00:00"/>
    <s v="D003"/>
    <s v="Heartland Meats"/>
    <s v="P003"/>
    <x v="2"/>
    <n v="32"/>
    <n v="31.5"/>
    <x v="0"/>
    <x v="0"/>
  </r>
  <r>
    <d v="2024-03-06T00:00:00"/>
    <s v="D003"/>
    <s v="Heartland Meats"/>
    <s v="P004"/>
    <x v="3"/>
    <n v="50"/>
    <n v="50.9"/>
    <x v="0"/>
    <x v="0"/>
  </r>
  <r>
    <d v="2024-03-06T00:00:00"/>
    <s v="D003"/>
    <s v="Heartland Meats"/>
    <s v="P005"/>
    <x v="4"/>
    <n v="38"/>
    <n v="37.299999999999997"/>
    <x v="0"/>
    <x v="0"/>
  </r>
  <r>
    <d v="2024-03-06T00:00:00"/>
    <s v="D003"/>
    <s v="Heartland Meats"/>
    <s v="P006"/>
    <x v="5"/>
    <n v="32"/>
    <n v="33.9"/>
    <x v="0"/>
    <x v="0"/>
  </r>
  <r>
    <d v="2024-03-06T00:00:00"/>
    <s v="D004"/>
    <s v="Southwest Organics"/>
    <s v="P001"/>
    <x v="0"/>
    <n v="34"/>
    <n v="34.9"/>
    <x v="0"/>
    <x v="0"/>
  </r>
  <r>
    <d v="2024-03-06T00:00:00"/>
    <s v="D004"/>
    <s v="Southwest Organics"/>
    <s v="P002"/>
    <x v="1"/>
    <n v="38"/>
    <n v="37.6"/>
    <x v="0"/>
    <x v="0"/>
  </r>
  <r>
    <d v="2024-03-06T00:00:00"/>
    <s v="D004"/>
    <s v="Southwest Organics"/>
    <s v="P003"/>
    <x v="2"/>
    <n v="32"/>
    <n v="33.4"/>
    <x v="0"/>
    <x v="0"/>
  </r>
  <r>
    <d v="2024-03-06T00:00:00"/>
    <s v="D004"/>
    <s v="Southwest Organics"/>
    <s v="P004"/>
    <x v="3"/>
    <n v="50"/>
    <n v="57"/>
    <x v="1"/>
    <x v="2"/>
  </r>
  <r>
    <d v="2024-03-06T00:00:00"/>
    <s v="D004"/>
    <s v="Southwest Organics"/>
    <s v="P005"/>
    <x v="4"/>
    <n v="38"/>
    <n v="37.700000000000003"/>
    <x v="0"/>
    <x v="0"/>
  </r>
  <r>
    <d v="2024-03-06T00:00:00"/>
    <s v="D004"/>
    <s v="Southwest Organics"/>
    <s v="P006"/>
    <x v="5"/>
    <n v="32"/>
    <n v="31"/>
    <x v="0"/>
    <x v="0"/>
  </r>
  <r>
    <d v="2024-03-06T00:00:00"/>
    <s v="D005"/>
    <s v="Great Lakes Dairy"/>
    <s v="P001"/>
    <x v="0"/>
    <n v="34"/>
    <n v="34.799999999999997"/>
    <x v="0"/>
    <x v="0"/>
  </r>
  <r>
    <d v="2024-03-06T00:00:00"/>
    <s v="D005"/>
    <s v="Great Lakes Dairy"/>
    <s v="P002"/>
    <x v="1"/>
    <n v="38"/>
    <n v="49.7"/>
    <x v="1"/>
    <x v="1"/>
  </r>
  <r>
    <d v="2024-03-06T00:00:00"/>
    <s v="D005"/>
    <s v="Great Lakes Dairy"/>
    <s v="P003"/>
    <x v="2"/>
    <n v="32"/>
    <n v="33.1"/>
    <x v="0"/>
    <x v="0"/>
  </r>
  <r>
    <d v="2024-03-06T00:00:00"/>
    <s v="D005"/>
    <s v="Great Lakes Dairy"/>
    <s v="P004"/>
    <x v="3"/>
    <n v="50"/>
    <n v="49.2"/>
    <x v="0"/>
    <x v="0"/>
  </r>
  <r>
    <d v="2024-03-06T00:00:00"/>
    <s v="D005"/>
    <s v="Great Lakes Dairy"/>
    <s v="P005"/>
    <x v="4"/>
    <n v="38"/>
    <n v="39.1"/>
    <x v="0"/>
    <x v="0"/>
  </r>
  <r>
    <d v="2024-03-06T00:00:00"/>
    <s v="D005"/>
    <s v="Great Lakes Dairy"/>
    <s v="P006"/>
    <x v="5"/>
    <n v="32"/>
    <n v="33.6"/>
    <x v="0"/>
    <x v="0"/>
  </r>
  <r>
    <d v="2024-03-07T00:00:00"/>
    <s v="D001"/>
    <s v="Green Valley Produce"/>
    <s v="P001"/>
    <x v="0"/>
    <n v="34"/>
    <n v="45.5"/>
    <x v="1"/>
    <x v="1"/>
  </r>
  <r>
    <d v="2024-03-07T00:00:00"/>
    <s v="D001"/>
    <s v="Green Valley Produce"/>
    <s v="P002"/>
    <x v="1"/>
    <n v="38"/>
    <n v="39.4"/>
    <x v="0"/>
    <x v="0"/>
  </r>
  <r>
    <d v="2024-03-07T00:00:00"/>
    <s v="D001"/>
    <s v="Green Valley Produce"/>
    <s v="P003"/>
    <x v="2"/>
    <n v="32"/>
    <n v="41"/>
    <x v="1"/>
    <x v="2"/>
  </r>
  <r>
    <d v="2024-03-07T00:00:00"/>
    <s v="D001"/>
    <s v="Green Valley Produce"/>
    <s v="P004"/>
    <x v="3"/>
    <n v="50"/>
    <n v="50"/>
    <x v="0"/>
    <x v="0"/>
  </r>
  <r>
    <d v="2024-03-07T00:00:00"/>
    <s v="D001"/>
    <s v="Green Valley Produce"/>
    <s v="P005"/>
    <x v="4"/>
    <n v="38"/>
    <n v="37.799999999999997"/>
    <x v="0"/>
    <x v="0"/>
  </r>
  <r>
    <d v="2024-03-07T00:00:00"/>
    <s v="D001"/>
    <s v="Green Valley Produce"/>
    <s v="P006"/>
    <x v="5"/>
    <n v="32"/>
    <n v="38.200000000000003"/>
    <x v="1"/>
    <x v="2"/>
  </r>
  <r>
    <d v="2024-03-07T00:00:00"/>
    <s v="D002"/>
    <s v="Fresh Coast Foods"/>
    <s v="P001"/>
    <x v="0"/>
    <n v="34"/>
    <n v="46.6"/>
    <x v="1"/>
    <x v="1"/>
  </r>
  <r>
    <d v="2024-03-07T00:00:00"/>
    <s v="D002"/>
    <s v="Fresh Coast Foods"/>
    <s v="P002"/>
    <x v="1"/>
    <n v="38"/>
    <n v="37.299999999999997"/>
    <x v="0"/>
    <x v="0"/>
  </r>
  <r>
    <d v="2024-03-07T00:00:00"/>
    <s v="D002"/>
    <s v="Fresh Coast Foods"/>
    <s v="P003"/>
    <x v="2"/>
    <n v="32"/>
    <n v="31.4"/>
    <x v="0"/>
    <x v="0"/>
  </r>
  <r>
    <d v="2024-03-07T00:00:00"/>
    <s v="D002"/>
    <s v="Fresh Coast Foods"/>
    <s v="P004"/>
    <x v="3"/>
    <n v="50"/>
    <n v="51.7"/>
    <x v="0"/>
    <x v="0"/>
  </r>
  <r>
    <d v="2024-03-07T00:00:00"/>
    <s v="D002"/>
    <s v="Fresh Coast Foods"/>
    <s v="P005"/>
    <x v="4"/>
    <n v="38"/>
    <n v="37.200000000000003"/>
    <x v="0"/>
    <x v="0"/>
  </r>
  <r>
    <d v="2024-03-07T00:00:00"/>
    <s v="D002"/>
    <s v="Fresh Coast Foods"/>
    <s v="P006"/>
    <x v="5"/>
    <n v="32"/>
    <n v="34.299999999999997"/>
    <x v="0"/>
    <x v="0"/>
  </r>
  <r>
    <d v="2024-03-07T00:00:00"/>
    <s v="D003"/>
    <s v="Heartland Meats"/>
    <s v="P001"/>
    <x v="0"/>
    <n v="34"/>
    <n v="35.5"/>
    <x v="0"/>
    <x v="0"/>
  </r>
  <r>
    <d v="2024-03-07T00:00:00"/>
    <s v="D003"/>
    <s v="Heartland Meats"/>
    <s v="P002"/>
    <x v="1"/>
    <n v="38"/>
    <n v="40.700000000000003"/>
    <x v="0"/>
    <x v="0"/>
  </r>
  <r>
    <d v="2024-03-07T00:00:00"/>
    <s v="D003"/>
    <s v="Heartland Meats"/>
    <s v="P003"/>
    <x v="2"/>
    <n v="32"/>
    <n v="32.700000000000003"/>
    <x v="0"/>
    <x v="0"/>
  </r>
  <r>
    <d v="2024-03-07T00:00:00"/>
    <s v="D003"/>
    <s v="Heartland Meats"/>
    <s v="P004"/>
    <x v="3"/>
    <n v="50"/>
    <n v="49.4"/>
    <x v="0"/>
    <x v="0"/>
  </r>
  <r>
    <d v="2024-03-07T00:00:00"/>
    <s v="D003"/>
    <s v="Heartland Meats"/>
    <s v="P005"/>
    <x v="4"/>
    <n v="38"/>
    <n v="37.1"/>
    <x v="0"/>
    <x v="0"/>
  </r>
  <r>
    <d v="2024-03-07T00:00:00"/>
    <s v="D003"/>
    <s v="Heartland Meats"/>
    <s v="P006"/>
    <x v="5"/>
    <n v="32"/>
    <n v="31"/>
    <x v="0"/>
    <x v="0"/>
  </r>
  <r>
    <d v="2024-03-07T00:00:00"/>
    <s v="D004"/>
    <s v="Southwest Organics"/>
    <s v="P001"/>
    <x v="0"/>
    <n v="34"/>
    <n v="33.9"/>
    <x v="0"/>
    <x v="0"/>
  </r>
  <r>
    <d v="2024-03-07T00:00:00"/>
    <s v="D004"/>
    <s v="Southwest Organics"/>
    <s v="P002"/>
    <x v="1"/>
    <n v="38"/>
    <n v="38.1"/>
    <x v="0"/>
    <x v="0"/>
  </r>
  <r>
    <d v="2024-03-07T00:00:00"/>
    <s v="D004"/>
    <s v="Southwest Organics"/>
    <s v="P003"/>
    <x v="2"/>
    <n v="32"/>
    <n v="31.2"/>
    <x v="0"/>
    <x v="0"/>
  </r>
  <r>
    <d v="2024-03-07T00:00:00"/>
    <s v="D004"/>
    <s v="Southwest Organics"/>
    <s v="P004"/>
    <x v="3"/>
    <n v="50"/>
    <n v="50.6"/>
    <x v="0"/>
    <x v="0"/>
  </r>
  <r>
    <d v="2024-03-07T00:00:00"/>
    <s v="D004"/>
    <s v="Southwest Organics"/>
    <s v="P005"/>
    <x v="4"/>
    <n v="38"/>
    <n v="39"/>
    <x v="0"/>
    <x v="0"/>
  </r>
  <r>
    <d v="2024-03-07T00:00:00"/>
    <s v="D004"/>
    <s v="Southwest Organics"/>
    <s v="P006"/>
    <x v="5"/>
    <n v="32"/>
    <n v="33.9"/>
    <x v="0"/>
    <x v="0"/>
  </r>
  <r>
    <d v="2024-03-07T00:00:00"/>
    <s v="D005"/>
    <s v="Great Lakes Dairy"/>
    <s v="P001"/>
    <x v="0"/>
    <n v="34"/>
    <n v="36.700000000000003"/>
    <x v="0"/>
    <x v="0"/>
  </r>
  <r>
    <d v="2024-03-07T00:00:00"/>
    <s v="D005"/>
    <s v="Great Lakes Dairy"/>
    <s v="P002"/>
    <x v="1"/>
    <n v="38"/>
    <n v="38"/>
    <x v="0"/>
    <x v="0"/>
  </r>
  <r>
    <d v="2024-03-07T00:00:00"/>
    <s v="D005"/>
    <s v="Great Lakes Dairy"/>
    <s v="P003"/>
    <x v="2"/>
    <n v="32"/>
    <n v="40.6"/>
    <x v="1"/>
    <x v="2"/>
  </r>
  <r>
    <d v="2024-03-07T00:00:00"/>
    <s v="D005"/>
    <s v="Great Lakes Dairy"/>
    <s v="P004"/>
    <x v="3"/>
    <n v="50"/>
    <n v="50.6"/>
    <x v="0"/>
    <x v="0"/>
  </r>
  <r>
    <d v="2024-03-07T00:00:00"/>
    <s v="D005"/>
    <s v="Great Lakes Dairy"/>
    <s v="P005"/>
    <x v="4"/>
    <n v="38"/>
    <n v="40.1"/>
    <x v="0"/>
    <x v="0"/>
  </r>
  <r>
    <d v="2024-03-07T00:00:00"/>
    <s v="D005"/>
    <s v="Great Lakes Dairy"/>
    <s v="P006"/>
    <x v="5"/>
    <n v="32"/>
    <n v="39.4"/>
    <x v="1"/>
    <x v="2"/>
  </r>
  <r>
    <d v="2024-03-08T00:00:00"/>
    <s v="D001"/>
    <s v="Green Valley Produce"/>
    <s v="P001"/>
    <x v="0"/>
    <n v="34"/>
    <n v="35.799999999999997"/>
    <x v="0"/>
    <x v="0"/>
  </r>
  <r>
    <d v="2024-03-08T00:00:00"/>
    <s v="D001"/>
    <s v="Green Valley Produce"/>
    <s v="P002"/>
    <x v="1"/>
    <n v="38"/>
    <n v="39.700000000000003"/>
    <x v="0"/>
    <x v="0"/>
  </r>
  <r>
    <d v="2024-03-08T00:00:00"/>
    <s v="D001"/>
    <s v="Green Valley Produce"/>
    <s v="P003"/>
    <x v="2"/>
    <n v="32"/>
    <n v="38.1"/>
    <x v="1"/>
    <x v="2"/>
  </r>
  <r>
    <d v="2024-03-08T00:00:00"/>
    <s v="D001"/>
    <s v="Green Valley Produce"/>
    <s v="P004"/>
    <x v="3"/>
    <n v="50"/>
    <n v="50.8"/>
    <x v="0"/>
    <x v="0"/>
  </r>
  <r>
    <d v="2024-03-08T00:00:00"/>
    <s v="D001"/>
    <s v="Green Valley Produce"/>
    <s v="P005"/>
    <x v="4"/>
    <n v="38"/>
    <n v="40"/>
    <x v="0"/>
    <x v="0"/>
  </r>
  <r>
    <d v="2024-03-08T00:00:00"/>
    <s v="D001"/>
    <s v="Green Valley Produce"/>
    <s v="P006"/>
    <x v="5"/>
    <n v="32"/>
    <n v="33.799999999999997"/>
    <x v="0"/>
    <x v="0"/>
  </r>
  <r>
    <d v="2024-03-08T00:00:00"/>
    <s v="D002"/>
    <s v="Fresh Coast Foods"/>
    <s v="P001"/>
    <x v="0"/>
    <n v="34"/>
    <n v="40.200000000000003"/>
    <x v="1"/>
    <x v="2"/>
  </r>
  <r>
    <d v="2024-03-08T00:00:00"/>
    <s v="D002"/>
    <s v="Fresh Coast Foods"/>
    <s v="P002"/>
    <x v="1"/>
    <n v="38"/>
    <n v="37.5"/>
    <x v="0"/>
    <x v="0"/>
  </r>
  <r>
    <d v="2024-03-08T00:00:00"/>
    <s v="D002"/>
    <s v="Fresh Coast Foods"/>
    <s v="P003"/>
    <x v="2"/>
    <n v="32"/>
    <n v="32.700000000000003"/>
    <x v="0"/>
    <x v="0"/>
  </r>
  <r>
    <d v="2024-03-08T00:00:00"/>
    <s v="D002"/>
    <s v="Fresh Coast Foods"/>
    <s v="P004"/>
    <x v="3"/>
    <n v="50"/>
    <n v="49.3"/>
    <x v="0"/>
    <x v="0"/>
  </r>
  <r>
    <d v="2024-03-08T00:00:00"/>
    <s v="D002"/>
    <s v="Fresh Coast Foods"/>
    <s v="P005"/>
    <x v="4"/>
    <n v="38"/>
    <n v="48"/>
    <x v="1"/>
    <x v="2"/>
  </r>
  <r>
    <d v="2024-03-08T00:00:00"/>
    <s v="D002"/>
    <s v="Fresh Coast Foods"/>
    <s v="P006"/>
    <x v="5"/>
    <n v="32"/>
    <n v="32.5"/>
    <x v="0"/>
    <x v="0"/>
  </r>
  <r>
    <d v="2024-03-08T00:00:00"/>
    <s v="D003"/>
    <s v="Heartland Meats"/>
    <s v="P001"/>
    <x v="0"/>
    <n v="34"/>
    <n v="34"/>
    <x v="0"/>
    <x v="0"/>
  </r>
  <r>
    <d v="2024-03-08T00:00:00"/>
    <s v="D003"/>
    <s v="Heartland Meats"/>
    <s v="P002"/>
    <x v="1"/>
    <n v="38"/>
    <n v="41"/>
    <x v="0"/>
    <x v="0"/>
  </r>
  <r>
    <d v="2024-03-08T00:00:00"/>
    <s v="D003"/>
    <s v="Heartland Meats"/>
    <s v="P003"/>
    <x v="2"/>
    <n v="32"/>
    <n v="34.5"/>
    <x v="0"/>
    <x v="0"/>
  </r>
  <r>
    <d v="2024-03-08T00:00:00"/>
    <s v="D003"/>
    <s v="Heartland Meats"/>
    <s v="P004"/>
    <x v="3"/>
    <n v="50"/>
    <n v="58.5"/>
    <x v="1"/>
    <x v="2"/>
  </r>
  <r>
    <d v="2024-03-08T00:00:00"/>
    <s v="D003"/>
    <s v="Heartland Meats"/>
    <s v="P005"/>
    <x v="4"/>
    <n v="38"/>
    <n v="37.200000000000003"/>
    <x v="0"/>
    <x v="0"/>
  </r>
  <r>
    <d v="2024-03-08T00:00:00"/>
    <s v="D003"/>
    <s v="Heartland Meats"/>
    <s v="P006"/>
    <x v="5"/>
    <n v="32"/>
    <n v="32.700000000000003"/>
    <x v="0"/>
    <x v="0"/>
  </r>
  <r>
    <d v="2024-03-08T00:00:00"/>
    <s v="D004"/>
    <s v="Southwest Organics"/>
    <s v="P001"/>
    <x v="0"/>
    <n v="34"/>
    <n v="36"/>
    <x v="0"/>
    <x v="0"/>
  </r>
  <r>
    <d v="2024-03-08T00:00:00"/>
    <s v="D004"/>
    <s v="Southwest Organics"/>
    <s v="P002"/>
    <x v="1"/>
    <n v="38"/>
    <n v="39.9"/>
    <x v="0"/>
    <x v="0"/>
  </r>
  <r>
    <d v="2024-03-08T00:00:00"/>
    <s v="D004"/>
    <s v="Southwest Organics"/>
    <s v="P003"/>
    <x v="2"/>
    <n v="32"/>
    <n v="31.8"/>
    <x v="0"/>
    <x v="0"/>
  </r>
  <r>
    <d v="2024-03-08T00:00:00"/>
    <s v="D004"/>
    <s v="Southwest Organics"/>
    <s v="P004"/>
    <x v="3"/>
    <n v="50"/>
    <n v="63.3"/>
    <x v="1"/>
    <x v="1"/>
  </r>
  <r>
    <d v="2024-03-08T00:00:00"/>
    <s v="D004"/>
    <s v="Southwest Organics"/>
    <s v="P005"/>
    <x v="4"/>
    <n v="38"/>
    <n v="40.200000000000003"/>
    <x v="0"/>
    <x v="0"/>
  </r>
  <r>
    <d v="2024-03-08T00:00:00"/>
    <s v="D004"/>
    <s v="Southwest Organics"/>
    <s v="P006"/>
    <x v="5"/>
    <n v="32"/>
    <n v="31.9"/>
    <x v="0"/>
    <x v="0"/>
  </r>
  <r>
    <d v="2024-03-08T00:00:00"/>
    <s v="D005"/>
    <s v="Great Lakes Dairy"/>
    <s v="P001"/>
    <x v="0"/>
    <n v="34"/>
    <n v="35.1"/>
    <x v="0"/>
    <x v="0"/>
  </r>
  <r>
    <d v="2024-03-08T00:00:00"/>
    <s v="D005"/>
    <s v="Great Lakes Dairy"/>
    <s v="P002"/>
    <x v="1"/>
    <n v="38"/>
    <n v="39.5"/>
    <x v="0"/>
    <x v="0"/>
  </r>
  <r>
    <d v="2024-03-08T00:00:00"/>
    <s v="D005"/>
    <s v="Great Lakes Dairy"/>
    <s v="P003"/>
    <x v="2"/>
    <n v="32"/>
    <n v="41.9"/>
    <x v="1"/>
    <x v="2"/>
  </r>
  <r>
    <d v="2024-03-08T00:00:00"/>
    <s v="D005"/>
    <s v="Great Lakes Dairy"/>
    <s v="P004"/>
    <x v="3"/>
    <n v="50"/>
    <n v="49.2"/>
    <x v="0"/>
    <x v="0"/>
  </r>
  <r>
    <d v="2024-03-08T00:00:00"/>
    <s v="D005"/>
    <s v="Great Lakes Dairy"/>
    <s v="P005"/>
    <x v="4"/>
    <n v="38"/>
    <n v="40.799999999999997"/>
    <x v="0"/>
    <x v="0"/>
  </r>
  <r>
    <d v="2024-03-08T00:00:00"/>
    <s v="D005"/>
    <s v="Great Lakes Dairy"/>
    <s v="P006"/>
    <x v="5"/>
    <n v="32"/>
    <n v="39.4"/>
    <x v="1"/>
    <x v="2"/>
  </r>
  <r>
    <d v="2024-03-09T00:00:00"/>
    <s v="D001"/>
    <s v="Green Valley Produce"/>
    <s v="P001"/>
    <x v="0"/>
    <n v="34"/>
    <n v="36.200000000000003"/>
    <x v="0"/>
    <x v="0"/>
  </r>
  <r>
    <d v="2024-03-09T00:00:00"/>
    <s v="D001"/>
    <s v="Green Valley Produce"/>
    <s v="P002"/>
    <x v="1"/>
    <n v="38"/>
    <n v="39"/>
    <x v="0"/>
    <x v="0"/>
  </r>
  <r>
    <d v="2024-03-09T00:00:00"/>
    <s v="D001"/>
    <s v="Green Valley Produce"/>
    <s v="P003"/>
    <x v="2"/>
    <n v="32"/>
    <n v="32.9"/>
    <x v="0"/>
    <x v="0"/>
  </r>
  <r>
    <d v="2024-03-09T00:00:00"/>
    <s v="D001"/>
    <s v="Green Valley Produce"/>
    <s v="P004"/>
    <x v="3"/>
    <n v="50"/>
    <n v="57.6"/>
    <x v="1"/>
    <x v="2"/>
  </r>
  <r>
    <d v="2024-03-09T00:00:00"/>
    <s v="D001"/>
    <s v="Green Valley Produce"/>
    <s v="P005"/>
    <x v="4"/>
    <n v="38"/>
    <n v="39.4"/>
    <x v="0"/>
    <x v="0"/>
  </r>
  <r>
    <d v="2024-03-09T00:00:00"/>
    <s v="D001"/>
    <s v="Green Valley Produce"/>
    <s v="P006"/>
    <x v="5"/>
    <n v="32"/>
    <n v="33.299999999999997"/>
    <x v="0"/>
    <x v="0"/>
  </r>
  <r>
    <d v="2024-03-09T00:00:00"/>
    <s v="D002"/>
    <s v="Fresh Coast Foods"/>
    <s v="P001"/>
    <x v="0"/>
    <n v="34"/>
    <n v="33.799999999999997"/>
    <x v="0"/>
    <x v="0"/>
  </r>
  <r>
    <d v="2024-03-09T00:00:00"/>
    <s v="D002"/>
    <s v="Fresh Coast Foods"/>
    <s v="P002"/>
    <x v="1"/>
    <n v="38"/>
    <n v="38.9"/>
    <x v="0"/>
    <x v="0"/>
  </r>
  <r>
    <d v="2024-03-09T00:00:00"/>
    <s v="D002"/>
    <s v="Fresh Coast Foods"/>
    <s v="P003"/>
    <x v="2"/>
    <n v="32"/>
    <n v="32.4"/>
    <x v="0"/>
    <x v="0"/>
  </r>
  <r>
    <d v="2024-03-09T00:00:00"/>
    <s v="D002"/>
    <s v="Fresh Coast Foods"/>
    <s v="P004"/>
    <x v="3"/>
    <n v="50"/>
    <n v="50.9"/>
    <x v="0"/>
    <x v="0"/>
  </r>
  <r>
    <d v="2024-03-09T00:00:00"/>
    <s v="D002"/>
    <s v="Fresh Coast Foods"/>
    <s v="P005"/>
    <x v="4"/>
    <n v="38"/>
    <n v="39.4"/>
    <x v="0"/>
    <x v="0"/>
  </r>
  <r>
    <d v="2024-03-09T00:00:00"/>
    <s v="D002"/>
    <s v="Fresh Coast Foods"/>
    <s v="P006"/>
    <x v="5"/>
    <n v="32"/>
    <n v="31.6"/>
    <x v="0"/>
    <x v="0"/>
  </r>
  <r>
    <d v="2024-03-09T00:00:00"/>
    <s v="D003"/>
    <s v="Heartland Meats"/>
    <s v="P001"/>
    <x v="0"/>
    <n v="34"/>
    <n v="34.9"/>
    <x v="0"/>
    <x v="0"/>
  </r>
  <r>
    <d v="2024-03-09T00:00:00"/>
    <s v="D003"/>
    <s v="Heartland Meats"/>
    <s v="P002"/>
    <x v="1"/>
    <n v="38"/>
    <n v="38.700000000000003"/>
    <x v="0"/>
    <x v="0"/>
  </r>
  <r>
    <d v="2024-03-09T00:00:00"/>
    <s v="D003"/>
    <s v="Heartland Meats"/>
    <s v="P003"/>
    <x v="2"/>
    <n v="32"/>
    <n v="45.3"/>
    <x v="1"/>
    <x v="1"/>
  </r>
  <r>
    <d v="2024-03-09T00:00:00"/>
    <s v="D003"/>
    <s v="Heartland Meats"/>
    <s v="P004"/>
    <x v="3"/>
    <n v="50"/>
    <n v="51.1"/>
    <x v="0"/>
    <x v="0"/>
  </r>
  <r>
    <d v="2024-03-09T00:00:00"/>
    <s v="D003"/>
    <s v="Heartland Meats"/>
    <s v="P005"/>
    <x v="4"/>
    <n v="38"/>
    <n v="37.700000000000003"/>
    <x v="0"/>
    <x v="0"/>
  </r>
  <r>
    <d v="2024-03-09T00:00:00"/>
    <s v="D003"/>
    <s v="Heartland Meats"/>
    <s v="P006"/>
    <x v="5"/>
    <n v="32"/>
    <n v="32.200000000000003"/>
    <x v="0"/>
    <x v="0"/>
  </r>
  <r>
    <d v="2024-03-09T00:00:00"/>
    <s v="D004"/>
    <s v="Southwest Organics"/>
    <s v="P001"/>
    <x v="0"/>
    <n v="34"/>
    <n v="35.200000000000003"/>
    <x v="0"/>
    <x v="0"/>
  </r>
  <r>
    <d v="2024-03-09T00:00:00"/>
    <s v="D004"/>
    <s v="Southwest Organics"/>
    <s v="P002"/>
    <x v="1"/>
    <n v="38"/>
    <n v="38.299999999999997"/>
    <x v="0"/>
    <x v="0"/>
  </r>
  <r>
    <d v="2024-03-09T00:00:00"/>
    <s v="D004"/>
    <s v="Southwest Organics"/>
    <s v="P003"/>
    <x v="2"/>
    <n v="32"/>
    <n v="31.8"/>
    <x v="0"/>
    <x v="0"/>
  </r>
  <r>
    <d v="2024-03-09T00:00:00"/>
    <s v="D004"/>
    <s v="Southwest Organics"/>
    <s v="P004"/>
    <x v="3"/>
    <n v="50"/>
    <n v="49"/>
    <x v="0"/>
    <x v="0"/>
  </r>
  <r>
    <d v="2024-03-09T00:00:00"/>
    <s v="D004"/>
    <s v="Southwest Organics"/>
    <s v="P005"/>
    <x v="4"/>
    <n v="38"/>
    <n v="39.9"/>
    <x v="0"/>
    <x v="0"/>
  </r>
  <r>
    <d v="2024-03-09T00:00:00"/>
    <s v="D004"/>
    <s v="Southwest Organics"/>
    <s v="P006"/>
    <x v="5"/>
    <n v="32"/>
    <n v="32.6"/>
    <x v="0"/>
    <x v="0"/>
  </r>
  <r>
    <d v="2024-03-09T00:00:00"/>
    <s v="D005"/>
    <s v="Great Lakes Dairy"/>
    <s v="P001"/>
    <x v="0"/>
    <n v="34"/>
    <n v="34.6"/>
    <x v="0"/>
    <x v="0"/>
  </r>
  <r>
    <d v="2024-03-09T00:00:00"/>
    <s v="D005"/>
    <s v="Great Lakes Dairy"/>
    <s v="P002"/>
    <x v="1"/>
    <n v="38"/>
    <n v="38.5"/>
    <x v="0"/>
    <x v="0"/>
  </r>
  <r>
    <d v="2024-03-09T00:00:00"/>
    <s v="D005"/>
    <s v="Great Lakes Dairy"/>
    <s v="P003"/>
    <x v="2"/>
    <n v="32"/>
    <n v="35"/>
    <x v="0"/>
    <x v="0"/>
  </r>
  <r>
    <d v="2024-03-09T00:00:00"/>
    <s v="D005"/>
    <s v="Great Lakes Dairy"/>
    <s v="P004"/>
    <x v="3"/>
    <n v="50"/>
    <n v="63.1"/>
    <x v="1"/>
    <x v="1"/>
  </r>
  <r>
    <d v="2024-03-09T00:00:00"/>
    <s v="D005"/>
    <s v="Great Lakes Dairy"/>
    <s v="P005"/>
    <x v="4"/>
    <n v="38"/>
    <n v="37.5"/>
    <x v="0"/>
    <x v="0"/>
  </r>
  <r>
    <d v="2024-03-09T00:00:00"/>
    <s v="D005"/>
    <s v="Great Lakes Dairy"/>
    <s v="P006"/>
    <x v="5"/>
    <n v="32"/>
    <n v="31.6"/>
    <x v="0"/>
    <x v="0"/>
  </r>
  <r>
    <d v="2024-03-10T00:00:00"/>
    <s v="D001"/>
    <s v="Green Valley Produce"/>
    <s v="P001"/>
    <x v="0"/>
    <n v="34"/>
    <n v="36.799999999999997"/>
    <x v="0"/>
    <x v="0"/>
  </r>
  <r>
    <d v="2024-03-10T00:00:00"/>
    <s v="D001"/>
    <s v="Green Valley Produce"/>
    <s v="P002"/>
    <x v="1"/>
    <n v="38"/>
    <n v="40"/>
    <x v="0"/>
    <x v="0"/>
  </r>
  <r>
    <d v="2024-03-10T00:00:00"/>
    <s v="D001"/>
    <s v="Green Valley Produce"/>
    <s v="P003"/>
    <x v="2"/>
    <n v="32"/>
    <n v="33.799999999999997"/>
    <x v="0"/>
    <x v="0"/>
  </r>
  <r>
    <d v="2024-03-10T00:00:00"/>
    <s v="D001"/>
    <s v="Green Valley Produce"/>
    <s v="P004"/>
    <x v="3"/>
    <n v="50"/>
    <n v="50.5"/>
    <x v="0"/>
    <x v="0"/>
  </r>
  <r>
    <d v="2024-03-10T00:00:00"/>
    <s v="D001"/>
    <s v="Green Valley Produce"/>
    <s v="P005"/>
    <x v="4"/>
    <n v="38"/>
    <n v="47.1"/>
    <x v="1"/>
    <x v="2"/>
  </r>
  <r>
    <d v="2024-03-10T00:00:00"/>
    <s v="D001"/>
    <s v="Green Valley Produce"/>
    <s v="P006"/>
    <x v="5"/>
    <n v="32"/>
    <n v="32"/>
    <x v="0"/>
    <x v="0"/>
  </r>
  <r>
    <d v="2024-03-10T00:00:00"/>
    <s v="D002"/>
    <s v="Fresh Coast Foods"/>
    <s v="P001"/>
    <x v="0"/>
    <n v="34"/>
    <n v="36.700000000000003"/>
    <x v="0"/>
    <x v="0"/>
  </r>
  <r>
    <d v="2024-03-10T00:00:00"/>
    <s v="D002"/>
    <s v="Fresh Coast Foods"/>
    <s v="P002"/>
    <x v="1"/>
    <n v="38"/>
    <n v="39.799999999999997"/>
    <x v="0"/>
    <x v="0"/>
  </r>
  <r>
    <d v="2024-03-10T00:00:00"/>
    <s v="D002"/>
    <s v="Fresh Coast Foods"/>
    <s v="P003"/>
    <x v="2"/>
    <n v="32"/>
    <n v="43.3"/>
    <x v="1"/>
    <x v="1"/>
  </r>
  <r>
    <d v="2024-03-10T00:00:00"/>
    <s v="D002"/>
    <s v="Fresh Coast Foods"/>
    <s v="P004"/>
    <x v="3"/>
    <n v="50"/>
    <n v="60.8"/>
    <x v="1"/>
    <x v="1"/>
  </r>
  <r>
    <d v="2024-03-10T00:00:00"/>
    <s v="D002"/>
    <s v="Fresh Coast Foods"/>
    <s v="P005"/>
    <x v="4"/>
    <n v="38"/>
    <n v="37.6"/>
    <x v="0"/>
    <x v="0"/>
  </r>
  <r>
    <d v="2024-03-10T00:00:00"/>
    <s v="D002"/>
    <s v="Fresh Coast Foods"/>
    <s v="P006"/>
    <x v="5"/>
    <n v="32"/>
    <n v="33.299999999999997"/>
    <x v="0"/>
    <x v="0"/>
  </r>
  <r>
    <d v="2024-03-10T00:00:00"/>
    <s v="D003"/>
    <s v="Heartland Meats"/>
    <s v="P001"/>
    <x v="0"/>
    <n v="34"/>
    <n v="33.6"/>
    <x v="0"/>
    <x v="0"/>
  </r>
  <r>
    <d v="2024-03-10T00:00:00"/>
    <s v="D003"/>
    <s v="Heartland Meats"/>
    <s v="P002"/>
    <x v="1"/>
    <n v="38"/>
    <n v="44.7"/>
    <x v="1"/>
    <x v="2"/>
  </r>
  <r>
    <d v="2024-03-10T00:00:00"/>
    <s v="D003"/>
    <s v="Heartland Meats"/>
    <s v="P003"/>
    <x v="2"/>
    <n v="32"/>
    <n v="32.5"/>
    <x v="0"/>
    <x v="0"/>
  </r>
  <r>
    <d v="2024-03-10T00:00:00"/>
    <s v="D003"/>
    <s v="Heartland Meats"/>
    <s v="P004"/>
    <x v="3"/>
    <n v="50"/>
    <n v="52.9"/>
    <x v="0"/>
    <x v="0"/>
  </r>
  <r>
    <d v="2024-03-10T00:00:00"/>
    <s v="D003"/>
    <s v="Heartland Meats"/>
    <s v="P005"/>
    <x v="4"/>
    <n v="38"/>
    <n v="51.3"/>
    <x v="1"/>
    <x v="1"/>
  </r>
  <r>
    <d v="2024-03-10T00:00:00"/>
    <s v="D003"/>
    <s v="Heartland Meats"/>
    <s v="P006"/>
    <x v="5"/>
    <n v="32"/>
    <n v="31.7"/>
    <x v="0"/>
    <x v="0"/>
  </r>
  <r>
    <d v="2024-03-10T00:00:00"/>
    <s v="D004"/>
    <s v="Southwest Organics"/>
    <s v="P001"/>
    <x v="0"/>
    <n v="34"/>
    <n v="35.799999999999997"/>
    <x v="0"/>
    <x v="0"/>
  </r>
  <r>
    <d v="2024-03-10T00:00:00"/>
    <s v="D004"/>
    <s v="Southwest Organics"/>
    <s v="P002"/>
    <x v="1"/>
    <n v="38"/>
    <n v="39.1"/>
    <x v="0"/>
    <x v="0"/>
  </r>
  <r>
    <d v="2024-03-10T00:00:00"/>
    <s v="D004"/>
    <s v="Southwest Organics"/>
    <s v="P003"/>
    <x v="2"/>
    <n v="32"/>
    <n v="33.299999999999997"/>
    <x v="0"/>
    <x v="0"/>
  </r>
  <r>
    <d v="2024-03-10T00:00:00"/>
    <s v="D004"/>
    <s v="Southwest Organics"/>
    <s v="P004"/>
    <x v="3"/>
    <n v="50"/>
    <n v="52"/>
    <x v="0"/>
    <x v="0"/>
  </r>
  <r>
    <d v="2024-03-10T00:00:00"/>
    <s v="D004"/>
    <s v="Southwest Organics"/>
    <s v="P005"/>
    <x v="4"/>
    <n v="38"/>
    <n v="40.5"/>
    <x v="0"/>
    <x v="0"/>
  </r>
  <r>
    <d v="2024-03-10T00:00:00"/>
    <s v="D004"/>
    <s v="Southwest Organics"/>
    <s v="P006"/>
    <x v="5"/>
    <n v="32"/>
    <n v="42.6"/>
    <x v="1"/>
    <x v="1"/>
  </r>
  <r>
    <d v="2024-03-10T00:00:00"/>
    <s v="D005"/>
    <s v="Great Lakes Dairy"/>
    <s v="P001"/>
    <x v="0"/>
    <n v="34"/>
    <n v="36.299999999999997"/>
    <x v="0"/>
    <x v="0"/>
  </r>
  <r>
    <d v="2024-03-10T00:00:00"/>
    <s v="D005"/>
    <s v="Great Lakes Dairy"/>
    <s v="P002"/>
    <x v="1"/>
    <n v="38"/>
    <n v="37.799999999999997"/>
    <x v="0"/>
    <x v="0"/>
  </r>
  <r>
    <d v="2024-03-10T00:00:00"/>
    <s v="D005"/>
    <s v="Great Lakes Dairy"/>
    <s v="P003"/>
    <x v="2"/>
    <n v="32"/>
    <n v="33.799999999999997"/>
    <x v="0"/>
    <x v="0"/>
  </r>
  <r>
    <d v="2024-03-10T00:00:00"/>
    <s v="D005"/>
    <s v="Great Lakes Dairy"/>
    <s v="P004"/>
    <x v="3"/>
    <n v="50"/>
    <n v="57.3"/>
    <x v="1"/>
    <x v="2"/>
  </r>
  <r>
    <d v="2024-03-10T00:00:00"/>
    <s v="D005"/>
    <s v="Great Lakes Dairy"/>
    <s v="P005"/>
    <x v="4"/>
    <n v="38"/>
    <n v="37.4"/>
    <x v="0"/>
    <x v="0"/>
  </r>
  <r>
    <d v="2024-03-10T00:00:00"/>
    <s v="D005"/>
    <s v="Great Lakes Dairy"/>
    <s v="P006"/>
    <x v="5"/>
    <n v="32"/>
    <n v="32.700000000000003"/>
    <x v="0"/>
    <x v="0"/>
  </r>
  <r>
    <d v="2024-03-11T00:00:00"/>
    <s v="D001"/>
    <s v="Green Valley Produce"/>
    <s v="P001"/>
    <x v="0"/>
    <n v="34"/>
    <n v="34.200000000000003"/>
    <x v="0"/>
    <x v="0"/>
  </r>
  <r>
    <d v="2024-03-11T00:00:00"/>
    <s v="D001"/>
    <s v="Green Valley Produce"/>
    <s v="P002"/>
    <x v="1"/>
    <n v="38"/>
    <n v="37.700000000000003"/>
    <x v="0"/>
    <x v="0"/>
  </r>
  <r>
    <d v="2024-03-11T00:00:00"/>
    <s v="D001"/>
    <s v="Green Valley Produce"/>
    <s v="P003"/>
    <x v="2"/>
    <n v="32"/>
    <n v="31.5"/>
    <x v="0"/>
    <x v="0"/>
  </r>
  <r>
    <d v="2024-03-11T00:00:00"/>
    <s v="D001"/>
    <s v="Green Valley Produce"/>
    <s v="P004"/>
    <x v="3"/>
    <n v="50"/>
    <n v="51"/>
    <x v="0"/>
    <x v="0"/>
  </r>
  <r>
    <d v="2024-03-11T00:00:00"/>
    <s v="D001"/>
    <s v="Green Valley Produce"/>
    <s v="P005"/>
    <x v="4"/>
    <n v="38"/>
    <n v="48.5"/>
    <x v="1"/>
    <x v="1"/>
  </r>
  <r>
    <d v="2024-03-11T00:00:00"/>
    <s v="D001"/>
    <s v="Green Valley Produce"/>
    <s v="P006"/>
    <x v="5"/>
    <n v="32"/>
    <n v="31.8"/>
    <x v="0"/>
    <x v="0"/>
  </r>
  <r>
    <d v="2024-03-11T00:00:00"/>
    <s v="D002"/>
    <s v="Fresh Coast Foods"/>
    <s v="P001"/>
    <x v="0"/>
    <n v="34"/>
    <n v="36.200000000000003"/>
    <x v="0"/>
    <x v="0"/>
  </r>
  <r>
    <d v="2024-03-11T00:00:00"/>
    <s v="D002"/>
    <s v="Fresh Coast Foods"/>
    <s v="P002"/>
    <x v="1"/>
    <n v="38"/>
    <n v="40.9"/>
    <x v="0"/>
    <x v="0"/>
  </r>
  <r>
    <d v="2024-03-11T00:00:00"/>
    <s v="D002"/>
    <s v="Fresh Coast Foods"/>
    <s v="P003"/>
    <x v="2"/>
    <n v="32"/>
    <n v="32.799999999999997"/>
    <x v="0"/>
    <x v="0"/>
  </r>
  <r>
    <d v="2024-03-11T00:00:00"/>
    <s v="D002"/>
    <s v="Fresh Coast Foods"/>
    <s v="P004"/>
    <x v="3"/>
    <n v="50"/>
    <n v="49.4"/>
    <x v="0"/>
    <x v="0"/>
  </r>
  <r>
    <d v="2024-03-11T00:00:00"/>
    <s v="D002"/>
    <s v="Fresh Coast Foods"/>
    <s v="P005"/>
    <x v="4"/>
    <n v="38"/>
    <n v="37.299999999999997"/>
    <x v="0"/>
    <x v="0"/>
  </r>
  <r>
    <d v="2024-03-11T00:00:00"/>
    <s v="D002"/>
    <s v="Fresh Coast Foods"/>
    <s v="P006"/>
    <x v="5"/>
    <n v="32"/>
    <n v="39"/>
    <x v="1"/>
    <x v="2"/>
  </r>
  <r>
    <d v="2024-03-11T00:00:00"/>
    <s v="D003"/>
    <s v="Heartland Meats"/>
    <s v="P001"/>
    <x v="0"/>
    <n v="34"/>
    <n v="40.200000000000003"/>
    <x v="1"/>
    <x v="2"/>
  </r>
  <r>
    <d v="2024-03-11T00:00:00"/>
    <s v="D003"/>
    <s v="Heartland Meats"/>
    <s v="P002"/>
    <x v="1"/>
    <n v="38"/>
    <n v="38.9"/>
    <x v="0"/>
    <x v="0"/>
  </r>
  <r>
    <d v="2024-03-11T00:00:00"/>
    <s v="D003"/>
    <s v="Heartland Meats"/>
    <s v="P003"/>
    <x v="2"/>
    <n v="32"/>
    <n v="31"/>
    <x v="0"/>
    <x v="0"/>
  </r>
  <r>
    <d v="2024-03-11T00:00:00"/>
    <s v="D003"/>
    <s v="Heartland Meats"/>
    <s v="P004"/>
    <x v="3"/>
    <n v="50"/>
    <n v="52.8"/>
    <x v="0"/>
    <x v="0"/>
  </r>
  <r>
    <d v="2024-03-11T00:00:00"/>
    <s v="D003"/>
    <s v="Heartland Meats"/>
    <s v="P005"/>
    <x v="4"/>
    <n v="38"/>
    <n v="40.200000000000003"/>
    <x v="0"/>
    <x v="0"/>
  </r>
  <r>
    <d v="2024-03-11T00:00:00"/>
    <s v="D003"/>
    <s v="Heartland Meats"/>
    <s v="P006"/>
    <x v="5"/>
    <n v="32"/>
    <n v="39.700000000000003"/>
    <x v="1"/>
    <x v="2"/>
  </r>
  <r>
    <d v="2024-03-11T00:00:00"/>
    <s v="D004"/>
    <s v="Southwest Organics"/>
    <s v="P001"/>
    <x v="0"/>
    <n v="34"/>
    <n v="34.5"/>
    <x v="0"/>
    <x v="0"/>
  </r>
  <r>
    <d v="2024-03-11T00:00:00"/>
    <s v="D004"/>
    <s v="Southwest Organics"/>
    <s v="P002"/>
    <x v="1"/>
    <n v="38"/>
    <n v="40.799999999999997"/>
    <x v="0"/>
    <x v="0"/>
  </r>
  <r>
    <d v="2024-03-11T00:00:00"/>
    <s v="D004"/>
    <s v="Southwest Organics"/>
    <s v="P003"/>
    <x v="2"/>
    <n v="32"/>
    <n v="32.9"/>
    <x v="0"/>
    <x v="0"/>
  </r>
  <r>
    <d v="2024-03-11T00:00:00"/>
    <s v="D004"/>
    <s v="Southwest Organics"/>
    <s v="P004"/>
    <x v="3"/>
    <n v="50"/>
    <n v="51.4"/>
    <x v="0"/>
    <x v="0"/>
  </r>
  <r>
    <d v="2024-03-11T00:00:00"/>
    <s v="D004"/>
    <s v="Southwest Organics"/>
    <s v="P005"/>
    <x v="4"/>
    <n v="38"/>
    <n v="39.700000000000003"/>
    <x v="0"/>
    <x v="0"/>
  </r>
  <r>
    <d v="2024-03-11T00:00:00"/>
    <s v="D004"/>
    <s v="Southwest Organics"/>
    <s v="P006"/>
    <x v="5"/>
    <n v="32"/>
    <n v="32.299999999999997"/>
    <x v="0"/>
    <x v="0"/>
  </r>
  <r>
    <d v="2024-03-11T00:00:00"/>
    <s v="D005"/>
    <s v="Great Lakes Dairy"/>
    <s v="P001"/>
    <x v="0"/>
    <n v="34"/>
    <n v="34.4"/>
    <x v="0"/>
    <x v="0"/>
  </r>
  <r>
    <d v="2024-03-11T00:00:00"/>
    <s v="D005"/>
    <s v="Great Lakes Dairy"/>
    <s v="P002"/>
    <x v="1"/>
    <n v="38"/>
    <n v="39.4"/>
    <x v="0"/>
    <x v="0"/>
  </r>
  <r>
    <d v="2024-03-11T00:00:00"/>
    <s v="D005"/>
    <s v="Great Lakes Dairy"/>
    <s v="P003"/>
    <x v="2"/>
    <n v="32"/>
    <n v="34.5"/>
    <x v="0"/>
    <x v="0"/>
  </r>
  <r>
    <d v="2024-03-11T00:00:00"/>
    <s v="D005"/>
    <s v="Great Lakes Dairy"/>
    <s v="P004"/>
    <x v="3"/>
    <n v="50"/>
    <n v="49"/>
    <x v="0"/>
    <x v="0"/>
  </r>
  <r>
    <d v="2024-03-11T00:00:00"/>
    <s v="D005"/>
    <s v="Great Lakes Dairy"/>
    <s v="P005"/>
    <x v="4"/>
    <n v="38"/>
    <n v="38.6"/>
    <x v="0"/>
    <x v="0"/>
  </r>
  <r>
    <d v="2024-03-11T00:00:00"/>
    <s v="D005"/>
    <s v="Great Lakes Dairy"/>
    <s v="P006"/>
    <x v="5"/>
    <n v="32"/>
    <n v="34.700000000000003"/>
    <x v="0"/>
    <x v="0"/>
  </r>
  <r>
    <d v="2024-03-12T00:00:00"/>
    <s v="D001"/>
    <s v="Green Valley Produce"/>
    <s v="P001"/>
    <x v="0"/>
    <n v="34"/>
    <n v="41"/>
    <x v="1"/>
    <x v="2"/>
  </r>
  <r>
    <d v="2024-03-12T00:00:00"/>
    <s v="D001"/>
    <s v="Green Valley Produce"/>
    <s v="P002"/>
    <x v="1"/>
    <n v="38"/>
    <n v="40.799999999999997"/>
    <x v="0"/>
    <x v="0"/>
  </r>
  <r>
    <d v="2024-03-12T00:00:00"/>
    <s v="D001"/>
    <s v="Green Valley Produce"/>
    <s v="P003"/>
    <x v="2"/>
    <n v="32"/>
    <n v="32"/>
    <x v="0"/>
    <x v="0"/>
  </r>
  <r>
    <d v="2024-03-12T00:00:00"/>
    <s v="D001"/>
    <s v="Green Valley Produce"/>
    <s v="P004"/>
    <x v="3"/>
    <n v="50"/>
    <n v="51.7"/>
    <x v="0"/>
    <x v="0"/>
  </r>
  <r>
    <d v="2024-03-12T00:00:00"/>
    <s v="D001"/>
    <s v="Green Valley Produce"/>
    <s v="P005"/>
    <x v="4"/>
    <n v="38"/>
    <n v="39.1"/>
    <x v="0"/>
    <x v="0"/>
  </r>
  <r>
    <d v="2024-03-12T00:00:00"/>
    <s v="D001"/>
    <s v="Green Valley Produce"/>
    <s v="P006"/>
    <x v="5"/>
    <n v="32"/>
    <n v="31"/>
    <x v="0"/>
    <x v="0"/>
  </r>
  <r>
    <d v="2024-03-12T00:00:00"/>
    <s v="D002"/>
    <s v="Fresh Coast Foods"/>
    <s v="P001"/>
    <x v="0"/>
    <n v="34"/>
    <n v="36.799999999999997"/>
    <x v="0"/>
    <x v="0"/>
  </r>
  <r>
    <d v="2024-03-12T00:00:00"/>
    <s v="D002"/>
    <s v="Fresh Coast Foods"/>
    <s v="P002"/>
    <x v="1"/>
    <n v="38"/>
    <n v="39.5"/>
    <x v="0"/>
    <x v="0"/>
  </r>
  <r>
    <d v="2024-03-12T00:00:00"/>
    <s v="D002"/>
    <s v="Fresh Coast Foods"/>
    <s v="P003"/>
    <x v="2"/>
    <n v="32"/>
    <n v="34.9"/>
    <x v="0"/>
    <x v="0"/>
  </r>
  <r>
    <d v="2024-03-12T00:00:00"/>
    <s v="D002"/>
    <s v="Fresh Coast Foods"/>
    <s v="P004"/>
    <x v="3"/>
    <n v="50"/>
    <n v="51.7"/>
    <x v="0"/>
    <x v="0"/>
  </r>
  <r>
    <d v="2024-03-12T00:00:00"/>
    <s v="D002"/>
    <s v="Fresh Coast Foods"/>
    <s v="P005"/>
    <x v="4"/>
    <n v="38"/>
    <n v="38.9"/>
    <x v="0"/>
    <x v="0"/>
  </r>
  <r>
    <d v="2024-03-12T00:00:00"/>
    <s v="D002"/>
    <s v="Fresh Coast Foods"/>
    <s v="P006"/>
    <x v="5"/>
    <n v="32"/>
    <n v="34.200000000000003"/>
    <x v="0"/>
    <x v="0"/>
  </r>
  <r>
    <d v="2024-03-12T00:00:00"/>
    <s v="D003"/>
    <s v="Heartland Meats"/>
    <s v="P001"/>
    <x v="0"/>
    <n v="34"/>
    <n v="36.799999999999997"/>
    <x v="0"/>
    <x v="0"/>
  </r>
  <r>
    <d v="2024-03-12T00:00:00"/>
    <s v="D003"/>
    <s v="Heartland Meats"/>
    <s v="P002"/>
    <x v="1"/>
    <n v="38"/>
    <n v="38.9"/>
    <x v="0"/>
    <x v="0"/>
  </r>
  <r>
    <d v="2024-03-12T00:00:00"/>
    <s v="D003"/>
    <s v="Heartland Meats"/>
    <s v="P003"/>
    <x v="2"/>
    <n v="32"/>
    <n v="33.799999999999997"/>
    <x v="0"/>
    <x v="0"/>
  </r>
  <r>
    <d v="2024-03-12T00:00:00"/>
    <s v="D003"/>
    <s v="Heartland Meats"/>
    <s v="P004"/>
    <x v="3"/>
    <n v="50"/>
    <n v="59.1"/>
    <x v="1"/>
    <x v="2"/>
  </r>
  <r>
    <d v="2024-03-12T00:00:00"/>
    <s v="D003"/>
    <s v="Heartland Meats"/>
    <s v="P005"/>
    <x v="4"/>
    <n v="38"/>
    <n v="39.799999999999997"/>
    <x v="0"/>
    <x v="0"/>
  </r>
  <r>
    <d v="2024-03-12T00:00:00"/>
    <s v="D003"/>
    <s v="Heartland Meats"/>
    <s v="P006"/>
    <x v="5"/>
    <n v="32"/>
    <n v="34.5"/>
    <x v="0"/>
    <x v="0"/>
  </r>
  <r>
    <d v="2024-03-12T00:00:00"/>
    <s v="D004"/>
    <s v="Southwest Organics"/>
    <s v="P001"/>
    <x v="0"/>
    <n v="34"/>
    <n v="35.9"/>
    <x v="0"/>
    <x v="0"/>
  </r>
  <r>
    <d v="2024-03-12T00:00:00"/>
    <s v="D004"/>
    <s v="Southwest Organics"/>
    <s v="P002"/>
    <x v="1"/>
    <n v="38"/>
    <n v="48"/>
    <x v="1"/>
    <x v="2"/>
  </r>
  <r>
    <d v="2024-03-12T00:00:00"/>
    <s v="D004"/>
    <s v="Southwest Organics"/>
    <s v="P003"/>
    <x v="2"/>
    <n v="32"/>
    <n v="44.7"/>
    <x v="1"/>
    <x v="1"/>
  </r>
  <r>
    <d v="2024-03-12T00:00:00"/>
    <s v="D004"/>
    <s v="Southwest Organics"/>
    <s v="P004"/>
    <x v="3"/>
    <n v="50"/>
    <n v="52.9"/>
    <x v="0"/>
    <x v="0"/>
  </r>
  <r>
    <d v="2024-03-12T00:00:00"/>
    <s v="D004"/>
    <s v="Southwest Organics"/>
    <s v="P005"/>
    <x v="4"/>
    <n v="38"/>
    <n v="40.6"/>
    <x v="0"/>
    <x v="0"/>
  </r>
  <r>
    <d v="2024-03-12T00:00:00"/>
    <s v="D004"/>
    <s v="Southwest Organics"/>
    <s v="P006"/>
    <x v="5"/>
    <n v="32"/>
    <n v="32.9"/>
    <x v="0"/>
    <x v="0"/>
  </r>
  <r>
    <d v="2024-03-12T00:00:00"/>
    <s v="D005"/>
    <s v="Great Lakes Dairy"/>
    <s v="P001"/>
    <x v="0"/>
    <n v="34"/>
    <n v="34"/>
    <x v="0"/>
    <x v="0"/>
  </r>
  <r>
    <d v="2024-03-12T00:00:00"/>
    <s v="D005"/>
    <s v="Great Lakes Dairy"/>
    <s v="P002"/>
    <x v="1"/>
    <n v="38"/>
    <n v="51.6"/>
    <x v="1"/>
    <x v="1"/>
  </r>
  <r>
    <d v="2024-03-12T00:00:00"/>
    <s v="D005"/>
    <s v="Great Lakes Dairy"/>
    <s v="P003"/>
    <x v="2"/>
    <n v="32"/>
    <n v="31.4"/>
    <x v="0"/>
    <x v="0"/>
  </r>
  <r>
    <d v="2024-03-12T00:00:00"/>
    <s v="D005"/>
    <s v="Great Lakes Dairy"/>
    <s v="P004"/>
    <x v="3"/>
    <n v="50"/>
    <n v="49.1"/>
    <x v="0"/>
    <x v="0"/>
  </r>
  <r>
    <d v="2024-03-12T00:00:00"/>
    <s v="D005"/>
    <s v="Great Lakes Dairy"/>
    <s v="P005"/>
    <x v="4"/>
    <n v="38"/>
    <n v="38.299999999999997"/>
    <x v="0"/>
    <x v="0"/>
  </r>
  <r>
    <d v="2024-03-12T00:00:00"/>
    <s v="D005"/>
    <s v="Great Lakes Dairy"/>
    <s v="P006"/>
    <x v="5"/>
    <n v="32"/>
    <n v="32.1"/>
    <x v="0"/>
    <x v="0"/>
  </r>
  <r>
    <d v="2024-03-13T00:00:00"/>
    <s v="D001"/>
    <s v="Green Valley Produce"/>
    <s v="P001"/>
    <x v="0"/>
    <n v="34"/>
    <n v="35.700000000000003"/>
    <x v="0"/>
    <x v="0"/>
  </r>
  <r>
    <d v="2024-03-13T00:00:00"/>
    <s v="D001"/>
    <s v="Green Valley Produce"/>
    <s v="P002"/>
    <x v="1"/>
    <n v="38"/>
    <n v="39.700000000000003"/>
    <x v="0"/>
    <x v="0"/>
  </r>
  <r>
    <d v="2024-03-13T00:00:00"/>
    <s v="D001"/>
    <s v="Green Valley Produce"/>
    <s v="P003"/>
    <x v="2"/>
    <n v="32"/>
    <n v="34.700000000000003"/>
    <x v="0"/>
    <x v="0"/>
  </r>
  <r>
    <d v="2024-03-13T00:00:00"/>
    <s v="D001"/>
    <s v="Green Valley Produce"/>
    <s v="P004"/>
    <x v="3"/>
    <n v="50"/>
    <n v="51"/>
    <x v="0"/>
    <x v="0"/>
  </r>
  <r>
    <d v="2024-03-13T00:00:00"/>
    <s v="D001"/>
    <s v="Green Valley Produce"/>
    <s v="P005"/>
    <x v="4"/>
    <n v="38"/>
    <n v="38.299999999999997"/>
    <x v="0"/>
    <x v="0"/>
  </r>
  <r>
    <d v="2024-03-13T00:00:00"/>
    <s v="D001"/>
    <s v="Green Valley Produce"/>
    <s v="P006"/>
    <x v="5"/>
    <n v="32"/>
    <n v="33.299999999999997"/>
    <x v="0"/>
    <x v="0"/>
  </r>
  <r>
    <d v="2024-03-13T00:00:00"/>
    <s v="D002"/>
    <s v="Fresh Coast Foods"/>
    <s v="P001"/>
    <x v="0"/>
    <n v="34"/>
    <n v="33.299999999999997"/>
    <x v="0"/>
    <x v="0"/>
  </r>
  <r>
    <d v="2024-03-13T00:00:00"/>
    <s v="D002"/>
    <s v="Fresh Coast Foods"/>
    <s v="P002"/>
    <x v="1"/>
    <n v="38"/>
    <n v="40.6"/>
    <x v="0"/>
    <x v="0"/>
  </r>
  <r>
    <d v="2024-03-13T00:00:00"/>
    <s v="D002"/>
    <s v="Fresh Coast Foods"/>
    <s v="P003"/>
    <x v="2"/>
    <n v="32"/>
    <n v="33.9"/>
    <x v="0"/>
    <x v="0"/>
  </r>
  <r>
    <d v="2024-03-13T00:00:00"/>
    <s v="D002"/>
    <s v="Fresh Coast Foods"/>
    <s v="P004"/>
    <x v="3"/>
    <n v="50"/>
    <n v="52.1"/>
    <x v="0"/>
    <x v="0"/>
  </r>
  <r>
    <d v="2024-03-13T00:00:00"/>
    <s v="D002"/>
    <s v="Fresh Coast Foods"/>
    <s v="P005"/>
    <x v="4"/>
    <n v="38"/>
    <n v="38.700000000000003"/>
    <x v="0"/>
    <x v="0"/>
  </r>
  <r>
    <d v="2024-03-13T00:00:00"/>
    <s v="D002"/>
    <s v="Fresh Coast Foods"/>
    <s v="P006"/>
    <x v="5"/>
    <n v="32"/>
    <n v="32"/>
    <x v="0"/>
    <x v="0"/>
  </r>
  <r>
    <d v="2024-03-13T00:00:00"/>
    <s v="D003"/>
    <s v="Heartland Meats"/>
    <s v="P001"/>
    <x v="0"/>
    <n v="34"/>
    <n v="33.4"/>
    <x v="0"/>
    <x v="0"/>
  </r>
  <r>
    <d v="2024-03-13T00:00:00"/>
    <s v="D003"/>
    <s v="Heartland Meats"/>
    <s v="P002"/>
    <x v="1"/>
    <n v="38"/>
    <n v="39.4"/>
    <x v="0"/>
    <x v="0"/>
  </r>
  <r>
    <d v="2024-03-13T00:00:00"/>
    <s v="D003"/>
    <s v="Heartland Meats"/>
    <s v="P003"/>
    <x v="2"/>
    <n v="32"/>
    <n v="34.799999999999997"/>
    <x v="0"/>
    <x v="0"/>
  </r>
  <r>
    <d v="2024-03-13T00:00:00"/>
    <s v="D003"/>
    <s v="Heartland Meats"/>
    <s v="P004"/>
    <x v="3"/>
    <n v="50"/>
    <n v="49.5"/>
    <x v="0"/>
    <x v="0"/>
  </r>
  <r>
    <d v="2024-03-13T00:00:00"/>
    <s v="D003"/>
    <s v="Heartland Meats"/>
    <s v="P005"/>
    <x v="4"/>
    <n v="38"/>
    <n v="38.5"/>
    <x v="0"/>
    <x v="0"/>
  </r>
  <r>
    <d v="2024-03-13T00:00:00"/>
    <s v="D003"/>
    <s v="Heartland Meats"/>
    <s v="P006"/>
    <x v="5"/>
    <n v="32"/>
    <n v="32.200000000000003"/>
    <x v="0"/>
    <x v="0"/>
  </r>
  <r>
    <d v="2024-03-13T00:00:00"/>
    <s v="D004"/>
    <s v="Southwest Organics"/>
    <s v="P001"/>
    <x v="0"/>
    <n v="34"/>
    <n v="33.799999999999997"/>
    <x v="0"/>
    <x v="0"/>
  </r>
  <r>
    <d v="2024-03-13T00:00:00"/>
    <s v="D004"/>
    <s v="Southwest Organics"/>
    <s v="P002"/>
    <x v="1"/>
    <n v="38"/>
    <n v="38.700000000000003"/>
    <x v="0"/>
    <x v="0"/>
  </r>
  <r>
    <d v="2024-03-13T00:00:00"/>
    <s v="D004"/>
    <s v="Southwest Organics"/>
    <s v="P003"/>
    <x v="2"/>
    <n v="32"/>
    <n v="34.200000000000003"/>
    <x v="0"/>
    <x v="0"/>
  </r>
  <r>
    <d v="2024-03-13T00:00:00"/>
    <s v="D004"/>
    <s v="Southwest Organics"/>
    <s v="P004"/>
    <x v="3"/>
    <n v="50"/>
    <n v="49.5"/>
    <x v="0"/>
    <x v="0"/>
  </r>
  <r>
    <d v="2024-03-13T00:00:00"/>
    <s v="D004"/>
    <s v="Southwest Organics"/>
    <s v="P005"/>
    <x v="4"/>
    <n v="38"/>
    <n v="39.4"/>
    <x v="0"/>
    <x v="0"/>
  </r>
  <r>
    <d v="2024-03-13T00:00:00"/>
    <s v="D004"/>
    <s v="Southwest Organics"/>
    <s v="P006"/>
    <x v="5"/>
    <n v="32"/>
    <n v="38.1"/>
    <x v="1"/>
    <x v="2"/>
  </r>
  <r>
    <d v="2024-03-13T00:00:00"/>
    <s v="D005"/>
    <s v="Great Lakes Dairy"/>
    <s v="P001"/>
    <x v="0"/>
    <n v="34"/>
    <n v="34.299999999999997"/>
    <x v="0"/>
    <x v="0"/>
  </r>
  <r>
    <d v="2024-03-13T00:00:00"/>
    <s v="D005"/>
    <s v="Great Lakes Dairy"/>
    <s v="P002"/>
    <x v="1"/>
    <n v="38"/>
    <n v="38.200000000000003"/>
    <x v="0"/>
    <x v="0"/>
  </r>
  <r>
    <d v="2024-03-13T00:00:00"/>
    <s v="D005"/>
    <s v="Great Lakes Dairy"/>
    <s v="P003"/>
    <x v="2"/>
    <n v="32"/>
    <n v="33.700000000000003"/>
    <x v="0"/>
    <x v="0"/>
  </r>
  <r>
    <d v="2024-03-13T00:00:00"/>
    <s v="D005"/>
    <s v="Great Lakes Dairy"/>
    <s v="P004"/>
    <x v="3"/>
    <n v="50"/>
    <n v="58.3"/>
    <x v="1"/>
    <x v="2"/>
  </r>
  <r>
    <d v="2024-03-13T00:00:00"/>
    <s v="D005"/>
    <s v="Great Lakes Dairy"/>
    <s v="P005"/>
    <x v="4"/>
    <n v="38"/>
    <n v="40.4"/>
    <x v="0"/>
    <x v="0"/>
  </r>
  <r>
    <d v="2024-03-13T00:00:00"/>
    <s v="D005"/>
    <s v="Great Lakes Dairy"/>
    <s v="P006"/>
    <x v="5"/>
    <n v="32"/>
    <n v="31.1"/>
    <x v="0"/>
    <x v="0"/>
  </r>
  <r>
    <d v="2024-03-14T00:00:00"/>
    <s v="D001"/>
    <s v="Green Valley Produce"/>
    <s v="P001"/>
    <x v="0"/>
    <n v="34"/>
    <n v="35"/>
    <x v="0"/>
    <x v="0"/>
  </r>
  <r>
    <d v="2024-03-14T00:00:00"/>
    <s v="D001"/>
    <s v="Green Valley Produce"/>
    <s v="P002"/>
    <x v="1"/>
    <n v="38"/>
    <n v="38.1"/>
    <x v="0"/>
    <x v="0"/>
  </r>
  <r>
    <d v="2024-03-14T00:00:00"/>
    <s v="D001"/>
    <s v="Green Valley Produce"/>
    <s v="P003"/>
    <x v="2"/>
    <n v="32"/>
    <n v="33.299999999999997"/>
    <x v="0"/>
    <x v="0"/>
  </r>
  <r>
    <d v="2024-03-14T00:00:00"/>
    <s v="D001"/>
    <s v="Green Valley Produce"/>
    <s v="P004"/>
    <x v="3"/>
    <n v="50"/>
    <n v="49.9"/>
    <x v="0"/>
    <x v="0"/>
  </r>
  <r>
    <d v="2024-03-14T00:00:00"/>
    <s v="D001"/>
    <s v="Green Valley Produce"/>
    <s v="P005"/>
    <x v="4"/>
    <n v="38"/>
    <n v="40.9"/>
    <x v="0"/>
    <x v="0"/>
  </r>
  <r>
    <d v="2024-03-14T00:00:00"/>
    <s v="D001"/>
    <s v="Green Valley Produce"/>
    <s v="P006"/>
    <x v="5"/>
    <n v="32"/>
    <n v="44.5"/>
    <x v="1"/>
    <x v="1"/>
  </r>
  <r>
    <d v="2024-03-14T00:00:00"/>
    <s v="D002"/>
    <s v="Fresh Coast Foods"/>
    <s v="P001"/>
    <x v="0"/>
    <n v="34"/>
    <n v="45.7"/>
    <x v="1"/>
    <x v="1"/>
  </r>
  <r>
    <d v="2024-03-14T00:00:00"/>
    <s v="D002"/>
    <s v="Fresh Coast Foods"/>
    <s v="P002"/>
    <x v="1"/>
    <n v="38"/>
    <n v="40.700000000000003"/>
    <x v="0"/>
    <x v="0"/>
  </r>
  <r>
    <d v="2024-03-14T00:00:00"/>
    <s v="D002"/>
    <s v="Fresh Coast Foods"/>
    <s v="P003"/>
    <x v="2"/>
    <n v="32"/>
    <n v="33.9"/>
    <x v="0"/>
    <x v="0"/>
  </r>
  <r>
    <d v="2024-03-14T00:00:00"/>
    <s v="D002"/>
    <s v="Fresh Coast Foods"/>
    <s v="P004"/>
    <x v="3"/>
    <n v="50"/>
    <n v="52.1"/>
    <x v="0"/>
    <x v="0"/>
  </r>
  <r>
    <d v="2024-03-14T00:00:00"/>
    <s v="D002"/>
    <s v="Fresh Coast Foods"/>
    <s v="P005"/>
    <x v="4"/>
    <n v="38"/>
    <n v="39.9"/>
    <x v="0"/>
    <x v="0"/>
  </r>
  <r>
    <d v="2024-03-14T00:00:00"/>
    <s v="D002"/>
    <s v="Fresh Coast Foods"/>
    <s v="P006"/>
    <x v="5"/>
    <n v="32"/>
    <n v="34.299999999999997"/>
    <x v="0"/>
    <x v="0"/>
  </r>
  <r>
    <d v="2024-03-14T00:00:00"/>
    <s v="D003"/>
    <s v="Heartland Meats"/>
    <s v="P001"/>
    <x v="0"/>
    <n v="34"/>
    <n v="33.6"/>
    <x v="0"/>
    <x v="0"/>
  </r>
  <r>
    <d v="2024-03-14T00:00:00"/>
    <s v="D003"/>
    <s v="Heartland Meats"/>
    <s v="P002"/>
    <x v="1"/>
    <n v="38"/>
    <n v="47.1"/>
    <x v="1"/>
    <x v="2"/>
  </r>
  <r>
    <d v="2024-03-14T00:00:00"/>
    <s v="D003"/>
    <s v="Heartland Meats"/>
    <s v="P003"/>
    <x v="2"/>
    <n v="32"/>
    <n v="32.9"/>
    <x v="0"/>
    <x v="0"/>
  </r>
  <r>
    <d v="2024-03-14T00:00:00"/>
    <s v="D003"/>
    <s v="Heartland Meats"/>
    <s v="P004"/>
    <x v="3"/>
    <n v="50"/>
    <n v="50.6"/>
    <x v="0"/>
    <x v="0"/>
  </r>
  <r>
    <d v="2024-03-14T00:00:00"/>
    <s v="D003"/>
    <s v="Heartland Meats"/>
    <s v="P005"/>
    <x v="4"/>
    <n v="38"/>
    <n v="49.8"/>
    <x v="1"/>
    <x v="1"/>
  </r>
  <r>
    <d v="2024-03-14T00:00:00"/>
    <s v="D003"/>
    <s v="Heartland Meats"/>
    <s v="P006"/>
    <x v="5"/>
    <n v="32"/>
    <n v="34.700000000000003"/>
    <x v="0"/>
    <x v="0"/>
  </r>
  <r>
    <d v="2024-03-14T00:00:00"/>
    <s v="D004"/>
    <s v="Southwest Organics"/>
    <s v="P001"/>
    <x v="0"/>
    <n v="34"/>
    <n v="35.200000000000003"/>
    <x v="0"/>
    <x v="0"/>
  </r>
  <r>
    <d v="2024-03-14T00:00:00"/>
    <s v="D004"/>
    <s v="Southwest Organics"/>
    <s v="P002"/>
    <x v="1"/>
    <n v="38"/>
    <n v="46.6"/>
    <x v="1"/>
    <x v="2"/>
  </r>
  <r>
    <d v="2024-03-14T00:00:00"/>
    <s v="D004"/>
    <s v="Southwest Organics"/>
    <s v="P003"/>
    <x v="2"/>
    <n v="32"/>
    <n v="34.5"/>
    <x v="0"/>
    <x v="0"/>
  </r>
  <r>
    <d v="2024-03-14T00:00:00"/>
    <s v="D004"/>
    <s v="Southwest Organics"/>
    <s v="P004"/>
    <x v="3"/>
    <n v="50"/>
    <n v="63.5"/>
    <x v="1"/>
    <x v="1"/>
  </r>
  <r>
    <d v="2024-03-14T00:00:00"/>
    <s v="D004"/>
    <s v="Southwest Organics"/>
    <s v="P005"/>
    <x v="4"/>
    <n v="38"/>
    <n v="39.6"/>
    <x v="0"/>
    <x v="0"/>
  </r>
  <r>
    <d v="2024-03-14T00:00:00"/>
    <s v="D004"/>
    <s v="Southwest Organics"/>
    <s v="P006"/>
    <x v="5"/>
    <n v="32"/>
    <n v="32.799999999999997"/>
    <x v="0"/>
    <x v="0"/>
  </r>
  <r>
    <d v="2024-03-14T00:00:00"/>
    <s v="D005"/>
    <s v="Great Lakes Dairy"/>
    <s v="P001"/>
    <x v="0"/>
    <n v="34"/>
    <n v="36.6"/>
    <x v="0"/>
    <x v="0"/>
  </r>
  <r>
    <d v="2024-03-14T00:00:00"/>
    <s v="D005"/>
    <s v="Great Lakes Dairy"/>
    <s v="P002"/>
    <x v="1"/>
    <n v="38"/>
    <n v="40.200000000000003"/>
    <x v="0"/>
    <x v="0"/>
  </r>
  <r>
    <d v="2024-03-14T00:00:00"/>
    <s v="D005"/>
    <s v="Great Lakes Dairy"/>
    <s v="P003"/>
    <x v="2"/>
    <n v="32"/>
    <n v="33.6"/>
    <x v="0"/>
    <x v="0"/>
  </r>
  <r>
    <d v="2024-03-14T00:00:00"/>
    <s v="D005"/>
    <s v="Great Lakes Dairy"/>
    <s v="P004"/>
    <x v="3"/>
    <n v="50"/>
    <n v="52.4"/>
    <x v="0"/>
    <x v="0"/>
  </r>
  <r>
    <d v="2024-03-14T00:00:00"/>
    <s v="D005"/>
    <s v="Great Lakes Dairy"/>
    <s v="P005"/>
    <x v="4"/>
    <n v="38"/>
    <n v="50.3"/>
    <x v="1"/>
    <x v="1"/>
  </r>
  <r>
    <d v="2024-03-14T00:00:00"/>
    <s v="D005"/>
    <s v="Great Lakes Dairy"/>
    <s v="P006"/>
    <x v="5"/>
    <n v="32"/>
    <n v="32.5"/>
    <x v="0"/>
    <x v="0"/>
  </r>
  <r>
    <d v="2024-03-15T00:00:00"/>
    <s v="D001"/>
    <s v="Green Valley Produce"/>
    <s v="P001"/>
    <x v="0"/>
    <n v="34"/>
    <n v="35.700000000000003"/>
    <x v="0"/>
    <x v="0"/>
  </r>
  <r>
    <d v="2024-03-15T00:00:00"/>
    <s v="D001"/>
    <s v="Green Valley Produce"/>
    <s v="P002"/>
    <x v="1"/>
    <n v="38"/>
    <n v="44.5"/>
    <x v="1"/>
    <x v="2"/>
  </r>
  <r>
    <d v="2024-03-15T00:00:00"/>
    <s v="D001"/>
    <s v="Green Valley Produce"/>
    <s v="P003"/>
    <x v="2"/>
    <n v="32"/>
    <n v="32.9"/>
    <x v="0"/>
    <x v="0"/>
  </r>
  <r>
    <d v="2024-03-15T00:00:00"/>
    <s v="D001"/>
    <s v="Green Valley Produce"/>
    <s v="P004"/>
    <x v="3"/>
    <n v="50"/>
    <n v="49.5"/>
    <x v="0"/>
    <x v="0"/>
  </r>
  <r>
    <d v="2024-03-15T00:00:00"/>
    <s v="D001"/>
    <s v="Green Valley Produce"/>
    <s v="P005"/>
    <x v="4"/>
    <n v="38"/>
    <n v="38.4"/>
    <x v="0"/>
    <x v="0"/>
  </r>
  <r>
    <d v="2024-03-15T00:00:00"/>
    <s v="D001"/>
    <s v="Green Valley Produce"/>
    <s v="P006"/>
    <x v="5"/>
    <n v="32"/>
    <n v="31.6"/>
    <x v="0"/>
    <x v="0"/>
  </r>
  <r>
    <d v="2024-03-15T00:00:00"/>
    <s v="D002"/>
    <s v="Fresh Coast Foods"/>
    <s v="P001"/>
    <x v="0"/>
    <n v="34"/>
    <n v="34"/>
    <x v="0"/>
    <x v="0"/>
  </r>
  <r>
    <d v="2024-03-15T00:00:00"/>
    <s v="D002"/>
    <s v="Fresh Coast Foods"/>
    <s v="P002"/>
    <x v="1"/>
    <n v="38"/>
    <n v="47.2"/>
    <x v="1"/>
    <x v="2"/>
  </r>
  <r>
    <d v="2024-03-15T00:00:00"/>
    <s v="D002"/>
    <s v="Fresh Coast Foods"/>
    <s v="P003"/>
    <x v="2"/>
    <n v="32"/>
    <n v="33.4"/>
    <x v="0"/>
    <x v="0"/>
  </r>
  <r>
    <d v="2024-03-15T00:00:00"/>
    <s v="D002"/>
    <s v="Fresh Coast Foods"/>
    <s v="P004"/>
    <x v="3"/>
    <n v="50"/>
    <n v="62"/>
    <x v="1"/>
    <x v="1"/>
  </r>
  <r>
    <d v="2024-03-15T00:00:00"/>
    <s v="D002"/>
    <s v="Fresh Coast Foods"/>
    <s v="P005"/>
    <x v="4"/>
    <n v="38"/>
    <n v="41"/>
    <x v="0"/>
    <x v="0"/>
  </r>
  <r>
    <d v="2024-03-15T00:00:00"/>
    <s v="D002"/>
    <s v="Fresh Coast Foods"/>
    <s v="P006"/>
    <x v="5"/>
    <n v="32"/>
    <n v="31.4"/>
    <x v="0"/>
    <x v="0"/>
  </r>
  <r>
    <d v="2024-03-15T00:00:00"/>
    <s v="D003"/>
    <s v="Heartland Meats"/>
    <s v="P001"/>
    <x v="0"/>
    <n v="34"/>
    <n v="36.299999999999997"/>
    <x v="0"/>
    <x v="0"/>
  </r>
  <r>
    <d v="2024-03-15T00:00:00"/>
    <s v="D003"/>
    <s v="Heartland Meats"/>
    <s v="P002"/>
    <x v="1"/>
    <n v="38"/>
    <n v="39.5"/>
    <x v="0"/>
    <x v="0"/>
  </r>
  <r>
    <d v="2024-03-15T00:00:00"/>
    <s v="D003"/>
    <s v="Heartland Meats"/>
    <s v="P003"/>
    <x v="2"/>
    <n v="32"/>
    <n v="31"/>
    <x v="0"/>
    <x v="0"/>
  </r>
  <r>
    <d v="2024-03-15T00:00:00"/>
    <s v="D003"/>
    <s v="Heartland Meats"/>
    <s v="P004"/>
    <x v="3"/>
    <n v="50"/>
    <n v="57"/>
    <x v="1"/>
    <x v="2"/>
  </r>
  <r>
    <d v="2024-03-15T00:00:00"/>
    <s v="D003"/>
    <s v="Heartland Meats"/>
    <s v="P005"/>
    <x v="4"/>
    <n v="38"/>
    <n v="40.6"/>
    <x v="0"/>
    <x v="0"/>
  </r>
  <r>
    <d v="2024-03-15T00:00:00"/>
    <s v="D003"/>
    <s v="Heartland Meats"/>
    <s v="P006"/>
    <x v="5"/>
    <n v="32"/>
    <n v="33.299999999999997"/>
    <x v="0"/>
    <x v="0"/>
  </r>
  <r>
    <d v="2024-03-15T00:00:00"/>
    <s v="D004"/>
    <s v="Southwest Organics"/>
    <s v="P001"/>
    <x v="0"/>
    <n v="34"/>
    <n v="34.9"/>
    <x v="0"/>
    <x v="0"/>
  </r>
  <r>
    <d v="2024-03-15T00:00:00"/>
    <s v="D004"/>
    <s v="Southwest Organics"/>
    <s v="P002"/>
    <x v="1"/>
    <n v="38"/>
    <n v="37.4"/>
    <x v="0"/>
    <x v="0"/>
  </r>
  <r>
    <d v="2024-03-15T00:00:00"/>
    <s v="D004"/>
    <s v="Southwest Organics"/>
    <s v="P003"/>
    <x v="2"/>
    <n v="32"/>
    <n v="32.5"/>
    <x v="0"/>
    <x v="0"/>
  </r>
  <r>
    <d v="2024-03-15T00:00:00"/>
    <s v="D004"/>
    <s v="Southwest Organics"/>
    <s v="P004"/>
    <x v="3"/>
    <n v="50"/>
    <n v="51.8"/>
    <x v="0"/>
    <x v="0"/>
  </r>
  <r>
    <d v="2024-03-15T00:00:00"/>
    <s v="D004"/>
    <s v="Southwest Organics"/>
    <s v="P005"/>
    <x v="4"/>
    <n v="38"/>
    <n v="37.5"/>
    <x v="0"/>
    <x v="0"/>
  </r>
  <r>
    <d v="2024-03-15T00:00:00"/>
    <s v="D004"/>
    <s v="Southwest Organics"/>
    <s v="P006"/>
    <x v="5"/>
    <n v="32"/>
    <n v="33.9"/>
    <x v="0"/>
    <x v="0"/>
  </r>
  <r>
    <d v="2024-03-15T00:00:00"/>
    <s v="D005"/>
    <s v="Great Lakes Dairy"/>
    <s v="P001"/>
    <x v="0"/>
    <n v="34"/>
    <n v="35.200000000000003"/>
    <x v="0"/>
    <x v="0"/>
  </r>
  <r>
    <d v="2024-03-15T00:00:00"/>
    <s v="D005"/>
    <s v="Great Lakes Dairy"/>
    <s v="P002"/>
    <x v="1"/>
    <n v="38"/>
    <n v="39.799999999999997"/>
    <x v="0"/>
    <x v="0"/>
  </r>
  <r>
    <d v="2024-03-15T00:00:00"/>
    <s v="D005"/>
    <s v="Great Lakes Dairy"/>
    <s v="P003"/>
    <x v="2"/>
    <n v="32"/>
    <n v="34.299999999999997"/>
    <x v="0"/>
    <x v="0"/>
  </r>
  <r>
    <d v="2024-03-15T00:00:00"/>
    <s v="D005"/>
    <s v="Great Lakes Dairy"/>
    <s v="P004"/>
    <x v="3"/>
    <n v="50"/>
    <n v="51.1"/>
    <x v="0"/>
    <x v="0"/>
  </r>
  <r>
    <d v="2024-03-15T00:00:00"/>
    <s v="D005"/>
    <s v="Great Lakes Dairy"/>
    <s v="P005"/>
    <x v="4"/>
    <n v="38"/>
    <n v="50.7"/>
    <x v="1"/>
    <x v="1"/>
  </r>
  <r>
    <d v="2024-03-15T00:00:00"/>
    <s v="D005"/>
    <s v="Great Lakes Dairy"/>
    <s v="P006"/>
    <x v="5"/>
    <n v="32"/>
    <n v="34.299999999999997"/>
    <x v="0"/>
    <x v="0"/>
  </r>
  <r>
    <d v="2024-03-16T00:00:00"/>
    <s v="D001"/>
    <s v="Green Valley Produce"/>
    <s v="P001"/>
    <x v="0"/>
    <n v="34"/>
    <n v="36"/>
    <x v="0"/>
    <x v="0"/>
  </r>
  <r>
    <d v="2024-03-16T00:00:00"/>
    <s v="D001"/>
    <s v="Green Valley Produce"/>
    <s v="P002"/>
    <x v="1"/>
    <n v="38"/>
    <n v="39.6"/>
    <x v="0"/>
    <x v="0"/>
  </r>
  <r>
    <d v="2024-03-16T00:00:00"/>
    <s v="D001"/>
    <s v="Green Valley Produce"/>
    <s v="P003"/>
    <x v="2"/>
    <n v="32"/>
    <n v="44.9"/>
    <x v="1"/>
    <x v="1"/>
  </r>
  <r>
    <d v="2024-03-16T00:00:00"/>
    <s v="D001"/>
    <s v="Green Valley Produce"/>
    <s v="P004"/>
    <x v="3"/>
    <n v="50"/>
    <n v="49"/>
    <x v="0"/>
    <x v="0"/>
  </r>
  <r>
    <d v="2024-03-16T00:00:00"/>
    <s v="D001"/>
    <s v="Green Valley Produce"/>
    <s v="P005"/>
    <x v="4"/>
    <n v="38"/>
    <n v="38.299999999999997"/>
    <x v="0"/>
    <x v="0"/>
  </r>
  <r>
    <d v="2024-03-16T00:00:00"/>
    <s v="D001"/>
    <s v="Green Valley Produce"/>
    <s v="P006"/>
    <x v="5"/>
    <n v="32"/>
    <n v="42.6"/>
    <x v="1"/>
    <x v="1"/>
  </r>
  <r>
    <d v="2024-03-16T00:00:00"/>
    <s v="D002"/>
    <s v="Fresh Coast Foods"/>
    <s v="P001"/>
    <x v="0"/>
    <n v="34"/>
    <n v="33.4"/>
    <x v="0"/>
    <x v="0"/>
  </r>
  <r>
    <d v="2024-03-16T00:00:00"/>
    <s v="D002"/>
    <s v="Fresh Coast Foods"/>
    <s v="P002"/>
    <x v="1"/>
    <n v="38"/>
    <n v="40"/>
    <x v="0"/>
    <x v="0"/>
  </r>
  <r>
    <d v="2024-03-16T00:00:00"/>
    <s v="D002"/>
    <s v="Fresh Coast Foods"/>
    <s v="P003"/>
    <x v="2"/>
    <n v="32"/>
    <n v="39"/>
    <x v="1"/>
    <x v="2"/>
  </r>
  <r>
    <d v="2024-03-16T00:00:00"/>
    <s v="D002"/>
    <s v="Fresh Coast Foods"/>
    <s v="P004"/>
    <x v="3"/>
    <n v="50"/>
    <n v="52.9"/>
    <x v="0"/>
    <x v="0"/>
  </r>
  <r>
    <d v="2024-03-16T00:00:00"/>
    <s v="D002"/>
    <s v="Fresh Coast Foods"/>
    <s v="P005"/>
    <x v="4"/>
    <n v="38"/>
    <n v="51.8"/>
    <x v="1"/>
    <x v="1"/>
  </r>
  <r>
    <d v="2024-03-16T00:00:00"/>
    <s v="D002"/>
    <s v="Fresh Coast Foods"/>
    <s v="P006"/>
    <x v="5"/>
    <n v="32"/>
    <n v="32"/>
    <x v="0"/>
    <x v="0"/>
  </r>
  <r>
    <d v="2024-03-16T00:00:00"/>
    <s v="D003"/>
    <s v="Heartland Meats"/>
    <s v="P001"/>
    <x v="0"/>
    <n v="34"/>
    <n v="47.6"/>
    <x v="1"/>
    <x v="1"/>
  </r>
  <r>
    <d v="2024-03-16T00:00:00"/>
    <s v="D003"/>
    <s v="Heartland Meats"/>
    <s v="P002"/>
    <x v="1"/>
    <n v="38"/>
    <n v="38.200000000000003"/>
    <x v="0"/>
    <x v="0"/>
  </r>
  <r>
    <d v="2024-03-16T00:00:00"/>
    <s v="D003"/>
    <s v="Heartland Meats"/>
    <s v="P003"/>
    <x v="2"/>
    <n v="32"/>
    <n v="31.6"/>
    <x v="0"/>
    <x v="0"/>
  </r>
  <r>
    <d v="2024-03-16T00:00:00"/>
    <s v="D003"/>
    <s v="Heartland Meats"/>
    <s v="P004"/>
    <x v="3"/>
    <n v="50"/>
    <n v="50.3"/>
    <x v="0"/>
    <x v="0"/>
  </r>
  <r>
    <d v="2024-03-16T00:00:00"/>
    <s v="D003"/>
    <s v="Heartland Meats"/>
    <s v="P005"/>
    <x v="4"/>
    <n v="38"/>
    <n v="41"/>
    <x v="0"/>
    <x v="0"/>
  </r>
  <r>
    <d v="2024-03-16T00:00:00"/>
    <s v="D003"/>
    <s v="Heartland Meats"/>
    <s v="P006"/>
    <x v="5"/>
    <n v="32"/>
    <n v="33"/>
    <x v="0"/>
    <x v="0"/>
  </r>
  <r>
    <d v="2024-03-16T00:00:00"/>
    <s v="D004"/>
    <s v="Southwest Organics"/>
    <s v="P001"/>
    <x v="0"/>
    <n v="34"/>
    <n v="35.700000000000003"/>
    <x v="0"/>
    <x v="0"/>
  </r>
  <r>
    <d v="2024-03-16T00:00:00"/>
    <s v="D004"/>
    <s v="Southwest Organics"/>
    <s v="P002"/>
    <x v="1"/>
    <n v="38"/>
    <n v="44.3"/>
    <x v="1"/>
    <x v="2"/>
  </r>
  <r>
    <d v="2024-03-16T00:00:00"/>
    <s v="D004"/>
    <s v="Southwest Organics"/>
    <s v="P003"/>
    <x v="2"/>
    <n v="32"/>
    <n v="44.8"/>
    <x v="1"/>
    <x v="1"/>
  </r>
  <r>
    <d v="2024-03-16T00:00:00"/>
    <s v="D004"/>
    <s v="Southwest Organics"/>
    <s v="P004"/>
    <x v="3"/>
    <n v="50"/>
    <n v="49.5"/>
    <x v="0"/>
    <x v="0"/>
  </r>
  <r>
    <d v="2024-03-16T00:00:00"/>
    <s v="D004"/>
    <s v="Southwest Organics"/>
    <s v="P005"/>
    <x v="4"/>
    <n v="38"/>
    <n v="39.4"/>
    <x v="0"/>
    <x v="0"/>
  </r>
  <r>
    <d v="2024-03-16T00:00:00"/>
    <s v="D004"/>
    <s v="Southwest Organics"/>
    <s v="P006"/>
    <x v="5"/>
    <n v="32"/>
    <n v="33.9"/>
    <x v="0"/>
    <x v="0"/>
  </r>
  <r>
    <d v="2024-03-16T00:00:00"/>
    <s v="D005"/>
    <s v="Great Lakes Dairy"/>
    <s v="P001"/>
    <x v="0"/>
    <n v="34"/>
    <n v="35.200000000000003"/>
    <x v="0"/>
    <x v="0"/>
  </r>
  <r>
    <d v="2024-03-16T00:00:00"/>
    <s v="D005"/>
    <s v="Great Lakes Dairy"/>
    <s v="P002"/>
    <x v="1"/>
    <n v="38"/>
    <n v="39.6"/>
    <x v="0"/>
    <x v="0"/>
  </r>
  <r>
    <d v="2024-03-16T00:00:00"/>
    <s v="D005"/>
    <s v="Great Lakes Dairy"/>
    <s v="P003"/>
    <x v="2"/>
    <n v="32"/>
    <n v="41.6"/>
    <x v="1"/>
    <x v="2"/>
  </r>
  <r>
    <d v="2024-03-16T00:00:00"/>
    <s v="D005"/>
    <s v="Great Lakes Dairy"/>
    <s v="P004"/>
    <x v="3"/>
    <n v="50"/>
    <n v="51.7"/>
    <x v="0"/>
    <x v="0"/>
  </r>
  <r>
    <d v="2024-03-16T00:00:00"/>
    <s v="D005"/>
    <s v="Great Lakes Dairy"/>
    <s v="P005"/>
    <x v="4"/>
    <n v="38"/>
    <n v="37.6"/>
    <x v="0"/>
    <x v="0"/>
  </r>
  <r>
    <d v="2024-03-16T00:00:00"/>
    <s v="D005"/>
    <s v="Great Lakes Dairy"/>
    <s v="P006"/>
    <x v="5"/>
    <n v="32"/>
    <n v="33.5"/>
    <x v="0"/>
    <x v="0"/>
  </r>
  <r>
    <d v="2024-03-17T00:00:00"/>
    <s v="D001"/>
    <s v="Green Valley Produce"/>
    <s v="P001"/>
    <x v="0"/>
    <n v="34"/>
    <n v="35.5"/>
    <x v="0"/>
    <x v="0"/>
  </r>
  <r>
    <d v="2024-03-17T00:00:00"/>
    <s v="D001"/>
    <s v="Green Valley Produce"/>
    <s v="P002"/>
    <x v="1"/>
    <n v="38"/>
    <n v="39.9"/>
    <x v="0"/>
    <x v="0"/>
  </r>
  <r>
    <d v="2024-03-17T00:00:00"/>
    <s v="D001"/>
    <s v="Green Valley Produce"/>
    <s v="P003"/>
    <x v="2"/>
    <n v="32"/>
    <n v="33.6"/>
    <x v="0"/>
    <x v="0"/>
  </r>
  <r>
    <d v="2024-03-17T00:00:00"/>
    <s v="D001"/>
    <s v="Green Valley Produce"/>
    <s v="P004"/>
    <x v="3"/>
    <n v="50"/>
    <n v="49.7"/>
    <x v="0"/>
    <x v="0"/>
  </r>
  <r>
    <d v="2024-03-17T00:00:00"/>
    <s v="D001"/>
    <s v="Green Valley Produce"/>
    <s v="P005"/>
    <x v="4"/>
    <n v="38"/>
    <n v="38.299999999999997"/>
    <x v="0"/>
    <x v="0"/>
  </r>
  <r>
    <d v="2024-03-17T00:00:00"/>
    <s v="D001"/>
    <s v="Green Valley Produce"/>
    <s v="P006"/>
    <x v="5"/>
    <n v="32"/>
    <n v="32.5"/>
    <x v="0"/>
    <x v="0"/>
  </r>
  <r>
    <d v="2024-03-17T00:00:00"/>
    <s v="D002"/>
    <s v="Fresh Coast Foods"/>
    <s v="P001"/>
    <x v="0"/>
    <n v="34"/>
    <n v="34"/>
    <x v="0"/>
    <x v="0"/>
  </r>
  <r>
    <d v="2024-03-17T00:00:00"/>
    <s v="D002"/>
    <s v="Fresh Coast Foods"/>
    <s v="P002"/>
    <x v="1"/>
    <n v="38"/>
    <n v="39.1"/>
    <x v="0"/>
    <x v="0"/>
  </r>
  <r>
    <d v="2024-03-17T00:00:00"/>
    <s v="D002"/>
    <s v="Fresh Coast Foods"/>
    <s v="P003"/>
    <x v="2"/>
    <n v="32"/>
    <n v="32.6"/>
    <x v="0"/>
    <x v="0"/>
  </r>
  <r>
    <d v="2024-03-17T00:00:00"/>
    <s v="D002"/>
    <s v="Fresh Coast Foods"/>
    <s v="P004"/>
    <x v="3"/>
    <n v="50"/>
    <n v="49.4"/>
    <x v="0"/>
    <x v="0"/>
  </r>
  <r>
    <d v="2024-03-17T00:00:00"/>
    <s v="D002"/>
    <s v="Fresh Coast Foods"/>
    <s v="P005"/>
    <x v="4"/>
    <n v="38"/>
    <n v="40.1"/>
    <x v="0"/>
    <x v="0"/>
  </r>
  <r>
    <d v="2024-03-17T00:00:00"/>
    <s v="D002"/>
    <s v="Fresh Coast Foods"/>
    <s v="P006"/>
    <x v="5"/>
    <n v="32"/>
    <n v="44.4"/>
    <x v="1"/>
    <x v="1"/>
  </r>
  <r>
    <d v="2024-03-17T00:00:00"/>
    <s v="D003"/>
    <s v="Heartland Meats"/>
    <s v="P001"/>
    <x v="0"/>
    <n v="34"/>
    <n v="33.4"/>
    <x v="0"/>
    <x v="0"/>
  </r>
  <r>
    <d v="2024-03-17T00:00:00"/>
    <s v="D003"/>
    <s v="Heartland Meats"/>
    <s v="P002"/>
    <x v="1"/>
    <n v="38"/>
    <n v="37.9"/>
    <x v="0"/>
    <x v="0"/>
  </r>
  <r>
    <d v="2024-03-17T00:00:00"/>
    <s v="D003"/>
    <s v="Heartland Meats"/>
    <s v="P003"/>
    <x v="2"/>
    <n v="32"/>
    <n v="34.1"/>
    <x v="0"/>
    <x v="0"/>
  </r>
  <r>
    <d v="2024-03-17T00:00:00"/>
    <s v="D003"/>
    <s v="Heartland Meats"/>
    <s v="P004"/>
    <x v="3"/>
    <n v="50"/>
    <n v="60.2"/>
    <x v="1"/>
    <x v="1"/>
  </r>
  <r>
    <d v="2024-03-17T00:00:00"/>
    <s v="D003"/>
    <s v="Heartland Meats"/>
    <s v="P005"/>
    <x v="4"/>
    <n v="38"/>
    <n v="39.4"/>
    <x v="0"/>
    <x v="0"/>
  </r>
  <r>
    <d v="2024-03-17T00:00:00"/>
    <s v="D003"/>
    <s v="Heartland Meats"/>
    <s v="P006"/>
    <x v="5"/>
    <n v="32"/>
    <n v="31.4"/>
    <x v="0"/>
    <x v="0"/>
  </r>
  <r>
    <d v="2024-03-17T00:00:00"/>
    <s v="D004"/>
    <s v="Southwest Organics"/>
    <s v="P001"/>
    <x v="0"/>
    <n v="34"/>
    <n v="35.299999999999997"/>
    <x v="0"/>
    <x v="0"/>
  </r>
  <r>
    <d v="2024-03-17T00:00:00"/>
    <s v="D004"/>
    <s v="Southwest Organics"/>
    <s v="P002"/>
    <x v="1"/>
    <n v="38"/>
    <n v="38.1"/>
    <x v="0"/>
    <x v="0"/>
  </r>
  <r>
    <d v="2024-03-17T00:00:00"/>
    <s v="D004"/>
    <s v="Southwest Organics"/>
    <s v="P003"/>
    <x v="2"/>
    <n v="32"/>
    <n v="38.4"/>
    <x v="1"/>
    <x v="2"/>
  </r>
  <r>
    <d v="2024-03-17T00:00:00"/>
    <s v="D004"/>
    <s v="Southwest Organics"/>
    <s v="P004"/>
    <x v="3"/>
    <n v="50"/>
    <n v="52"/>
    <x v="0"/>
    <x v="0"/>
  </r>
  <r>
    <d v="2024-03-17T00:00:00"/>
    <s v="D004"/>
    <s v="Southwest Organics"/>
    <s v="P005"/>
    <x v="4"/>
    <n v="38"/>
    <n v="40.200000000000003"/>
    <x v="0"/>
    <x v="0"/>
  </r>
  <r>
    <d v="2024-03-17T00:00:00"/>
    <s v="D004"/>
    <s v="Southwest Organics"/>
    <s v="P006"/>
    <x v="5"/>
    <n v="32"/>
    <n v="34.200000000000003"/>
    <x v="0"/>
    <x v="0"/>
  </r>
  <r>
    <d v="2024-03-17T00:00:00"/>
    <s v="D005"/>
    <s v="Great Lakes Dairy"/>
    <s v="P001"/>
    <x v="0"/>
    <n v="34"/>
    <n v="36.5"/>
    <x v="0"/>
    <x v="0"/>
  </r>
  <r>
    <d v="2024-03-17T00:00:00"/>
    <s v="D005"/>
    <s v="Great Lakes Dairy"/>
    <s v="P002"/>
    <x v="1"/>
    <n v="38"/>
    <n v="39.4"/>
    <x v="0"/>
    <x v="0"/>
  </r>
  <r>
    <d v="2024-03-17T00:00:00"/>
    <s v="D005"/>
    <s v="Great Lakes Dairy"/>
    <s v="P003"/>
    <x v="2"/>
    <n v="32"/>
    <n v="33.700000000000003"/>
    <x v="0"/>
    <x v="0"/>
  </r>
  <r>
    <d v="2024-03-17T00:00:00"/>
    <s v="D005"/>
    <s v="Great Lakes Dairy"/>
    <s v="P004"/>
    <x v="3"/>
    <n v="50"/>
    <n v="51.6"/>
    <x v="0"/>
    <x v="0"/>
  </r>
  <r>
    <d v="2024-03-17T00:00:00"/>
    <s v="D005"/>
    <s v="Great Lakes Dairy"/>
    <s v="P005"/>
    <x v="4"/>
    <n v="38"/>
    <n v="48.5"/>
    <x v="1"/>
    <x v="1"/>
  </r>
  <r>
    <d v="2024-03-17T00:00:00"/>
    <s v="D005"/>
    <s v="Great Lakes Dairy"/>
    <s v="P006"/>
    <x v="5"/>
    <n v="32"/>
    <n v="34.700000000000003"/>
    <x v="0"/>
    <x v="0"/>
  </r>
  <r>
    <d v="2024-03-18T00:00:00"/>
    <s v="D001"/>
    <s v="Green Valley Produce"/>
    <s v="P001"/>
    <x v="0"/>
    <n v="34"/>
    <n v="34.5"/>
    <x v="0"/>
    <x v="0"/>
  </r>
  <r>
    <d v="2024-03-18T00:00:00"/>
    <s v="D001"/>
    <s v="Green Valley Produce"/>
    <s v="P002"/>
    <x v="1"/>
    <n v="38"/>
    <n v="39.700000000000003"/>
    <x v="0"/>
    <x v="0"/>
  </r>
  <r>
    <d v="2024-03-18T00:00:00"/>
    <s v="D001"/>
    <s v="Green Valley Produce"/>
    <s v="P003"/>
    <x v="2"/>
    <n v="32"/>
    <n v="32.799999999999997"/>
    <x v="0"/>
    <x v="0"/>
  </r>
  <r>
    <d v="2024-03-18T00:00:00"/>
    <s v="D001"/>
    <s v="Green Valley Produce"/>
    <s v="P004"/>
    <x v="3"/>
    <n v="50"/>
    <n v="50.4"/>
    <x v="0"/>
    <x v="0"/>
  </r>
  <r>
    <d v="2024-03-18T00:00:00"/>
    <s v="D001"/>
    <s v="Green Valley Produce"/>
    <s v="P005"/>
    <x v="4"/>
    <n v="38"/>
    <n v="38.1"/>
    <x v="0"/>
    <x v="0"/>
  </r>
  <r>
    <d v="2024-03-18T00:00:00"/>
    <s v="D001"/>
    <s v="Green Valley Produce"/>
    <s v="P006"/>
    <x v="5"/>
    <n v="32"/>
    <n v="33.1"/>
    <x v="0"/>
    <x v="0"/>
  </r>
  <r>
    <d v="2024-03-18T00:00:00"/>
    <s v="D002"/>
    <s v="Fresh Coast Foods"/>
    <s v="P001"/>
    <x v="0"/>
    <n v="34"/>
    <n v="36.700000000000003"/>
    <x v="0"/>
    <x v="0"/>
  </r>
  <r>
    <d v="2024-03-18T00:00:00"/>
    <s v="D002"/>
    <s v="Fresh Coast Foods"/>
    <s v="P002"/>
    <x v="1"/>
    <n v="38"/>
    <n v="39.5"/>
    <x v="0"/>
    <x v="0"/>
  </r>
  <r>
    <d v="2024-03-18T00:00:00"/>
    <s v="D002"/>
    <s v="Fresh Coast Foods"/>
    <s v="P003"/>
    <x v="2"/>
    <n v="32"/>
    <n v="40.4"/>
    <x v="1"/>
    <x v="2"/>
  </r>
  <r>
    <d v="2024-03-18T00:00:00"/>
    <s v="D002"/>
    <s v="Fresh Coast Foods"/>
    <s v="P004"/>
    <x v="3"/>
    <n v="50"/>
    <n v="52.4"/>
    <x v="0"/>
    <x v="0"/>
  </r>
  <r>
    <d v="2024-03-18T00:00:00"/>
    <s v="D002"/>
    <s v="Fresh Coast Foods"/>
    <s v="P005"/>
    <x v="4"/>
    <n v="38"/>
    <n v="37.299999999999997"/>
    <x v="0"/>
    <x v="0"/>
  </r>
  <r>
    <d v="2024-03-18T00:00:00"/>
    <s v="D002"/>
    <s v="Fresh Coast Foods"/>
    <s v="P006"/>
    <x v="5"/>
    <n v="32"/>
    <n v="31.4"/>
    <x v="0"/>
    <x v="0"/>
  </r>
  <r>
    <d v="2024-03-18T00:00:00"/>
    <s v="D003"/>
    <s v="Heartland Meats"/>
    <s v="P001"/>
    <x v="0"/>
    <n v="34"/>
    <n v="33.299999999999997"/>
    <x v="0"/>
    <x v="0"/>
  </r>
  <r>
    <d v="2024-03-18T00:00:00"/>
    <s v="D003"/>
    <s v="Heartland Meats"/>
    <s v="P002"/>
    <x v="1"/>
    <n v="38"/>
    <n v="40.700000000000003"/>
    <x v="0"/>
    <x v="0"/>
  </r>
  <r>
    <d v="2024-03-18T00:00:00"/>
    <s v="D003"/>
    <s v="Heartland Meats"/>
    <s v="P003"/>
    <x v="2"/>
    <n v="32"/>
    <n v="31"/>
    <x v="0"/>
    <x v="0"/>
  </r>
  <r>
    <d v="2024-03-18T00:00:00"/>
    <s v="D003"/>
    <s v="Heartland Meats"/>
    <s v="P004"/>
    <x v="3"/>
    <n v="50"/>
    <n v="51.7"/>
    <x v="0"/>
    <x v="0"/>
  </r>
  <r>
    <d v="2024-03-18T00:00:00"/>
    <s v="D003"/>
    <s v="Heartland Meats"/>
    <s v="P005"/>
    <x v="4"/>
    <n v="38"/>
    <n v="37.5"/>
    <x v="0"/>
    <x v="0"/>
  </r>
  <r>
    <d v="2024-03-18T00:00:00"/>
    <s v="D003"/>
    <s v="Heartland Meats"/>
    <s v="P006"/>
    <x v="5"/>
    <n v="32"/>
    <n v="33.700000000000003"/>
    <x v="0"/>
    <x v="0"/>
  </r>
  <r>
    <d v="2024-03-18T00:00:00"/>
    <s v="D004"/>
    <s v="Southwest Organics"/>
    <s v="P001"/>
    <x v="0"/>
    <n v="34"/>
    <n v="35.1"/>
    <x v="0"/>
    <x v="0"/>
  </r>
  <r>
    <d v="2024-03-18T00:00:00"/>
    <s v="D004"/>
    <s v="Southwest Organics"/>
    <s v="P002"/>
    <x v="1"/>
    <n v="38"/>
    <n v="44.1"/>
    <x v="1"/>
    <x v="2"/>
  </r>
  <r>
    <d v="2024-03-18T00:00:00"/>
    <s v="D004"/>
    <s v="Southwest Organics"/>
    <s v="P003"/>
    <x v="2"/>
    <n v="32"/>
    <n v="34.299999999999997"/>
    <x v="0"/>
    <x v="0"/>
  </r>
  <r>
    <d v="2024-03-18T00:00:00"/>
    <s v="D004"/>
    <s v="Southwest Organics"/>
    <s v="P004"/>
    <x v="3"/>
    <n v="50"/>
    <n v="59.4"/>
    <x v="1"/>
    <x v="2"/>
  </r>
  <r>
    <d v="2024-03-18T00:00:00"/>
    <s v="D004"/>
    <s v="Southwest Organics"/>
    <s v="P005"/>
    <x v="4"/>
    <n v="38"/>
    <n v="38.4"/>
    <x v="0"/>
    <x v="0"/>
  </r>
  <r>
    <d v="2024-03-18T00:00:00"/>
    <s v="D004"/>
    <s v="Southwest Organics"/>
    <s v="P006"/>
    <x v="5"/>
    <n v="32"/>
    <n v="33.6"/>
    <x v="0"/>
    <x v="0"/>
  </r>
  <r>
    <d v="2024-03-18T00:00:00"/>
    <s v="D005"/>
    <s v="Great Lakes Dairy"/>
    <s v="P001"/>
    <x v="0"/>
    <n v="34"/>
    <n v="37"/>
    <x v="0"/>
    <x v="0"/>
  </r>
  <r>
    <d v="2024-03-18T00:00:00"/>
    <s v="D005"/>
    <s v="Great Lakes Dairy"/>
    <s v="P002"/>
    <x v="1"/>
    <n v="38"/>
    <n v="39.700000000000003"/>
    <x v="0"/>
    <x v="0"/>
  </r>
  <r>
    <d v="2024-03-18T00:00:00"/>
    <s v="D005"/>
    <s v="Great Lakes Dairy"/>
    <s v="P003"/>
    <x v="2"/>
    <n v="32"/>
    <n v="41.6"/>
    <x v="1"/>
    <x v="2"/>
  </r>
  <r>
    <d v="2024-03-18T00:00:00"/>
    <s v="D005"/>
    <s v="Great Lakes Dairy"/>
    <s v="P004"/>
    <x v="3"/>
    <n v="50"/>
    <n v="63.4"/>
    <x v="1"/>
    <x v="1"/>
  </r>
  <r>
    <d v="2024-03-18T00:00:00"/>
    <s v="D005"/>
    <s v="Great Lakes Dairy"/>
    <s v="P005"/>
    <x v="4"/>
    <n v="38"/>
    <n v="40.6"/>
    <x v="0"/>
    <x v="0"/>
  </r>
  <r>
    <d v="2024-03-18T00:00:00"/>
    <s v="D005"/>
    <s v="Great Lakes Dairy"/>
    <s v="P006"/>
    <x v="5"/>
    <n v="32"/>
    <n v="40.9"/>
    <x v="1"/>
    <x v="2"/>
  </r>
  <r>
    <d v="2024-03-19T00:00:00"/>
    <s v="D001"/>
    <s v="Green Valley Produce"/>
    <s v="P001"/>
    <x v="0"/>
    <n v="34"/>
    <n v="42.8"/>
    <x v="1"/>
    <x v="2"/>
  </r>
  <r>
    <d v="2024-03-19T00:00:00"/>
    <s v="D001"/>
    <s v="Green Valley Produce"/>
    <s v="P002"/>
    <x v="1"/>
    <n v="38"/>
    <n v="48"/>
    <x v="1"/>
    <x v="2"/>
  </r>
  <r>
    <d v="2024-03-19T00:00:00"/>
    <s v="D001"/>
    <s v="Green Valley Produce"/>
    <s v="P003"/>
    <x v="2"/>
    <n v="32"/>
    <n v="45.8"/>
    <x v="1"/>
    <x v="1"/>
  </r>
  <r>
    <d v="2024-03-19T00:00:00"/>
    <s v="D001"/>
    <s v="Green Valley Produce"/>
    <s v="P004"/>
    <x v="3"/>
    <n v="50"/>
    <n v="51.7"/>
    <x v="0"/>
    <x v="0"/>
  </r>
  <r>
    <d v="2024-03-19T00:00:00"/>
    <s v="D001"/>
    <s v="Green Valley Produce"/>
    <s v="P005"/>
    <x v="4"/>
    <n v="38"/>
    <n v="40.4"/>
    <x v="0"/>
    <x v="0"/>
  </r>
  <r>
    <d v="2024-03-19T00:00:00"/>
    <s v="D001"/>
    <s v="Green Valley Produce"/>
    <s v="P006"/>
    <x v="5"/>
    <n v="32"/>
    <n v="32.200000000000003"/>
    <x v="0"/>
    <x v="0"/>
  </r>
  <r>
    <d v="2024-03-19T00:00:00"/>
    <s v="D002"/>
    <s v="Fresh Coast Foods"/>
    <s v="P001"/>
    <x v="0"/>
    <n v="34"/>
    <n v="34.1"/>
    <x v="0"/>
    <x v="0"/>
  </r>
  <r>
    <d v="2024-03-19T00:00:00"/>
    <s v="D002"/>
    <s v="Fresh Coast Foods"/>
    <s v="P002"/>
    <x v="1"/>
    <n v="38"/>
    <n v="49"/>
    <x v="1"/>
    <x v="1"/>
  </r>
  <r>
    <d v="2024-03-19T00:00:00"/>
    <s v="D002"/>
    <s v="Fresh Coast Foods"/>
    <s v="P003"/>
    <x v="2"/>
    <n v="32"/>
    <n v="34.700000000000003"/>
    <x v="0"/>
    <x v="0"/>
  </r>
  <r>
    <d v="2024-03-19T00:00:00"/>
    <s v="D002"/>
    <s v="Fresh Coast Foods"/>
    <s v="P004"/>
    <x v="3"/>
    <n v="50"/>
    <n v="52.8"/>
    <x v="0"/>
    <x v="0"/>
  </r>
  <r>
    <d v="2024-03-19T00:00:00"/>
    <s v="D002"/>
    <s v="Fresh Coast Foods"/>
    <s v="P005"/>
    <x v="4"/>
    <n v="38"/>
    <n v="40.6"/>
    <x v="0"/>
    <x v="0"/>
  </r>
  <r>
    <d v="2024-03-19T00:00:00"/>
    <s v="D002"/>
    <s v="Fresh Coast Foods"/>
    <s v="P006"/>
    <x v="5"/>
    <n v="32"/>
    <n v="34.6"/>
    <x v="0"/>
    <x v="0"/>
  </r>
  <r>
    <d v="2024-03-19T00:00:00"/>
    <s v="D003"/>
    <s v="Heartland Meats"/>
    <s v="P001"/>
    <x v="0"/>
    <n v="34"/>
    <n v="33.200000000000003"/>
    <x v="0"/>
    <x v="0"/>
  </r>
  <r>
    <d v="2024-03-19T00:00:00"/>
    <s v="D003"/>
    <s v="Heartland Meats"/>
    <s v="P002"/>
    <x v="1"/>
    <n v="38"/>
    <n v="47.7"/>
    <x v="1"/>
    <x v="2"/>
  </r>
  <r>
    <d v="2024-03-19T00:00:00"/>
    <s v="D003"/>
    <s v="Heartland Meats"/>
    <s v="P003"/>
    <x v="2"/>
    <n v="32"/>
    <n v="31.4"/>
    <x v="0"/>
    <x v="0"/>
  </r>
  <r>
    <d v="2024-03-19T00:00:00"/>
    <s v="D003"/>
    <s v="Heartland Meats"/>
    <s v="P004"/>
    <x v="3"/>
    <n v="50"/>
    <n v="51.9"/>
    <x v="0"/>
    <x v="0"/>
  </r>
  <r>
    <d v="2024-03-19T00:00:00"/>
    <s v="D003"/>
    <s v="Heartland Meats"/>
    <s v="P005"/>
    <x v="4"/>
    <n v="38"/>
    <n v="37"/>
    <x v="0"/>
    <x v="0"/>
  </r>
  <r>
    <d v="2024-03-19T00:00:00"/>
    <s v="D003"/>
    <s v="Heartland Meats"/>
    <s v="P006"/>
    <x v="5"/>
    <n v="32"/>
    <n v="31.8"/>
    <x v="0"/>
    <x v="0"/>
  </r>
  <r>
    <d v="2024-03-19T00:00:00"/>
    <s v="D004"/>
    <s v="Southwest Organics"/>
    <s v="P001"/>
    <x v="0"/>
    <n v="34"/>
    <n v="36.6"/>
    <x v="0"/>
    <x v="0"/>
  </r>
  <r>
    <d v="2024-03-19T00:00:00"/>
    <s v="D004"/>
    <s v="Southwest Organics"/>
    <s v="P002"/>
    <x v="1"/>
    <n v="38"/>
    <n v="40.700000000000003"/>
    <x v="0"/>
    <x v="0"/>
  </r>
  <r>
    <d v="2024-03-19T00:00:00"/>
    <s v="D004"/>
    <s v="Southwest Organics"/>
    <s v="P003"/>
    <x v="2"/>
    <n v="32"/>
    <n v="44.2"/>
    <x v="1"/>
    <x v="1"/>
  </r>
  <r>
    <d v="2024-03-19T00:00:00"/>
    <s v="D004"/>
    <s v="Southwest Organics"/>
    <s v="P004"/>
    <x v="3"/>
    <n v="50"/>
    <n v="50.9"/>
    <x v="0"/>
    <x v="0"/>
  </r>
  <r>
    <d v="2024-03-19T00:00:00"/>
    <s v="D004"/>
    <s v="Southwest Organics"/>
    <s v="P005"/>
    <x v="4"/>
    <n v="38"/>
    <n v="38.5"/>
    <x v="0"/>
    <x v="0"/>
  </r>
  <r>
    <d v="2024-03-19T00:00:00"/>
    <s v="D004"/>
    <s v="Southwest Organics"/>
    <s v="P006"/>
    <x v="5"/>
    <n v="32"/>
    <n v="33.1"/>
    <x v="0"/>
    <x v="0"/>
  </r>
  <r>
    <d v="2024-03-19T00:00:00"/>
    <s v="D005"/>
    <s v="Great Lakes Dairy"/>
    <s v="P001"/>
    <x v="0"/>
    <n v="34"/>
    <n v="37"/>
    <x v="0"/>
    <x v="0"/>
  </r>
  <r>
    <d v="2024-03-19T00:00:00"/>
    <s v="D005"/>
    <s v="Great Lakes Dairy"/>
    <s v="P002"/>
    <x v="1"/>
    <n v="38"/>
    <n v="38.799999999999997"/>
    <x v="0"/>
    <x v="0"/>
  </r>
  <r>
    <d v="2024-03-19T00:00:00"/>
    <s v="D005"/>
    <s v="Great Lakes Dairy"/>
    <s v="P003"/>
    <x v="2"/>
    <n v="32"/>
    <n v="44"/>
    <x v="1"/>
    <x v="1"/>
  </r>
  <r>
    <d v="2024-03-19T00:00:00"/>
    <s v="D005"/>
    <s v="Great Lakes Dairy"/>
    <s v="P004"/>
    <x v="3"/>
    <n v="50"/>
    <n v="63.1"/>
    <x v="1"/>
    <x v="1"/>
  </r>
  <r>
    <d v="2024-03-19T00:00:00"/>
    <s v="D005"/>
    <s v="Great Lakes Dairy"/>
    <s v="P005"/>
    <x v="4"/>
    <n v="38"/>
    <n v="37.4"/>
    <x v="0"/>
    <x v="0"/>
  </r>
  <r>
    <d v="2024-03-19T00:00:00"/>
    <s v="D005"/>
    <s v="Great Lakes Dairy"/>
    <s v="P006"/>
    <x v="5"/>
    <n v="32"/>
    <n v="31.5"/>
    <x v="0"/>
    <x v="0"/>
  </r>
  <r>
    <d v="2024-03-20T00:00:00"/>
    <s v="D001"/>
    <s v="Green Valley Produce"/>
    <s v="P001"/>
    <x v="0"/>
    <n v="34"/>
    <n v="34.299999999999997"/>
    <x v="0"/>
    <x v="0"/>
  </r>
  <r>
    <d v="2024-03-20T00:00:00"/>
    <s v="D001"/>
    <s v="Green Valley Produce"/>
    <s v="P002"/>
    <x v="1"/>
    <n v="38"/>
    <n v="49.3"/>
    <x v="1"/>
    <x v="1"/>
  </r>
  <r>
    <d v="2024-03-20T00:00:00"/>
    <s v="D001"/>
    <s v="Green Valley Produce"/>
    <s v="P003"/>
    <x v="2"/>
    <n v="32"/>
    <n v="34.799999999999997"/>
    <x v="0"/>
    <x v="0"/>
  </r>
  <r>
    <d v="2024-03-20T00:00:00"/>
    <s v="D001"/>
    <s v="Green Valley Produce"/>
    <s v="P004"/>
    <x v="3"/>
    <n v="50"/>
    <n v="49.5"/>
    <x v="0"/>
    <x v="0"/>
  </r>
  <r>
    <d v="2024-03-20T00:00:00"/>
    <s v="D001"/>
    <s v="Green Valley Produce"/>
    <s v="P005"/>
    <x v="4"/>
    <n v="38"/>
    <n v="39"/>
    <x v="0"/>
    <x v="0"/>
  </r>
  <r>
    <d v="2024-03-20T00:00:00"/>
    <s v="D001"/>
    <s v="Green Valley Produce"/>
    <s v="P006"/>
    <x v="5"/>
    <n v="32"/>
    <n v="31.5"/>
    <x v="0"/>
    <x v="0"/>
  </r>
  <r>
    <d v="2024-03-20T00:00:00"/>
    <s v="D002"/>
    <s v="Fresh Coast Foods"/>
    <s v="P001"/>
    <x v="0"/>
    <n v="34"/>
    <n v="36.1"/>
    <x v="0"/>
    <x v="0"/>
  </r>
  <r>
    <d v="2024-03-20T00:00:00"/>
    <s v="D002"/>
    <s v="Fresh Coast Foods"/>
    <s v="P002"/>
    <x v="1"/>
    <n v="38"/>
    <n v="39.9"/>
    <x v="0"/>
    <x v="0"/>
  </r>
  <r>
    <d v="2024-03-20T00:00:00"/>
    <s v="D002"/>
    <s v="Fresh Coast Foods"/>
    <s v="P003"/>
    <x v="2"/>
    <n v="32"/>
    <n v="34.299999999999997"/>
    <x v="0"/>
    <x v="0"/>
  </r>
  <r>
    <d v="2024-03-20T00:00:00"/>
    <s v="D002"/>
    <s v="Fresh Coast Foods"/>
    <s v="P004"/>
    <x v="3"/>
    <n v="50"/>
    <n v="63.7"/>
    <x v="1"/>
    <x v="1"/>
  </r>
  <r>
    <d v="2024-03-20T00:00:00"/>
    <s v="D002"/>
    <s v="Fresh Coast Foods"/>
    <s v="P005"/>
    <x v="4"/>
    <n v="38"/>
    <n v="37.5"/>
    <x v="0"/>
    <x v="0"/>
  </r>
  <r>
    <d v="2024-03-20T00:00:00"/>
    <s v="D002"/>
    <s v="Fresh Coast Foods"/>
    <s v="P006"/>
    <x v="5"/>
    <n v="32"/>
    <n v="31.1"/>
    <x v="0"/>
    <x v="0"/>
  </r>
  <r>
    <d v="2024-03-20T00:00:00"/>
    <s v="D003"/>
    <s v="Heartland Meats"/>
    <s v="P001"/>
    <x v="0"/>
    <n v="34"/>
    <n v="33.200000000000003"/>
    <x v="0"/>
    <x v="0"/>
  </r>
  <r>
    <d v="2024-03-20T00:00:00"/>
    <s v="D003"/>
    <s v="Heartland Meats"/>
    <s v="P002"/>
    <x v="1"/>
    <n v="38"/>
    <n v="38.700000000000003"/>
    <x v="0"/>
    <x v="0"/>
  </r>
  <r>
    <d v="2024-03-20T00:00:00"/>
    <s v="D003"/>
    <s v="Heartland Meats"/>
    <s v="P003"/>
    <x v="2"/>
    <n v="32"/>
    <n v="31"/>
    <x v="0"/>
    <x v="0"/>
  </r>
  <r>
    <d v="2024-03-20T00:00:00"/>
    <s v="D003"/>
    <s v="Heartland Meats"/>
    <s v="P004"/>
    <x v="3"/>
    <n v="50"/>
    <n v="50.1"/>
    <x v="0"/>
    <x v="0"/>
  </r>
  <r>
    <d v="2024-03-20T00:00:00"/>
    <s v="D003"/>
    <s v="Heartland Meats"/>
    <s v="P005"/>
    <x v="4"/>
    <n v="38"/>
    <n v="47.4"/>
    <x v="1"/>
    <x v="2"/>
  </r>
  <r>
    <d v="2024-03-20T00:00:00"/>
    <s v="D003"/>
    <s v="Heartland Meats"/>
    <s v="P006"/>
    <x v="5"/>
    <n v="32"/>
    <n v="33.9"/>
    <x v="0"/>
    <x v="0"/>
  </r>
  <r>
    <d v="2024-03-20T00:00:00"/>
    <s v="D004"/>
    <s v="Southwest Organics"/>
    <s v="P001"/>
    <x v="0"/>
    <n v="34"/>
    <n v="34.1"/>
    <x v="0"/>
    <x v="0"/>
  </r>
  <r>
    <d v="2024-03-20T00:00:00"/>
    <s v="D004"/>
    <s v="Southwest Organics"/>
    <s v="P002"/>
    <x v="1"/>
    <n v="38"/>
    <n v="46.1"/>
    <x v="1"/>
    <x v="2"/>
  </r>
  <r>
    <d v="2024-03-20T00:00:00"/>
    <s v="D004"/>
    <s v="Southwest Organics"/>
    <s v="P003"/>
    <x v="2"/>
    <n v="32"/>
    <n v="33.700000000000003"/>
    <x v="0"/>
    <x v="0"/>
  </r>
  <r>
    <d v="2024-03-20T00:00:00"/>
    <s v="D004"/>
    <s v="Southwest Organics"/>
    <s v="P004"/>
    <x v="3"/>
    <n v="50"/>
    <n v="50.9"/>
    <x v="0"/>
    <x v="0"/>
  </r>
  <r>
    <d v="2024-03-20T00:00:00"/>
    <s v="D004"/>
    <s v="Southwest Organics"/>
    <s v="P005"/>
    <x v="4"/>
    <n v="38"/>
    <n v="37.4"/>
    <x v="0"/>
    <x v="0"/>
  </r>
  <r>
    <d v="2024-03-20T00:00:00"/>
    <s v="D004"/>
    <s v="Southwest Organics"/>
    <s v="P006"/>
    <x v="5"/>
    <n v="32"/>
    <n v="33.4"/>
    <x v="0"/>
    <x v="0"/>
  </r>
  <r>
    <d v="2024-03-20T00:00:00"/>
    <s v="D005"/>
    <s v="Great Lakes Dairy"/>
    <s v="P001"/>
    <x v="0"/>
    <n v="34"/>
    <n v="36.4"/>
    <x v="0"/>
    <x v="0"/>
  </r>
  <r>
    <d v="2024-03-20T00:00:00"/>
    <s v="D005"/>
    <s v="Great Lakes Dairy"/>
    <s v="P002"/>
    <x v="1"/>
    <n v="38"/>
    <n v="37.6"/>
    <x v="0"/>
    <x v="0"/>
  </r>
  <r>
    <d v="2024-03-20T00:00:00"/>
    <s v="D005"/>
    <s v="Great Lakes Dairy"/>
    <s v="P003"/>
    <x v="2"/>
    <n v="32"/>
    <n v="41.2"/>
    <x v="1"/>
    <x v="2"/>
  </r>
  <r>
    <d v="2024-03-20T00:00:00"/>
    <s v="D005"/>
    <s v="Great Lakes Dairy"/>
    <s v="P004"/>
    <x v="3"/>
    <n v="50"/>
    <n v="49.8"/>
    <x v="0"/>
    <x v="0"/>
  </r>
  <r>
    <d v="2024-03-20T00:00:00"/>
    <s v="D005"/>
    <s v="Great Lakes Dairy"/>
    <s v="P005"/>
    <x v="4"/>
    <n v="38"/>
    <n v="44.1"/>
    <x v="1"/>
    <x v="2"/>
  </r>
  <r>
    <d v="2024-03-20T00:00:00"/>
    <s v="D005"/>
    <s v="Great Lakes Dairy"/>
    <s v="P006"/>
    <x v="5"/>
    <n v="32"/>
    <n v="34.5"/>
    <x v="0"/>
    <x v="0"/>
  </r>
  <r>
    <d v="2024-03-21T00:00:00"/>
    <s v="D001"/>
    <s v="Green Valley Produce"/>
    <s v="P001"/>
    <x v="0"/>
    <n v="34"/>
    <n v="35.1"/>
    <x v="0"/>
    <x v="0"/>
  </r>
  <r>
    <d v="2024-03-21T00:00:00"/>
    <s v="D001"/>
    <s v="Green Valley Produce"/>
    <s v="P002"/>
    <x v="1"/>
    <n v="38"/>
    <n v="40.9"/>
    <x v="0"/>
    <x v="0"/>
  </r>
  <r>
    <d v="2024-03-21T00:00:00"/>
    <s v="D001"/>
    <s v="Green Valley Produce"/>
    <s v="P003"/>
    <x v="2"/>
    <n v="32"/>
    <n v="32.700000000000003"/>
    <x v="0"/>
    <x v="0"/>
  </r>
  <r>
    <d v="2024-03-21T00:00:00"/>
    <s v="D001"/>
    <s v="Green Valley Produce"/>
    <s v="P004"/>
    <x v="3"/>
    <n v="50"/>
    <n v="59.4"/>
    <x v="1"/>
    <x v="2"/>
  </r>
  <r>
    <d v="2024-03-21T00:00:00"/>
    <s v="D001"/>
    <s v="Green Valley Produce"/>
    <s v="P005"/>
    <x v="4"/>
    <n v="38"/>
    <n v="44.9"/>
    <x v="1"/>
    <x v="2"/>
  </r>
  <r>
    <d v="2024-03-21T00:00:00"/>
    <s v="D001"/>
    <s v="Green Valley Produce"/>
    <s v="P006"/>
    <x v="5"/>
    <n v="32"/>
    <n v="34.799999999999997"/>
    <x v="0"/>
    <x v="0"/>
  </r>
  <r>
    <d v="2024-03-21T00:00:00"/>
    <s v="D002"/>
    <s v="Fresh Coast Foods"/>
    <s v="P001"/>
    <x v="0"/>
    <n v="34"/>
    <n v="34"/>
    <x v="0"/>
    <x v="0"/>
  </r>
  <r>
    <d v="2024-03-21T00:00:00"/>
    <s v="D002"/>
    <s v="Fresh Coast Foods"/>
    <s v="P002"/>
    <x v="1"/>
    <n v="38"/>
    <n v="37.700000000000003"/>
    <x v="0"/>
    <x v="0"/>
  </r>
  <r>
    <d v="2024-03-21T00:00:00"/>
    <s v="D002"/>
    <s v="Fresh Coast Foods"/>
    <s v="P003"/>
    <x v="2"/>
    <n v="32"/>
    <n v="43.3"/>
    <x v="1"/>
    <x v="1"/>
  </r>
  <r>
    <d v="2024-03-21T00:00:00"/>
    <s v="D002"/>
    <s v="Fresh Coast Foods"/>
    <s v="P004"/>
    <x v="3"/>
    <n v="50"/>
    <n v="50.1"/>
    <x v="0"/>
    <x v="0"/>
  </r>
  <r>
    <d v="2024-03-21T00:00:00"/>
    <s v="D002"/>
    <s v="Fresh Coast Foods"/>
    <s v="P005"/>
    <x v="4"/>
    <n v="38"/>
    <n v="39.4"/>
    <x v="0"/>
    <x v="0"/>
  </r>
  <r>
    <d v="2024-03-21T00:00:00"/>
    <s v="D002"/>
    <s v="Fresh Coast Foods"/>
    <s v="P006"/>
    <x v="5"/>
    <n v="32"/>
    <n v="32"/>
    <x v="0"/>
    <x v="0"/>
  </r>
  <r>
    <d v="2024-03-21T00:00:00"/>
    <s v="D003"/>
    <s v="Heartland Meats"/>
    <s v="P001"/>
    <x v="0"/>
    <n v="34"/>
    <n v="34.299999999999997"/>
    <x v="0"/>
    <x v="0"/>
  </r>
  <r>
    <d v="2024-03-21T00:00:00"/>
    <s v="D003"/>
    <s v="Heartland Meats"/>
    <s v="P002"/>
    <x v="1"/>
    <n v="38"/>
    <n v="49.4"/>
    <x v="1"/>
    <x v="1"/>
  </r>
  <r>
    <d v="2024-03-21T00:00:00"/>
    <s v="D003"/>
    <s v="Heartland Meats"/>
    <s v="P003"/>
    <x v="2"/>
    <n v="32"/>
    <n v="34.1"/>
    <x v="0"/>
    <x v="0"/>
  </r>
  <r>
    <d v="2024-03-21T00:00:00"/>
    <s v="D003"/>
    <s v="Heartland Meats"/>
    <s v="P004"/>
    <x v="3"/>
    <n v="50"/>
    <n v="58.9"/>
    <x v="1"/>
    <x v="2"/>
  </r>
  <r>
    <d v="2024-03-21T00:00:00"/>
    <s v="D003"/>
    <s v="Heartland Meats"/>
    <s v="P005"/>
    <x v="4"/>
    <n v="38"/>
    <n v="40"/>
    <x v="0"/>
    <x v="0"/>
  </r>
  <r>
    <d v="2024-03-21T00:00:00"/>
    <s v="D003"/>
    <s v="Heartland Meats"/>
    <s v="P006"/>
    <x v="5"/>
    <n v="32"/>
    <n v="33.4"/>
    <x v="0"/>
    <x v="0"/>
  </r>
  <r>
    <d v="2024-03-21T00:00:00"/>
    <s v="D004"/>
    <s v="Southwest Organics"/>
    <s v="P001"/>
    <x v="0"/>
    <n v="34"/>
    <n v="34.1"/>
    <x v="0"/>
    <x v="0"/>
  </r>
  <r>
    <d v="2024-03-21T00:00:00"/>
    <s v="D004"/>
    <s v="Southwest Organics"/>
    <s v="P002"/>
    <x v="1"/>
    <n v="38"/>
    <n v="37.299999999999997"/>
    <x v="0"/>
    <x v="0"/>
  </r>
  <r>
    <d v="2024-03-21T00:00:00"/>
    <s v="D004"/>
    <s v="Southwest Organics"/>
    <s v="P003"/>
    <x v="2"/>
    <n v="32"/>
    <n v="43"/>
    <x v="1"/>
    <x v="1"/>
  </r>
  <r>
    <d v="2024-03-21T00:00:00"/>
    <s v="D004"/>
    <s v="Southwest Organics"/>
    <s v="P004"/>
    <x v="3"/>
    <n v="50"/>
    <n v="49.2"/>
    <x v="0"/>
    <x v="0"/>
  </r>
  <r>
    <d v="2024-03-21T00:00:00"/>
    <s v="D004"/>
    <s v="Southwest Organics"/>
    <s v="P005"/>
    <x v="4"/>
    <n v="38"/>
    <n v="40.5"/>
    <x v="0"/>
    <x v="0"/>
  </r>
  <r>
    <d v="2024-03-21T00:00:00"/>
    <s v="D004"/>
    <s v="Southwest Organics"/>
    <s v="P006"/>
    <x v="5"/>
    <n v="32"/>
    <n v="31.8"/>
    <x v="0"/>
    <x v="0"/>
  </r>
  <r>
    <d v="2024-03-21T00:00:00"/>
    <s v="D005"/>
    <s v="Great Lakes Dairy"/>
    <s v="P001"/>
    <x v="0"/>
    <n v="34"/>
    <n v="33.4"/>
    <x v="0"/>
    <x v="0"/>
  </r>
  <r>
    <d v="2024-03-21T00:00:00"/>
    <s v="D005"/>
    <s v="Great Lakes Dairy"/>
    <s v="P002"/>
    <x v="1"/>
    <n v="38"/>
    <n v="39.5"/>
    <x v="0"/>
    <x v="0"/>
  </r>
  <r>
    <d v="2024-03-21T00:00:00"/>
    <s v="D005"/>
    <s v="Great Lakes Dairy"/>
    <s v="P003"/>
    <x v="2"/>
    <n v="32"/>
    <n v="32.9"/>
    <x v="0"/>
    <x v="0"/>
  </r>
  <r>
    <d v="2024-03-21T00:00:00"/>
    <s v="D005"/>
    <s v="Great Lakes Dairy"/>
    <s v="P004"/>
    <x v="3"/>
    <n v="50"/>
    <n v="51.1"/>
    <x v="0"/>
    <x v="0"/>
  </r>
  <r>
    <d v="2024-03-21T00:00:00"/>
    <s v="D005"/>
    <s v="Great Lakes Dairy"/>
    <s v="P005"/>
    <x v="4"/>
    <n v="38"/>
    <n v="45"/>
    <x v="1"/>
    <x v="2"/>
  </r>
  <r>
    <d v="2024-03-21T00:00:00"/>
    <s v="D005"/>
    <s v="Great Lakes Dairy"/>
    <s v="P006"/>
    <x v="5"/>
    <n v="32"/>
    <n v="33.799999999999997"/>
    <x v="0"/>
    <x v="0"/>
  </r>
  <r>
    <d v="2024-03-22T00:00:00"/>
    <s v="D001"/>
    <s v="Green Valley Produce"/>
    <s v="P001"/>
    <x v="0"/>
    <n v="34"/>
    <n v="36"/>
    <x v="0"/>
    <x v="0"/>
  </r>
  <r>
    <d v="2024-03-22T00:00:00"/>
    <s v="D001"/>
    <s v="Green Valley Produce"/>
    <s v="P002"/>
    <x v="1"/>
    <n v="38"/>
    <n v="39.200000000000003"/>
    <x v="0"/>
    <x v="0"/>
  </r>
  <r>
    <d v="2024-03-22T00:00:00"/>
    <s v="D001"/>
    <s v="Green Valley Produce"/>
    <s v="P003"/>
    <x v="2"/>
    <n v="32"/>
    <n v="32.5"/>
    <x v="0"/>
    <x v="0"/>
  </r>
  <r>
    <d v="2024-03-22T00:00:00"/>
    <s v="D001"/>
    <s v="Green Valley Produce"/>
    <s v="P004"/>
    <x v="3"/>
    <n v="50"/>
    <n v="49.5"/>
    <x v="0"/>
    <x v="0"/>
  </r>
  <r>
    <d v="2024-03-22T00:00:00"/>
    <s v="D001"/>
    <s v="Green Valley Produce"/>
    <s v="P005"/>
    <x v="4"/>
    <n v="38"/>
    <n v="38.9"/>
    <x v="0"/>
    <x v="0"/>
  </r>
  <r>
    <d v="2024-03-22T00:00:00"/>
    <s v="D001"/>
    <s v="Green Valley Produce"/>
    <s v="P006"/>
    <x v="5"/>
    <n v="32"/>
    <n v="34.799999999999997"/>
    <x v="0"/>
    <x v="0"/>
  </r>
  <r>
    <d v="2024-03-22T00:00:00"/>
    <s v="D002"/>
    <s v="Fresh Coast Foods"/>
    <s v="P001"/>
    <x v="0"/>
    <n v="34"/>
    <n v="33.700000000000003"/>
    <x v="0"/>
    <x v="0"/>
  </r>
  <r>
    <d v="2024-03-22T00:00:00"/>
    <s v="D002"/>
    <s v="Fresh Coast Foods"/>
    <s v="P002"/>
    <x v="1"/>
    <n v="38"/>
    <n v="40.9"/>
    <x v="0"/>
    <x v="0"/>
  </r>
  <r>
    <d v="2024-03-22T00:00:00"/>
    <s v="D002"/>
    <s v="Fresh Coast Foods"/>
    <s v="P003"/>
    <x v="2"/>
    <n v="32"/>
    <n v="34.799999999999997"/>
    <x v="0"/>
    <x v="0"/>
  </r>
  <r>
    <d v="2024-03-22T00:00:00"/>
    <s v="D002"/>
    <s v="Fresh Coast Foods"/>
    <s v="P004"/>
    <x v="3"/>
    <n v="50"/>
    <n v="63.8"/>
    <x v="1"/>
    <x v="1"/>
  </r>
  <r>
    <d v="2024-03-22T00:00:00"/>
    <s v="D002"/>
    <s v="Fresh Coast Foods"/>
    <s v="P005"/>
    <x v="4"/>
    <n v="38"/>
    <n v="40.299999999999997"/>
    <x v="0"/>
    <x v="0"/>
  </r>
  <r>
    <d v="2024-03-22T00:00:00"/>
    <s v="D002"/>
    <s v="Fresh Coast Foods"/>
    <s v="P006"/>
    <x v="5"/>
    <n v="32"/>
    <n v="33.1"/>
    <x v="0"/>
    <x v="0"/>
  </r>
  <r>
    <d v="2024-03-22T00:00:00"/>
    <s v="D003"/>
    <s v="Heartland Meats"/>
    <s v="P001"/>
    <x v="0"/>
    <n v="34"/>
    <n v="33.299999999999997"/>
    <x v="0"/>
    <x v="0"/>
  </r>
  <r>
    <d v="2024-03-22T00:00:00"/>
    <s v="D003"/>
    <s v="Heartland Meats"/>
    <s v="P002"/>
    <x v="1"/>
    <n v="38"/>
    <n v="39"/>
    <x v="0"/>
    <x v="0"/>
  </r>
  <r>
    <d v="2024-03-22T00:00:00"/>
    <s v="D003"/>
    <s v="Heartland Meats"/>
    <s v="P003"/>
    <x v="2"/>
    <n v="32"/>
    <n v="32.6"/>
    <x v="0"/>
    <x v="0"/>
  </r>
  <r>
    <d v="2024-03-22T00:00:00"/>
    <s v="D003"/>
    <s v="Heartland Meats"/>
    <s v="P004"/>
    <x v="3"/>
    <n v="50"/>
    <n v="49.8"/>
    <x v="0"/>
    <x v="0"/>
  </r>
  <r>
    <d v="2024-03-22T00:00:00"/>
    <s v="D003"/>
    <s v="Heartland Meats"/>
    <s v="P005"/>
    <x v="4"/>
    <n v="38"/>
    <n v="48.6"/>
    <x v="1"/>
    <x v="1"/>
  </r>
  <r>
    <d v="2024-03-22T00:00:00"/>
    <s v="D003"/>
    <s v="Heartland Meats"/>
    <s v="P006"/>
    <x v="5"/>
    <n v="32"/>
    <n v="31"/>
    <x v="0"/>
    <x v="0"/>
  </r>
  <r>
    <d v="2024-03-22T00:00:00"/>
    <s v="D004"/>
    <s v="Southwest Organics"/>
    <s v="P001"/>
    <x v="0"/>
    <n v="34"/>
    <n v="35.1"/>
    <x v="0"/>
    <x v="0"/>
  </r>
  <r>
    <d v="2024-03-22T00:00:00"/>
    <s v="D004"/>
    <s v="Southwest Organics"/>
    <s v="P002"/>
    <x v="1"/>
    <n v="38"/>
    <n v="39.9"/>
    <x v="0"/>
    <x v="0"/>
  </r>
  <r>
    <d v="2024-03-22T00:00:00"/>
    <s v="D004"/>
    <s v="Southwest Organics"/>
    <s v="P003"/>
    <x v="2"/>
    <n v="32"/>
    <n v="34.4"/>
    <x v="0"/>
    <x v="0"/>
  </r>
  <r>
    <d v="2024-03-22T00:00:00"/>
    <s v="D004"/>
    <s v="Southwest Organics"/>
    <s v="P004"/>
    <x v="3"/>
    <n v="50"/>
    <n v="50.1"/>
    <x v="0"/>
    <x v="0"/>
  </r>
  <r>
    <d v="2024-03-22T00:00:00"/>
    <s v="D004"/>
    <s v="Southwest Organics"/>
    <s v="P005"/>
    <x v="4"/>
    <n v="38"/>
    <n v="45.8"/>
    <x v="1"/>
    <x v="2"/>
  </r>
  <r>
    <d v="2024-03-22T00:00:00"/>
    <s v="D004"/>
    <s v="Southwest Organics"/>
    <s v="P006"/>
    <x v="5"/>
    <n v="32"/>
    <n v="32.200000000000003"/>
    <x v="0"/>
    <x v="0"/>
  </r>
  <r>
    <d v="2024-03-22T00:00:00"/>
    <s v="D005"/>
    <s v="Great Lakes Dairy"/>
    <s v="P001"/>
    <x v="0"/>
    <n v="34"/>
    <n v="36.799999999999997"/>
    <x v="0"/>
    <x v="0"/>
  </r>
  <r>
    <d v="2024-03-22T00:00:00"/>
    <s v="D005"/>
    <s v="Great Lakes Dairy"/>
    <s v="P002"/>
    <x v="1"/>
    <n v="38"/>
    <n v="37.5"/>
    <x v="0"/>
    <x v="0"/>
  </r>
  <r>
    <d v="2024-03-22T00:00:00"/>
    <s v="D005"/>
    <s v="Great Lakes Dairy"/>
    <s v="P003"/>
    <x v="2"/>
    <n v="32"/>
    <n v="31.2"/>
    <x v="0"/>
    <x v="0"/>
  </r>
  <r>
    <d v="2024-03-22T00:00:00"/>
    <s v="D005"/>
    <s v="Great Lakes Dairy"/>
    <s v="P004"/>
    <x v="3"/>
    <n v="50"/>
    <n v="53"/>
    <x v="0"/>
    <x v="0"/>
  </r>
  <r>
    <d v="2024-03-22T00:00:00"/>
    <s v="D005"/>
    <s v="Great Lakes Dairy"/>
    <s v="P005"/>
    <x v="4"/>
    <n v="38"/>
    <n v="37.5"/>
    <x v="0"/>
    <x v="0"/>
  </r>
  <r>
    <d v="2024-03-22T00:00:00"/>
    <s v="D005"/>
    <s v="Great Lakes Dairy"/>
    <s v="P006"/>
    <x v="5"/>
    <n v="32"/>
    <n v="33.5"/>
    <x v="0"/>
    <x v="0"/>
  </r>
  <r>
    <d v="2024-03-23T00:00:00"/>
    <s v="D001"/>
    <s v="Green Valley Produce"/>
    <s v="P001"/>
    <x v="0"/>
    <n v="34"/>
    <n v="34.299999999999997"/>
    <x v="0"/>
    <x v="0"/>
  </r>
  <r>
    <d v="2024-03-23T00:00:00"/>
    <s v="D001"/>
    <s v="Green Valley Produce"/>
    <s v="P002"/>
    <x v="1"/>
    <n v="38"/>
    <n v="40.5"/>
    <x v="0"/>
    <x v="0"/>
  </r>
  <r>
    <d v="2024-03-23T00:00:00"/>
    <s v="D001"/>
    <s v="Green Valley Produce"/>
    <s v="P003"/>
    <x v="2"/>
    <n v="32"/>
    <n v="31.5"/>
    <x v="0"/>
    <x v="0"/>
  </r>
  <r>
    <d v="2024-03-23T00:00:00"/>
    <s v="D001"/>
    <s v="Green Valley Produce"/>
    <s v="P004"/>
    <x v="3"/>
    <n v="50"/>
    <n v="50.2"/>
    <x v="0"/>
    <x v="0"/>
  </r>
  <r>
    <d v="2024-03-23T00:00:00"/>
    <s v="D001"/>
    <s v="Green Valley Produce"/>
    <s v="P005"/>
    <x v="4"/>
    <n v="38"/>
    <n v="39.5"/>
    <x v="0"/>
    <x v="0"/>
  </r>
  <r>
    <d v="2024-03-23T00:00:00"/>
    <s v="D001"/>
    <s v="Green Valley Produce"/>
    <s v="P006"/>
    <x v="5"/>
    <n v="32"/>
    <n v="40.799999999999997"/>
    <x v="1"/>
    <x v="2"/>
  </r>
  <r>
    <d v="2024-03-23T00:00:00"/>
    <s v="D002"/>
    <s v="Fresh Coast Foods"/>
    <s v="P001"/>
    <x v="0"/>
    <n v="34"/>
    <n v="34.1"/>
    <x v="0"/>
    <x v="0"/>
  </r>
  <r>
    <d v="2024-03-23T00:00:00"/>
    <s v="D002"/>
    <s v="Fresh Coast Foods"/>
    <s v="P002"/>
    <x v="1"/>
    <n v="38"/>
    <n v="37.1"/>
    <x v="0"/>
    <x v="0"/>
  </r>
  <r>
    <d v="2024-03-23T00:00:00"/>
    <s v="D002"/>
    <s v="Fresh Coast Foods"/>
    <s v="P003"/>
    <x v="2"/>
    <n v="32"/>
    <n v="34.5"/>
    <x v="0"/>
    <x v="0"/>
  </r>
  <r>
    <d v="2024-03-23T00:00:00"/>
    <s v="D002"/>
    <s v="Fresh Coast Foods"/>
    <s v="P004"/>
    <x v="3"/>
    <n v="50"/>
    <n v="51.3"/>
    <x v="0"/>
    <x v="0"/>
  </r>
  <r>
    <d v="2024-03-23T00:00:00"/>
    <s v="D002"/>
    <s v="Fresh Coast Foods"/>
    <s v="P005"/>
    <x v="4"/>
    <n v="38"/>
    <n v="39.799999999999997"/>
    <x v="0"/>
    <x v="0"/>
  </r>
  <r>
    <d v="2024-03-23T00:00:00"/>
    <s v="D002"/>
    <s v="Fresh Coast Foods"/>
    <s v="P006"/>
    <x v="5"/>
    <n v="32"/>
    <n v="32"/>
    <x v="0"/>
    <x v="0"/>
  </r>
  <r>
    <d v="2024-03-23T00:00:00"/>
    <s v="D003"/>
    <s v="Heartland Meats"/>
    <s v="P001"/>
    <x v="0"/>
    <n v="34"/>
    <n v="35.4"/>
    <x v="0"/>
    <x v="0"/>
  </r>
  <r>
    <d v="2024-03-23T00:00:00"/>
    <s v="D003"/>
    <s v="Heartland Meats"/>
    <s v="P002"/>
    <x v="1"/>
    <n v="38"/>
    <n v="38.799999999999997"/>
    <x v="0"/>
    <x v="0"/>
  </r>
  <r>
    <d v="2024-03-23T00:00:00"/>
    <s v="D003"/>
    <s v="Heartland Meats"/>
    <s v="P003"/>
    <x v="2"/>
    <n v="32"/>
    <n v="31.8"/>
    <x v="0"/>
    <x v="0"/>
  </r>
  <r>
    <d v="2024-03-23T00:00:00"/>
    <s v="D003"/>
    <s v="Heartland Meats"/>
    <s v="P004"/>
    <x v="3"/>
    <n v="50"/>
    <n v="52.4"/>
    <x v="0"/>
    <x v="0"/>
  </r>
  <r>
    <d v="2024-03-23T00:00:00"/>
    <s v="D003"/>
    <s v="Heartland Meats"/>
    <s v="P005"/>
    <x v="4"/>
    <n v="38"/>
    <n v="38.799999999999997"/>
    <x v="0"/>
    <x v="0"/>
  </r>
  <r>
    <d v="2024-03-23T00:00:00"/>
    <s v="D003"/>
    <s v="Heartland Meats"/>
    <s v="P006"/>
    <x v="5"/>
    <n v="32"/>
    <n v="32.700000000000003"/>
    <x v="0"/>
    <x v="0"/>
  </r>
  <r>
    <d v="2024-03-23T00:00:00"/>
    <s v="D004"/>
    <s v="Southwest Organics"/>
    <s v="P001"/>
    <x v="0"/>
    <n v="34"/>
    <n v="43.8"/>
    <x v="1"/>
    <x v="2"/>
  </r>
  <r>
    <d v="2024-03-23T00:00:00"/>
    <s v="D004"/>
    <s v="Southwest Organics"/>
    <s v="P002"/>
    <x v="1"/>
    <n v="38"/>
    <n v="38.799999999999997"/>
    <x v="0"/>
    <x v="0"/>
  </r>
  <r>
    <d v="2024-03-23T00:00:00"/>
    <s v="D004"/>
    <s v="Southwest Organics"/>
    <s v="P003"/>
    <x v="2"/>
    <n v="32"/>
    <n v="31.7"/>
    <x v="0"/>
    <x v="0"/>
  </r>
  <r>
    <d v="2024-03-23T00:00:00"/>
    <s v="D004"/>
    <s v="Southwest Organics"/>
    <s v="P004"/>
    <x v="3"/>
    <n v="50"/>
    <n v="52.8"/>
    <x v="0"/>
    <x v="0"/>
  </r>
  <r>
    <d v="2024-03-23T00:00:00"/>
    <s v="D004"/>
    <s v="Southwest Organics"/>
    <s v="P005"/>
    <x v="4"/>
    <n v="38"/>
    <n v="38.1"/>
    <x v="0"/>
    <x v="0"/>
  </r>
  <r>
    <d v="2024-03-23T00:00:00"/>
    <s v="D004"/>
    <s v="Southwest Organics"/>
    <s v="P006"/>
    <x v="5"/>
    <n v="32"/>
    <n v="34.5"/>
    <x v="0"/>
    <x v="0"/>
  </r>
  <r>
    <d v="2024-03-23T00:00:00"/>
    <s v="D005"/>
    <s v="Great Lakes Dairy"/>
    <s v="P001"/>
    <x v="0"/>
    <n v="34"/>
    <n v="35.700000000000003"/>
    <x v="0"/>
    <x v="0"/>
  </r>
  <r>
    <d v="2024-03-23T00:00:00"/>
    <s v="D005"/>
    <s v="Great Lakes Dairy"/>
    <s v="P002"/>
    <x v="1"/>
    <n v="38"/>
    <n v="37.6"/>
    <x v="0"/>
    <x v="0"/>
  </r>
  <r>
    <d v="2024-03-23T00:00:00"/>
    <s v="D005"/>
    <s v="Great Lakes Dairy"/>
    <s v="P003"/>
    <x v="2"/>
    <n v="32"/>
    <n v="32.799999999999997"/>
    <x v="0"/>
    <x v="0"/>
  </r>
  <r>
    <d v="2024-03-23T00:00:00"/>
    <s v="D005"/>
    <s v="Great Lakes Dairy"/>
    <s v="P004"/>
    <x v="3"/>
    <n v="50"/>
    <n v="50.6"/>
    <x v="0"/>
    <x v="0"/>
  </r>
  <r>
    <d v="2024-03-23T00:00:00"/>
    <s v="D005"/>
    <s v="Great Lakes Dairy"/>
    <s v="P005"/>
    <x v="4"/>
    <n v="38"/>
    <n v="37.5"/>
    <x v="0"/>
    <x v="0"/>
  </r>
  <r>
    <d v="2024-03-23T00:00:00"/>
    <s v="D005"/>
    <s v="Great Lakes Dairy"/>
    <s v="P006"/>
    <x v="5"/>
    <n v="32"/>
    <n v="31"/>
    <x v="0"/>
    <x v="0"/>
  </r>
  <r>
    <d v="2024-03-24T00:00:00"/>
    <s v="D001"/>
    <s v="Green Valley Produce"/>
    <s v="P001"/>
    <x v="0"/>
    <n v="34"/>
    <n v="43.1"/>
    <x v="1"/>
    <x v="2"/>
  </r>
  <r>
    <d v="2024-03-24T00:00:00"/>
    <s v="D001"/>
    <s v="Green Valley Produce"/>
    <s v="P002"/>
    <x v="1"/>
    <n v="38"/>
    <n v="44.1"/>
    <x v="1"/>
    <x v="2"/>
  </r>
  <r>
    <d v="2024-03-24T00:00:00"/>
    <s v="D001"/>
    <s v="Green Valley Produce"/>
    <s v="P003"/>
    <x v="2"/>
    <n v="32"/>
    <n v="34.700000000000003"/>
    <x v="0"/>
    <x v="0"/>
  </r>
  <r>
    <d v="2024-03-24T00:00:00"/>
    <s v="D001"/>
    <s v="Green Valley Produce"/>
    <s v="P004"/>
    <x v="3"/>
    <n v="50"/>
    <n v="62.2"/>
    <x v="1"/>
    <x v="1"/>
  </r>
  <r>
    <d v="2024-03-24T00:00:00"/>
    <s v="D001"/>
    <s v="Green Valley Produce"/>
    <s v="P005"/>
    <x v="4"/>
    <n v="38"/>
    <n v="40.799999999999997"/>
    <x v="0"/>
    <x v="0"/>
  </r>
  <r>
    <d v="2024-03-24T00:00:00"/>
    <s v="D001"/>
    <s v="Green Valley Produce"/>
    <s v="P006"/>
    <x v="5"/>
    <n v="32"/>
    <n v="34.200000000000003"/>
    <x v="0"/>
    <x v="0"/>
  </r>
  <r>
    <d v="2024-03-24T00:00:00"/>
    <s v="D002"/>
    <s v="Fresh Coast Foods"/>
    <s v="P001"/>
    <x v="0"/>
    <n v="34"/>
    <n v="46.3"/>
    <x v="1"/>
    <x v="1"/>
  </r>
  <r>
    <d v="2024-03-24T00:00:00"/>
    <s v="D002"/>
    <s v="Fresh Coast Foods"/>
    <s v="P002"/>
    <x v="1"/>
    <n v="38"/>
    <n v="40.299999999999997"/>
    <x v="0"/>
    <x v="0"/>
  </r>
  <r>
    <d v="2024-03-24T00:00:00"/>
    <s v="D002"/>
    <s v="Fresh Coast Foods"/>
    <s v="P003"/>
    <x v="2"/>
    <n v="32"/>
    <n v="31.3"/>
    <x v="0"/>
    <x v="0"/>
  </r>
  <r>
    <d v="2024-03-24T00:00:00"/>
    <s v="D002"/>
    <s v="Fresh Coast Foods"/>
    <s v="P004"/>
    <x v="3"/>
    <n v="50"/>
    <n v="62.1"/>
    <x v="1"/>
    <x v="1"/>
  </r>
  <r>
    <d v="2024-03-24T00:00:00"/>
    <s v="D002"/>
    <s v="Fresh Coast Foods"/>
    <s v="P005"/>
    <x v="4"/>
    <n v="38"/>
    <n v="40.299999999999997"/>
    <x v="0"/>
    <x v="0"/>
  </r>
  <r>
    <d v="2024-03-24T00:00:00"/>
    <s v="D002"/>
    <s v="Fresh Coast Foods"/>
    <s v="P006"/>
    <x v="5"/>
    <n v="32"/>
    <n v="32.9"/>
    <x v="0"/>
    <x v="0"/>
  </r>
  <r>
    <d v="2024-03-24T00:00:00"/>
    <s v="D003"/>
    <s v="Heartland Meats"/>
    <s v="P001"/>
    <x v="0"/>
    <n v="34"/>
    <n v="35.200000000000003"/>
    <x v="0"/>
    <x v="0"/>
  </r>
  <r>
    <d v="2024-03-24T00:00:00"/>
    <s v="D003"/>
    <s v="Heartland Meats"/>
    <s v="P002"/>
    <x v="1"/>
    <n v="38"/>
    <n v="39.200000000000003"/>
    <x v="0"/>
    <x v="0"/>
  </r>
  <r>
    <d v="2024-03-24T00:00:00"/>
    <s v="D003"/>
    <s v="Heartland Meats"/>
    <s v="P003"/>
    <x v="2"/>
    <n v="32"/>
    <n v="38.4"/>
    <x v="1"/>
    <x v="2"/>
  </r>
  <r>
    <d v="2024-03-24T00:00:00"/>
    <s v="D003"/>
    <s v="Heartland Meats"/>
    <s v="P004"/>
    <x v="3"/>
    <n v="50"/>
    <n v="49.4"/>
    <x v="0"/>
    <x v="0"/>
  </r>
  <r>
    <d v="2024-03-24T00:00:00"/>
    <s v="D003"/>
    <s v="Heartland Meats"/>
    <s v="P005"/>
    <x v="4"/>
    <n v="38"/>
    <n v="38.700000000000003"/>
    <x v="0"/>
    <x v="0"/>
  </r>
  <r>
    <d v="2024-03-24T00:00:00"/>
    <s v="D003"/>
    <s v="Heartland Meats"/>
    <s v="P006"/>
    <x v="5"/>
    <n v="32"/>
    <n v="39.799999999999997"/>
    <x v="1"/>
    <x v="2"/>
  </r>
  <r>
    <d v="2024-03-24T00:00:00"/>
    <s v="D004"/>
    <s v="Southwest Organics"/>
    <s v="P001"/>
    <x v="0"/>
    <n v="34"/>
    <n v="34.5"/>
    <x v="0"/>
    <x v="0"/>
  </r>
  <r>
    <d v="2024-03-24T00:00:00"/>
    <s v="D004"/>
    <s v="Southwest Organics"/>
    <s v="P002"/>
    <x v="1"/>
    <n v="38"/>
    <n v="38.1"/>
    <x v="0"/>
    <x v="0"/>
  </r>
  <r>
    <d v="2024-03-24T00:00:00"/>
    <s v="D004"/>
    <s v="Southwest Organics"/>
    <s v="P003"/>
    <x v="2"/>
    <n v="32"/>
    <n v="33.700000000000003"/>
    <x v="0"/>
    <x v="0"/>
  </r>
  <r>
    <d v="2024-03-24T00:00:00"/>
    <s v="D004"/>
    <s v="Southwest Organics"/>
    <s v="P004"/>
    <x v="3"/>
    <n v="50"/>
    <n v="51.9"/>
    <x v="0"/>
    <x v="0"/>
  </r>
  <r>
    <d v="2024-03-24T00:00:00"/>
    <s v="D004"/>
    <s v="Southwest Organics"/>
    <s v="P005"/>
    <x v="4"/>
    <n v="38"/>
    <n v="39"/>
    <x v="0"/>
    <x v="0"/>
  </r>
  <r>
    <d v="2024-03-24T00:00:00"/>
    <s v="D004"/>
    <s v="Southwest Organics"/>
    <s v="P006"/>
    <x v="5"/>
    <n v="32"/>
    <n v="31.9"/>
    <x v="0"/>
    <x v="0"/>
  </r>
  <r>
    <d v="2024-03-24T00:00:00"/>
    <s v="D005"/>
    <s v="Great Lakes Dairy"/>
    <s v="P001"/>
    <x v="0"/>
    <n v="34"/>
    <n v="34.1"/>
    <x v="0"/>
    <x v="0"/>
  </r>
  <r>
    <d v="2024-03-24T00:00:00"/>
    <s v="D005"/>
    <s v="Great Lakes Dairy"/>
    <s v="P002"/>
    <x v="1"/>
    <n v="38"/>
    <n v="46.7"/>
    <x v="1"/>
    <x v="2"/>
  </r>
  <r>
    <d v="2024-03-24T00:00:00"/>
    <s v="D005"/>
    <s v="Great Lakes Dairy"/>
    <s v="P003"/>
    <x v="2"/>
    <n v="32"/>
    <n v="34.700000000000003"/>
    <x v="0"/>
    <x v="0"/>
  </r>
  <r>
    <d v="2024-03-24T00:00:00"/>
    <s v="D005"/>
    <s v="Great Lakes Dairy"/>
    <s v="P004"/>
    <x v="3"/>
    <n v="50"/>
    <n v="56.3"/>
    <x v="1"/>
    <x v="2"/>
  </r>
  <r>
    <d v="2024-03-24T00:00:00"/>
    <s v="D005"/>
    <s v="Great Lakes Dairy"/>
    <s v="P005"/>
    <x v="4"/>
    <n v="38"/>
    <n v="47.4"/>
    <x v="1"/>
    <x v="2"/>
  </r>
  <r>
    <d v="2024-03-24T00:00:00"/>
    <s v="D005"/>
    <s v="Great Lakes Dairy"/>
    <s v="P006"/>
    <x v="5"/>
    <n v="32"/>
    <n v="31.7"/>
    <x v="0"/>
    <x v="0"/>
  </r>
  <r>
    <d v="2024-03-25T00:00:00"/>
    <s v="D001"/>
    <s v="Green Valley Produce"/>
    <s v="P001"/>
    <x v="0"/>
    <n v="34"/>
    <n v="36.6"/>
    <x v="0"/>
    <x v="0"/>
  </r>
  <r>
    <d v="2024-03-25T00:00:00"/>
    <s v="D001"/>
    <s v="Green Valley Produce"/>
    <s v="P002"/>
    <x v="1"/>
    <n v="38"/>
    <n v="39.5"/>
    <x v="0"/>
    <x v="0"/>
  </r>
  <r>
    <d v="2024-03-25T00:00:00"/>
    <s v="D001"/>
    <s v="Green Valley Produce"/>
    <s v="P003"/>
    <x v="2"/>
    <n v="32"/>
    <n v="34.5"/>
    <x v="0"/>
    <x v="0"/>
  </r>
  <r>
    <d v="2024-03-25T00:00:00"/>
    <s v="D001"/>
    <s v="Green Valley Produce"/>
    <s v="P004"/>
    <x v="3"/>
    <n v="50"/>
    <n v="51"/>
    <x v="0"/>
    <x v="0"/>
  </r>
  <r>
    <d v="2024-03-25T00:00:00"/>
    <s v="D001"/>
    <s v="Green Valley Produce"/>
    <s v="P005"/>
    <x v="4"/>
    <n v="38"/>
    <n v="38.1"/>
    <x v="0"/>
    <x v="0"/>
  </r>
  <r>
    <d v="2024-03-25T00:00:00"/>
    <s v="D001"/>
    <s v="Green Valley Produce"/>
    <s v="P006"/>
    <x v="5"/>
    <n v="32"/>
    <n v="34.200000000000003"/>
    <x v="0"/>
    <x v="0"/>
  </r>
  <r>
    <d v="2024-03-25T00:00:00"/>
    <s v="D002"/>
    <s v="Fresh Coast Foods"/>
    <s v="P001"/>
    <x v="0"/>
    <n v="34"/>
    <n v="36.4"/>
    <x v="0"/>
    <x v="0"/>
  </r>
  <r>
    <d v="2024-03-25T00:00:00"/>
    <s v="D002"/>
    <s v="Fresh Coast Foods"/>
    <s v="P002"/>
    <x v="1"/>
    <n v="38"/>
    <n v="40.1"/>
    <x v="0"/>
    <x v="0"/>
  </r>
  <r>
    <d v="2024-03-25T00:00:00"/>
    <s v="D002"/>
    <s v="Fresh Coast Foods"/>
    <s v="P003"/>
    <x v="2"/>
    <n v="32"/>
    <n v="39.200000000000003"/>
    <x v="1"/>
    <x v="2"/>
  </r>
  <r>
    <d v="2024-03-25T00:00:00"/>
    <s v="D002"/>
    <s v="Fresh Coast Foods"/>
    <s v="P004"/>
    <x v="3"/>
    <n v="50"/>
    <n v="52.2"/>
    <x v="0"/>
    <x v="0"/>
  </r>
  <r>
    <d v="2024-03-25T00:00:00"/>
    <s v="D002"/>
    <s v="Fresh Coast Foods"/>
    <s v="P005"/>
    <x v="4"/>
    <n v="38"/>
    <n v="40.299999999999997"/>
    <x v="0"/>
    <x v="0"/>
  </r>
  <r>
    <d v="2024-03-25T00:00:00"/>
    <s v="D002"/>
    <s v="Fresh Coast Foods"/>
    <s v="P006"/>
    <x v="5"/>
    <n v="32"/>
    <n v="41.4"/>
    <x v="1"/>
    <x v="2"/>
  </r>
  <r>
    <d v="2024-03-25T00:00:00"/>
    <s v="D003"/>
    <s v="Heartland Meats"/>
    <s v="P001"/>
    <x v="0"/>
    <n v="34"/>
    <n v="33.6"/>
    <x v="0"/>
    <x v="0"/>
  </r>
  <r>
    <d v="2024-03-25T00:00:00"/>
    <s v="D003"/>
    <s v="Heartland Meats"/>
    <s v="P002"/>
    <x v="1"/>
    <n v="38"/>
    <n v="37.5"/>
    <x v="0"/>
    <x v="0"/>
  </r>
  <r>
    <d v="2024-03-25T00:00:00"/>
    <s v="D003"/>
    <s v="Heartland Meats"/>
    <s v="P003"/>
    <x v="2"/>
    <n v="32"/>
    <n v="32.4"/>
    <x v="0"/>
    <x v="0"/>
  </r>
  <r>
    <d v="2024-03-25T00:00:00"/>
    <s v="D003"/>
    <s v="Heartland Meats"/>
    <s v="P004"/>
    <x v="3"/>
    <n v="50"/>
    <n v="50.9"/>
    <x v="0"/>
    <x v="0"/>
  </r>
  <r>
    <d v="2024-03-25T00:00:00"/>
    <s v="D003"/>
    <s v="Heartland Meats"/>
    <s v="P005"/>
    <x v="4"/>
    <n v="38"/>
    <n v="39.4"/>
    <x v="0"/>
    <x v="0"/>
  </r>
  <r>
    <d v="2024-03-25T00:00:00"/>
    <s v="D003"/>
    <s v="Heartland Meats"/>
    <s v="P006"/>
    <x v="5"/>
    <n v="32"/>
    <n v="31.6"/>
    <x v="0"/>
    <x v="0"/>
  </r>
  <r>
    <d v="2024-03-25T00:00:00"/>
    <s v="D004"/>
    <s v="Southwest Organics"/>
    <s v="P001"/>
    <x v="0"/>
    <n v="34"/>
    <n v="36.700000000000003"/>
    <x v="0"/>
    <x v="0"/>
  </r>
  <r>
    <d v="2024-03-25T00:00:00"/>
    <s v="D004"/>
    <s v="Southwest Organics"/>
    <s v="P002"/>
    <x v="1"/>
    <n v="38"/>
    <n v="39.200000000000003"/>
    <x v="0"/>
    <x v="0"/>
  </r>
  <r>
    <d v="2024-03-25T00:00:00"/>
    <s v="D004"/>
    <s v="Southwest Organics"/>
    <s v="P003"/>
    <x v="2"/>
    <n v="32"/>
    <n v="33"/>
    <x v="0"/>
    <x v="0"/>
  </r>
  <r>
    <d v="2024-03-25T00:00:00"/>
    <s v="D004"/>
    <s v="Southwest Organics"/>
    <s v="P004"/>
    <x v="3"/>
    <n v="50"/>
    <n v="49.9"/>
    <x v="0"/>
    <x v="0"/>
  </r>
  <r>
    <d v="2024-03-25T00:00:00"/>
    <s v="D004"/>
    <s v="Southwest Organics"/>
    <s v="P005"/>
    <x v="4"/>
    <n v="38"/>
    <n v="49.7"/>
    <x v="1"/>
    <x v="1"/>
  </r>
  <r>
    <d v="2024-03-25T00:00:00"/>
    <s v="D004"/>
    <s v="Southwest Organics"/>
    <s v="P006"/>
    <x v="5"/>
    <n v="32"/>
    <n v="34.1"/>
    <x v="0"/>
    <x v="0"/>
  </r>
  <r>
    <d v="2024-03-25T00:00:00"/>
    <s v="D005"/>
    <s v="Great Lakes Dairy"/>
    <s v="P001"/>
    <x v="0"/>
    <n v="34"/>
    <n v="33.9"/>
    <x v="0"/>
    <x v="0"/>
  </r>
  <r>
    <d v="2024-03-25T00:00:00"/>
    <s v="D005"/>
    <s v="Great Lakes Dairy"/>
    <s v="P002"/>
    <x v="1"/>
    <n v="38"/>
    <n v="46.9"/>
    <x v="1"/>
    <x v="2"/>
  </r>
  <r>
    <d v="2024-03-25T00:00:00"/>
    <s v="D005"/>
    <s v="Great Lakes Dairy"/>
    <s v="P003"/>
    <x v="2"/>
    <n v="32"/>
    <n v="34.4"/>
    <x v="0"/>
    <x v="0"/>
  </r>
  <r>
    <d v="2024-03-25T00:00:00"/>
    <s v="D005"/>
    <s v="Great Lakes Dairy"/>
    <s v="P004"/>
    <x v="3"/>
    <n v="50"/>
    <n v="50.9"/>
    <x v="0"/>
    <x v="0"/>
  </r>
  <r>
    <d v="2024-03-25T00:00:00"/>
    <s v="D005"/>
    <s v="Great Lakes Dairy"/>
    <s v="P005"/>
    <x v="4"/>
    <n v="38"/>
    <n v="44.9"/>
    <x v="1"/>
    <x v="2"/>
  </r>
  <r>
    <d v="2024-03-25T00:00:00"/>
    <s v="D005"/>
    <s v="Great Lakes Dairy"/>
    <s v="P006"/>
    <x v="5"/>
    <n v="32"/>
    <n v="32.4"/>
    <x v="0"/>
    <x v="0"/>
  </r>
  <r>
    <d v="2024-03-26T00:00:00"/>
    <s v="D001"/>
    <s v="Green Valley Produce"/>
    <s v="P001"/>
    <x v="0"/>
    <n v="34"/>
    <n v="36.1"/>
    <x v="0"/>
    <x v="0"/>
  </r>
  <r>
    <d v="2024-03-26T00:00:00"/>
    <s v="D001"/>
    <s v="Green Valley Produce"/>
    <s v="P002"/>
    <x v="1"/>
    <n v="38"/>
    <n v="47.7"/>
    <x v="1"/>
    <x v="2"/>
  </r>
  <r>
    <d v="2024-03-26T00:00:00"/>
    <s v="D001"/>
    <s v="Green Valley Produce"/>
    <s v="P003"/>
    <x v="2"/>
    <n v="32"/>
    <n v="33.200000000000003"/>
    <x v="0"/>
    <x v="0"/>
  </r>
  <r>
    <d v="2024-03-26T00:00:00"/>
    <s v="D001"/>
    <s v="Green Valley Produce"/>
    <s v="P004"/>
    <x v="3"/>
    <n v="50"/>
    <n v="50.7"/>
    <x v="0"/>
    <x v="0"/>
  </r>
  <r>
    <d v="2024-03-26T00:00:00"/>
    <s v="D001"/>
    <s v="Green Valley Produce"/>
    <s v="P005"/>
    <x v="4"/>
    <n v="38"/>
    <n v="37.9"/>
    <x v="0"/>
    <x v="0"/>
  </r>
  <r>
    <d v="2024-03-26T00:00:00"/>
    <s v="D001"/>
    <s v="Green Valley Produce"/>
    <s v="P006"/>
    <x v="5"/>
    <n v="32"/>
    <n v="31.5"/>
    <x v="0"/>
    <x v="0"/>
  </r>
  <r>
    <d v="2024-03-26T00:00:00"/>
    <s v="D002"/>
    <s v="Fresh Coast Foods"/>
    <s v="P001"/>
    <x v="0"/>
    <n v="34"/>
    <n v="33.6"/>
    <x v="0"/>
    <x v="0"/>
  </r>
  <r>
    <d v="2024-03-26T00:00:00"/>
    <s v="D002"/>
    <s v="Fresh Coast Foods"/>
    <s v="P002"/>
    <x v="1"/>
    <n v="38"/>
    <n v="39.799999999999997"/>
    <x v="0"/>
    <x v="0"/>
  </r>
  <r>
    <d v="2024-03-26T00:00:00"/>
    <s v="D002"/>
    <s v="Fresh Coast Foods"/>
    <s v="P003"/>
    <x v="2"/>
    <n v="32"/>
    <n v="31.2"/>
    <x v="0"/>
    <x v="0"/>
  </r>
  <r>
    <d v="2024-03-26T00:00:00"/>
    <s v="D002"/>
    <s v="Fresh Coast Foods"/>
    <s v="P004"/>
    <x v="3"/>
    <n v="50"/>
    <n v="60.7"/>
    <x v="1"/>
    <x v="1"/>
  </r>
  <r>
    <d v="2024-03-26T00:00:00"/>
    <s v="D002"/>
    <s v="Fresh Coast Foods"/>
    <s v="P005"/>
    <x v="4"/>
    <n v="38"/>
    <n v="39.4"/>
    <x v="0"/>
    <x v="0"/>
  </r>
  <r>
    <d v="2024-03-26T00:00:00"/>
    <s v="D002"/>
    <s v="Fresh Coast Foods"/>
    <s v="P006"/>
    <x v="5"/>
    <n v="32"/>
    <n v="39.200000000000003"/>
    <x v="1"/>
    <x v="2"/>
  </r>
  <r>
    <d v="2024-03-26T00:00:00"/>
    <s v="D003"/>
    <s v="Heartland Meats"/>
    <s v="P001"/>
    <x v="0"/>
    <n v="34"/>
    <n v="42"/>
    <x v="1"/>
    <x v="2"/>
  </r>
  <r>
    <d v="2024-03-26T00:00:00"/>
    <s v="D003"/>
    <s v="Heartland Meats"/>
    <s v="P002"/>
    <x v="1"/>
    <n v="38"/>
    <n v="50.6"/>
    <x v="1"/>
    <x v="1"/>
  </r>
  <r>
    <d v="2024-03-26T00:00:00"/>
    <s v="D003"/>
    <s v="Heartland Meats"/>
    <s v="P003"/>
    <x v="2"/>
    <n v="32"/>
    <n v="34.1"/>
    <x v="0"/>
    <x v="0"/>
  </r>
  <r>
    <d v="2024-03-26T00:00:00"/>
    <s v="D003"/>
    <s v="Heartland Meats"/>
    <s v="P004"/>
    <x v="3"/>
    <n v="50"/>
    <n v="49.6"/>
    <x v="0"/>
    <x v="0"/>
  </r>
  <r>
    <d v="2024-03-26T00:00:00"/>
    <s v="D003"/>
    <s v="Heartland Meats"/>
    <s v="P005"/>
    <x v="4"/>
    <n v="38"/>
    <n v="40.799999999999997"/>
    <x v="0"/>
    <x v="0"/>
  </r>
  <r>
    <d v="2024-03-26T00:00:00"/>
    <s v="D003"/>
    <s v="Heartland Meats"/>
    <s v="P006"/>
    <x v="5"/>
    <n v="32"/>
    <n v="33.9"/>
    <x v="0"/>
    <x v="0"/>
  </r>
  <r>
    <d v="2024-03-26T00:00:00"/>
    <s v="D004"/>
    <s v="Southwest Organics"/>
    <s v="P001"/>
    <x v="0"/>
    <n v="34"/>
    <n v="35.6"/>
    <x v="0"/>
    <x v="0"/>
  </r>
  <r>
    <d v="2024-03-26T00:00:00"/>
    <s v="D004"/>
    <s v="Southwest Organics"/>
    <s v="P002"/>
    <x v="1"/>
    <n v="38"/>
    <n v="44.9"/>
    <x v="1"/>
    <x v="2"/>
  </r>
  <r>
    <d v="2024-03-26T00:00:00"/>
    <s v="D004"/>
    <s v="Southwest Organics"/>
    <s v="P003"/>
    <x v="2"/>
    <n v="32"/>
    <n v="43.1"/>
    <x v="1"/>
    <x v="1"/>
  </r>
  <r>
    <d v="2024-03-26T00:00:00"/>
    <s v="D004"/>
    <s v="Southwest Organics"/>
    <s v="P004"/>
    <x v="3"/>
    <n v="50"/>
    <n v="49.7"/>
    <x v="0"/>
    <x v="0"/>
  </r>
  <r>
    <d v="2024-03-26T00:00:00"/>
    <s v="D004"/>
    <s v="Southwest Organics"/>
    <s v="P005"/>
    <x v="4"/>
    <n v="38"/>
    <n v="47.2"/>
    <x v="1"/>
    <x v="2"/>
  </r>
  <r>
    <d v="2024-03-26T00:00:00"/>
    <s v="D004"/>
    <s v="Southwest Organics"/>
    <s v="P006"/>
    <x v="5"/>
    <n v="32"/>
    <n v="34.799999999999997"/>
    <x v="0"/>
    <x v="0"/>
  </r>
  <r>
    <d v="2024-03-26T00:00:00"/>
    <s v="D005"/>
    <s v="Great Lakes Dairy"/>
    <s v="P001"/>
    <x v="0"/>
    <n v="34"/>
    <n v="35.799999999999997"/>
    <x v="0"/>
    <x v="0"/>
  </r>
  <r>
    <d v="2024-03-26T00:00:00"/>
    <s v="D005"/>
    <s v="Great Lakes Dairy"/>
    <s v="P002"/>
    <x v="1"/>
    <n v="38"/>
    <n v="39.299999999999997"/>
    <x v="0"/>
    <x v="0"/>
  </r>
  <r>
    <d v="2024-03-26T00:00:00"/>
    <s v="D005"/>
    <s v="Great Lakes Dairy"/>
    <s v="P003"/>
    <x v="2"/>
    <n v="32"/>
    <n v="31.9"/>
    <x v="0"/>
    <x v="0"/>
  </r>
  <r>
    <d v="2024-03-26T00:00:00"/>
    <s v="D005"/>
    <s v="Great Lakes Dairy"/>
    <s v="P004"/>
    <x v="3"/>
    <n v="50"/>
    <n v="50.1"/>
    <x v="0"/>
    <x v="0"/>
  </r>
  <r>
    <d v="2024-03-26T00:00:00"/>
    <s v="D005"/>
    <s v="Great Lakes Dairy"/>
    <s v="P005"/>
    <x v="4"/>
    <n v="38"/>
    <n v="47"/>
    <x v="1"/>
    <x v="2"/>
  </r>
  <r>
    <d v="2024-03-26T00:00:00"/>
    <s v="D005"/>
    <s v="Great Lakes Dairy"/>
    <s v="P006"/>
    <x v="5"/>
    <n v="32"/>
    <n v="34"/>
    <x v="0"/>
    <x v="0"/>
  </r>
  <r>
    <d v="2024-03-27T00:00:00"/>
    <s v="D001"/>
    <s v="Green Valley Produce"/>
    <s v="P001"/>
    <x v="0"/>
    <n v="34"/>
    <n v="33.200000000000003"/>
    <x v="0"/>
    <x v="0"/>
  </r>
  <r>
    <d v="2024-03-27T00:00:00"/>
    <s v="D001"/>
    <s v="Green Valley Produce"/>
    <s v="P002"/>
    <x v="1"/>
    <n v="38"/>
    <n v="40.299999999999997"/>
    <x v="0"/>
    <x v="0"/>
  </r>
  <r>
    <d v="2024-03-27T00:00:00"/>
    <s v="D001"/>
    <s v="Green Valley Produce"/>
    <s v="P003"/>
    <x v="2"/>
    <n v="32"/>
    <n v="33.4"/>
    <x v="0"/>
    <x v="0"/>
  </r>
  <r>
    <d v="2024-03-27T00:00:00"/>
    <s v="D001"/>
    <s v="Green Valley Produce"/>
    <s v="P004"/>
    <x v="3"/>
    <n v="50"/>
    <n v="61.5"/>
    <x v="1"/>
    <x v="1"/>
  </r>
  <r>
    <d v="2024-03-27T00:00:00"/>
    <s v="D001"/>
    <s v="Green Valley Produce"/>
    <s v="P005"/>
    <x v="4"/>
    <n v="38"/>
    <n v="39.6"/>
    <x v="0"/>
    <x v="0"/>
  </r>
  <r>
    <d v="2024-03-27T00:00:00"/>
    <s v="D001"/>
    <s v="Green Valley Produce"/>
    <s v="P006"/>
    <x v="5"/>
    <n v="32"/>
    <n v="32.5"/>
    <x v="0"/>
    <x v="0"/>
  </r>
  <r>
    <d v="2024-03-27T00:00:00"/>
    <s v="D002"/>
    <s v="Fresh Coast Foods"/>
    <s v="P001"/>
    <x v="0"/>
    <n v="34"/>
    <n v="43"/>
    <x v="1"/>
    <x v="2"/>
  </r>
  <r>
    <d v="2024-03-27T00:00:00"/>
    <s v="D002"/>
    <s v="Fresh Coast Foods"/>
    <s v="P002"/>
    <x v="1"/>
    <n v="38"/>
    <n v="38.1"/>
    <x v="0"/>
    <x v="0"/>
  </r>
  <r>
    <d v="2024-03-27T00:00:00"/>
    <s v="D002"/>
    <s v="Fresh Coast Foods"/>
    <s v="P003"/>
    <x v="2"/>
    <n v="32"/>
    <n v="40.9"/>
    <x v="1"/>
    <x v="2"/>
  </r>
  <r>
    <d v="2024-03-27T00:00:00"/>
    <s v="D002"/>
    <s v="Fresh Coast Foods"/>
    <s v="P004"/>
    <x v="3"/>
    <n v="50"/>
    <n v="50.3"/>
    <x v="0"/>
    <x v="0"/>
  </r>
  <r>
    <d v="2024-03-27T00:00:00"/>
    <s v="D002"/>
    <s v="Fresh Coast Foods"/>
    <s v="P005"/>
    <x v="4"/>
    <n v="38"/>
    <n v="37.700000000000003"/>
    <x v="0"/>
    <x v="0"/>
  </r>
  <r>
    <d v="2024-03-27T00:00:00"/>
    <s v="D002"/>
    <s v="Fresh Coast Foods"/>
    <s v="P006"/>
    <x v="5"/>
    <n v="32"/>
    <n v="39.700000000000003"/>
    <x v="1"/>
    <x v="2"/>
  </r>
  <r>
    <d v="2024-03-27T00:00:00"/>
    <s v="D003"/>
    <s v="Heartland Meats"/>
    <s v="P001"/>
    <x v="0"/>
    <n v="34"/>
    <n v="47.3"/>
    <x v="1"/>
    <x v="1"/>
  </r>
  <r>
    <d v="2024-03-27T00:00:00"/>
    <s v="D003"/>
    <s v="Heartland Meats"/>
    <s v="P002"/>
    <x v="1"/>
    <n v="38"/>
    <n v="37.799999999999997"/>
    <x v="0"/>
    <x v="0"/>
  </r>
  <r>
    <d v="2024-03-27T00:00:00"/>
    <s v="D003"/>
    <s v="Heartland Meats"/>
    <s v="P003"/>
    <x v="2"/>
    <n v="32"/>
    <n v="32"/>
    <x v="0"/>
    <x v="0"/>
  </r>
  <r>
    <d v="2024-03-27T00:00:00"/>
    <s v="D003"/>
    <s v="Heartland Meats"/>
    <s v="P004"/>
    <x v="3"/>
    <n v="50"/>
    <n v="60.6"/>
    <x v="1"/>
    <x v="1"/>
  </r>
  <r>
    <d v="2024-03-27T00:00:00"/>
    <s v="D003"/>
    <s v="Heartland Meats"/>
    <s v="P005"/>
    <x v="4"/>
    <n v="38"/>
    <n v="51.9"/>
    <x v="1"/>
    <x v="1"/>
  </r>
  <r>
    <d v="2024-03-27T00:00:00"/>
    <s v="D003"/>
    <s v="Heartland Meats"/>
    <s v="P006"/>
    <x v="5"/>
    <n v="32"/>
    <n v="31.2"/>
    <x v="0"/>
    <x v="0"/>
  </r>
  <r>
    <d v="2024-03-27T00:00:00"/>
    <s v="D004"/>
    <s v="Southwest Organics"/>
    <s v="P001"/>
    <x v="0"/>
    <n v="34"/>
    <n v="42.5"/>
    <x v="1"/>
    <x v="2"/>
  </r>
  <r>
    <d v="2024-03-27T00:00:00"/>
    <s v="D004"/>
    <s v="Southwest Organics"/>
    <s v="P002"/>
    <x v="1"/>
    <n v="38"/>
    <n v="40"/>
    <x v="0"/>
    <x v="0"/>
  </r>
  <r>
    <d v="2024-03-27T00:00:00"/>
    <s v="D004"/>
    <s v="Southwest Organics"/>
    <s v="P003"/>
    <x v="2"/>
    <n v="32"/>
    <n v="33"/>
    <x v="0"/>
    <x v="0"/>
  </r>
  <r>
    <d v="2024-03-27T00:00:00"/>
    <s v="D004"/>
    <s v="Southwest Organics"/>
    <s v="P004"/>
    <x v="3"/>
    <n v="50"/>
    <n v="50.6"/>
    <x v="0"/>
    <x v="0"/>
  </r>
  <r>
    <d v="2024-03-27T00:00:00"/>
    <s v="D004"/>
    <s v="Southwest Organics"/>
    <s v="P005"/>
    <x v="4"/>
    <n v="38"/>
    <n v="37.5"/>
    <x v="0"/>
    <x v="0"/>
  </r>
  <r>
    <d v="2024-03-27T00:00:00"/>
    <s v="D004"/>
    <s v="Southwest Organics"/>
    <s v="P006"/>
    <x v="5"/>
    <n v="32"/>
    <n v="32.299999999999997"/>
    <x v="0"/>
    <x v="0"/>
  </r>
  <r>
    <d v="2024-03-27T00:00:00"/>
    <s v="D005"/>
    <s v="Great Lakes Dairy"/>
    <s v="P001"/>
    <x v="0"/>
    <n v="34"/>
    <n v="35"/>
    <x v="0"/>
    <x v="0"/>
  </r>
  <r>
    <d v="2024-03-27T00:00:00"/>
    <s v="D005"/>
    <s v="Great Lakes Dairy"/>
    <s v="P002"/>
    <x v="1"/>
    <n v="38"/>
    <n v="40.1"/>
    <x v="0"/>
    <x v="0"/>
  </r>
  <r>
    <d v="2024-03-27T00:00:00"/>
    <s v="D005"/>
    <s v="Great Lakes Dairy"/>
    <s v="P003"/>
    <x v="2"/>
    <n v="32"/>
    <n v="44.4"/>
    <x v="1"/>
    <x v="1"/>
  </r>
  <r>
    <d v="2024-03-27T00:00:00"/>
    <s v="D005"/>
    <s v="Great Lakes Dairy"/>
    <s v="P004"/>
    <x v="3"/>
    <n v="50"/>
    <n v="52.5"/>
    <x v="0"/>
    <x v="0"/>
  </r>
  <r>
    <d v="2024-03-27T00:00:00"/>
    <s v="D005"/>
    <s v="Great Lakes Dairy"/>
    <s v="P005"/>
    <x v="4"/>
    <n v="38"/>
    <n v="45.3"/>
    <x v="1"/>
    <x v="2"/>
  </r>
  <r>
    <d v="2024-03-27T00:00:00"/>
    <s v="D005"/>
    <s v="Great Lakes Dairy"/>
    <s v="P006"/>
    <x v="5"/>
    <n v="32"/>
    <n v="31.3"/>
    <x v="0"/>
    <x v="0"/>
  </r>
  <r>
    <d v="2024-03-28T00:00:00"/>
    <s v="D001"/>
    <s v="Green Valley Produce"/>
    <s v="P001"/>
    <x v="0"/>
    <n v="34"/>
    <n v="36.799999999999997"/>
    <x v="0"/>
    <x v="0"/>
  </r>
  <r>
    <d v="2024-03-28T00:00:00"/>
    <s v="D001"/>
    <s v="Green Valley Produce"/>
    <s v="P002"/>
    <x v="1"/>
    <n v="38"/>
    <n v="37.9"/>
    <x v="0"/>
    <x v="0"/>
  </r>
  <r>
    <d v="2024-03-28T00:00:00"/>
    <s v="D001"/>
    <s v="Green Valley Produce"/>
    <s v="P003"/>
    <x v="2"/>
    <n v="32"/>
    <n v="31.6"/>
    <x v="0"/>
    <x v="0"/>
  </r>
  <r>
    <d v="2024-03-28T00:00:00"/>
    <s v="D001"/>
    <s v="Green Valley Produce"/>
    <s v="P004"/>
    <x v="3"/>
    <n v="50"/>
    <n v="53"/>
    <x v="0"/>
    <x v="0"/>
  </r>
  <r>
    <d v="2024-03-28T00:00:00"/>
    <s v="D001"/>
    <s v="Green Valley Produce"/>
    <s v="P005"/>
    <x v="4"/>
    <n v="38"/>
    <n v="41"/>
    <x v="0"/>
    <x v="0"/>
  </r>
  <r>
    <d v="2024-03-28T00:00:00"/>
    <s v="D001"/>
    <s v="Green Valley Produce"/>
    <s v="P006"/>
    <x v="5"/>
    <n v="32"/>
    <n v="33.1"/>
    <x v="0"/>
    <x v="0"/>
  </r>
  <r>
    <d v="2024-03-28T00:00:00"/>
    <s v="D002"/>
    <s v="Fresh Coast Foods"/>
    <s v="P001"/>
    <x v="0"/>
    <n v="34"/>
    <n v="34.799999999999997"/>
    <x v="0"/>
    <x v="0"/>
  </r>
  <r>
    <d v="2024-03-28T00:00:00"/>
    <s v="D002"/>
    <s v="Fresh Coast Foods"/>
    <s v="P002"/>
    <x v="1"/>
    <n v="38"/>
    <n v="46.3"/>
    <x v="1"/>
    <x v="2"/>
  </r>
  <r>
    <d v="2024-03-28T00:00:00"/>
    <s v="D002"/>
    <s v="Fresh Coast Foods"/>
    <s v="P003"/>
    <x v="2"/>
    <n v="32"/>
    <n v="34.799999999999997"/>
    <x v="0"/>
    <x v="0"/>
  </r>
  <r>
    <d v="2024-03-28T00:00:00"/>
    <s v="D002"/>
    <s v="Fresh Coast Foods"/>
    <s v="P004"/>
    <x v="3"/>
    <n v="50"/>
    <n v="61.7"/>
    <x v="1"/>
    <x v="1"/>
  </r>
  <r>
    <d v="2024-03-28T00:00:00"/>
    <s v="D002"/>
    <s v="Fresh Coast Foods"/>
    <s v="P005"/>
    <x v="4"/>
    <n v="38"/>
    <n v="38"/>
    <x v="0"/>
    <x v="0"/>
  </r>
  <r>
    <d v="2024-03-28T00:00:00"/>
    <s v="D002"/>
    <s v="Fresh Coast Foods"/>
    <s v="P006"/>
    <x v="5"/>
    <n v="32"/>
    <n v="33.4"/>
    <x v="0"/>
    <x v="0"/>
  </r>
  <r>
    <d v="2024-03-28T00:00:00"/>
    <s v="D003"/>
    <s v="Heartland Meats"/>
    <s v="P001"/>
    <x v="0"/>
    <n v="34"/>
    <n v="35.299999999999997"/>
    <x v="0"/>
    <x v="0"/>
  </r>
  <r>
    <d v="2024-03-28T00:00:00"/>
    <s v="D003"/>
    <s v="Heartland Meats"/>
    <s v="P002"/>
    <x v="1"/>
    <n v="38"/>
    <n v="37.4"/>
    <x v="0"/>
    <x v="0"/>
  </r>
  <r>
    <d v="2024-03-28T00:00:00"/>
    <s v="D003"/>
    <s v="Heartland Meats"/>
    <s v="P003"/>
    <x v="2"/>
    <n v="32"/>
    <n v="44.1"/>
    <x v="1"/>
    <x v="1"/>
  </r>
  <r>
    <d v="2024-03-28T00:00:00"/>
    <s v="D003"/>
    <s v="Heartland Meats"/>
    <s v="P004"/>
    <x v="3"/>
    <n v="50"/>
    <n v="52.5"/>
    <x v="0"/>
    <x v="0"/>
  </r>
  <r>
    <d v="2024-03-28T00:00:00"/>
    <s v="D003"/>
    <s v="Heartland Meats"/>
    <s v="P005"/>
    <x v="4"/>
    <n v="38"/>
    <n v="40.6"/>
    <x v="0"/>
    <x v="0"/>
  </r>
  <r>
    <d v="2024-03-28T00:00:00"/>
    <s v="D003"/>
    <s v="Heartland Meats"/>
    <s v="P006"/>
    <x v="5"/>
    <n v="32"/>
    <n v="32.799999999999997"/>
    <x v="0"/>
    <x v="0"/>
  </r>
  <r>
    <d v="2024-03-28T00:00:00"/>
    <s v="D004"/>
    <s v="Southwest Organics"/>
    <s v="P001"/>
    <x v="0"/>
    <n v="34"/>
    <n v="42.4"/>
    <x v="1"/>
    <x v="2"/>
  </r>
  <r>
    <d v="2024-03-28T00:00:00"/>
    <s v="D004"/>
    <s v="Southwest Organics"/>
    <s v="P002"/>
    <x v="1"/>
    <n v="38"/>
    <n v="48.6"/>
    <x v="1"/>
    <x v="1"/>
  </r>
  <r>
    <d v="2024-03-28T00:00:00"/>
    <s v="D004"/>
    <s v="Southwest Organics"/>
    <s v="P003"/>
    <x v="2"/>
    <n v="32"/>
    <n v="31.3"/>
    <x v="0"/>
    <x v="0"/>
  </r>
  <r>
    <d v="2024-03-28T00:00:00"/>
    <s v="D004"/>
    <s v="Southwest Organics"/>
    <s v="P004"/>
    <x v="3"/>
    <n v="50"/>
    <n v="50.8"/>
    <x v="0"/>
    <x v="0"/>
  </r>
  <r>
    <d v="2024-03-28T00:00:00"/>
    <s v="D004"/>
    <s v="Southwest Organics"/>
    <s v="P005"/>
    <x v="4"/>
    <n v="38"/>
    <n v="40.9"/>
    <x v="0"/>
    <x v="0"/>
  </r>
  <r>
    <d v="2024-03-28T00:00:00"/>
    <s v="D004"/>
    <s v="Southwest Organics"/>
    <s v="P006"/>
    <x v="5"/>
    <n v="32"/>
    <n v="32.799999999999997"/>
    <x v="0"/>
    <x v="0"/>
  </r>
  <r>
    <d v="2024-03-28T00:00:00"/>
    <s v="D005"/>
    <s v="Great Lakes Dairy"/>
    <s v="P001"/>
    <x v="0"/>
    <n v="34"/>
    <n v="36.799999999999997"/>
    <x v="0"/>
    <x v="0"/>
  </r>
  <r>
    <d v="2024-03-28T00:00:00"/>
    <s v="D005"/>
    <s v="Great Lakes Dairy"/>
    <s v="P002"/>
    <x v="1"/>
    <n v="38"/>
    <n v="39"/>
    <x v="0"/>
    <x v="0"/>
  </r>
  <r>
    <d v="2024-03-28T00:00:00"/>
    <s v="D005"/>
    <s v="Great Lakes Dairy"/>
    <s v="P003"/>
    <x v="2"/>
    <n v="32"/>
    <n v="32.1"/>
    <x v="0"/>
    <x v="0"/>
  </r>
  <r>
    <d v="2024-03-28T00:00:00"/>
    <s v="D005"/>
    <s v="Great Lakes Dairy"/>
    <s v="P004"/>
    <x v="3"/>
    <n v="50"/>
    <n v="51.5"/>
    <x v="0"/>
    <x v="0"/>
  </r>
  <r>
    <d v="2024-03-28T00:00:00"/>
    <s v="D005"/>
    <s v="Great Lakes Dairy"/>
    <s v="P005"/>
    <x v="4"/>
    <n v="38"/>
    <n v="38.799999999999997"/>
    <x v="0"/>
    <x v="0"/>
  </r>
  <r>
    <d v="2024-03-28T00:00:00"/>
    <s v="D005"/>
    <s v="Great Lakes Dairy"/>
    <s v="P006"/>
    <x v="5"/>
    <n v="32"/>
    <n v="33.5"/>
    <x v="0"/>
    <x v="0"/>
  </r>
  <r>
    <d v="2024-03-29T00:00:00"/>
    <s v="D001"/>
    <s v="Green Valley Produce"/>
    <s v="P001"/>
    <x v="0"/>
    <n v="34"/>
    <n v="33.299999999999997"/>
    <x v="0"/>
    <x v="0"/>
  </r>
  <r>
    <d v="2024-03-29T00:00:00"/>
    <s v="D001"/>
    <s v="Green Valley Produce"/>
    <s v="P002"/>
    <x v="1"/>
    <n v="38"/>
    <n v="38.799999999999997"/>
    <x v="0"/>
    <x v="0"/>
  </r>
  <r>
    <d v="2024-03-29T00:00:00"/>
    <s v="D001"/>
    <s v="Green Valley Produce"/>
    <s v="P003"/>
    <x v="2"/>
    <n v="32"/>
    <n v="35"/>
    <x v="0"/>
    <x v="0"/>
  </r>
  <r>
    <d v="2024-03-29T00:00:00"/>
    <s v="D001"/>
    <s v="Green Valley Produce"/>
    <s v="P004"/>
    <x v="3"/>
    <n v="50"/>
    <n v="63.8"/>
    <x v="1"/>
    <x v="1"/>
  </r>
  <r>
    <d v="2024-03-29T00:00:00"/>
    <s v="D001"/>
    <s v="Green Valley Produce"/>
    <s v="P005"/>
    <x v="4"/>
    <n v="38"/>
    <n v="50.3"/>
    <x v="1"/>
    <x v="1"/>
  </r>
  <r>
    <d v="2024-03-29T00:00:00"/>
    <s v="D001"/>
    <s v="Green Valley Produce"/>
    <s v="P006"/>
    <x v="5"/>
    <n v="32"/>
    <n v="33.200000000000003"/>
    <x v="0"/>
    <x v="0"/>
  </r>
  <r>
    <d v="2024-03-29T00:00:00"/>
    <s v="D002"/>
    <s v="Fresh Coast Foods"/>
    <s v="P001"/>
    <x v="0"/>
    <n v="34"/>
    <n v="40.799999999999997"/>
    <x v="1"/>
    <x v="2"/>
  </r>
  <r>
    <d v="2024-03-29T00:00:00"/>
    <s v="D002"/>
    <s v="Fresh Coast Foods"/>
    <s v="P002"/>
    <x v="1"/>
    <n v="38"/>
    <n v="39.299999999999997"/>
    <x v="0"/>
    <x v="0"/>
  </r>
  <r>
    <d v="2024-03-29T00:00:00"/>
    <s v="D002"/>
    <s v="Fresh Coast Foods"/>
    <s v="P003"/>
    <x v="2"/>
    <n v="32"/>
    <n v="31.9"/>
    <x v="0"/>
    <x v="0"/>
  </r>
  <r>
    <d v="2024-03-29T00:00:00"/>
    <s v="D002"/>
    <s v="Fresh Coast Foods"/>
    <s v="P004"/>
    <x v="3"/>
    <n v="50"/>
    <n v="51.7"/>
    <x v="0"/>
    <x v="0"/>
  </r>
  <r>
    <d v="2024-03-29T00:00:00"/>
    <s v="D002"/>
    <s v="Fresh Coast Foods"/>
    <s v="P005"/>
    <x v="4"/>
    <n v="38"/>
    <n v="38.9"/>
    <x v="0"/>
    <x v="0"/>
  </r>
  <r>
    <d v="2024-03-29T00:00:00"/>
    <s v="D002"/>
    <s v="Fresh Coast Foods"/>
    <s v="P006"/>
    <x v="5"/>
    <n v="32"/>
    <n v="34.299999999999997"/>
    <x v="0"/>
    <x v="0"/>
  </r>
  <r>
    <d v="2024-03-29T00:00:00"/>
    <s v="D003"/>
    <s v="Heartland Meats"/>
    <s v="P001"/>
    <x v="0"/>
    <n v="34"/>
    <n v="41.4"/>
    <x v="1"/>
    <x v="2"/>
  </r>
  <r>
    <d v="2024-03-29T00:00:00"/>
    <s v="D003"/>
    <s v="Heartland Meats"/>
    <s v="P002"/>
    <x v="1"/>
    <n v="38"/>
    <n v="51.7"/>
    <x v="1"/>
    <x v="1"/>
  </r>
  <r>
    <d v="2024-03-29T00:00:00"/>
    <s v="D003"/>
    <s v="Heartland Meats"/>
    <s v="P003"/>
    <x v="2"/>
    <n v="32"/>
    <n v="32.700000000000003"/>
    <x v="0"/>
    <x v="0"/>
  </r>
  <r>
    <d v="2024-03-29T00:00:00"/>
    <s v="D003"/>
    <s v="Heartland Meats"/>
    <s v="P004"/>
    <x v="3"/>
    <n v="50"/>
    <n v="49.3"/>
    <x v="0"/>
    <x v="0"/>
  </r>
  <r>
    <d v="2024-03-29T00:00:00"/>
    <s v="D003"/>
    <s v="Heartland Meats"/>
    <s v="P005"/>
    <x v="4"/>
    <n v="38"/>
    <n v="39.4"/>
    <x v="0"/>
    <x v="0"/>
  </r>
  <r>
    <d v="2024-03-29T00:00:00"/>
    <s v="D003"/>
    <s v="Heartland Meats"/>
    <s v="P006"/>
    <x v="5"/>
    <n v="32"/>
    <n v="34"/>
    <x v="0"/>
    <x v="0"/>
  </r>
  <r>
    <d v="2024-03-29T00:00:00"/>
    <s v="D004"/>
    <s v="Southwest Organics"/>
    <s v="P001"/>
    <x v="0"/>
    <n v="34"/>
    <n v="43.6"/>
    <x v="1"/>
    <x v="2"/>
  </r>
  <r>
    <d v="2024-03-29T00:00:00"/>
    <s v="D004"/>
    <s v="Southwest Organics"/>
    <s v="P002"/>
    <x v="1"/>
    <n v="38"/>
    <n v="40.799999999999997"/>
    <x v="0"/>
    <x v="0"/>
  </r>
  <r>
    <d v="2024-03-29T00:00:00"/>
    <s v="D004"/>
    <s v="Southwest Organics"/>
    <s v="P003"/>
    <x v="2"/>
    <n v="32"/>
    <n v="39.700000000000003"/>
    <x v="1"/>
    <x v="2"/>
  </r>
  <r>
    <d v="2024-03-29T00:00:00"/>
    <s v="D004"/>
    <s v="Southwest Organics"/>
    <s v="P004"/>
    <x v="3"/>
    <n v="50"/>
    <n v="53"/>
    <x v="0"/>
    <x v="0"/>
  </r>
  <r>
    <d v="2024-03-29T00:00:00"/>
    <s v="D004"/>
    <s v="Southwest Organics"/>
    <s v="P005"/>
    <x v="4"/>
    <n v="38"/>
    <n v="37.200000000000003"/>
    <x v="0"/>
    <x v="0"/>
  </r>
  <r>
    <d v="2024-03-29T00:00:00"/>
    <s v="D004"/>
    <s v="Southwest Organics"/>
    <s v="P006"/>
    <x v="5"/>
    <n v="32"/>
    <n v="34.200000000000003"/>
    <x v="0"/>
    <x v="0"/>
  </r>
  <r>
    <d v="2024-03-29T00:00:00"/>
    <s v="D005"/>
    <s v="Great Lakes Dairy"/>
    <s v="P001"/>
    <x v="0"/>
    <n v="34"/>
    <n v="33.9"/>
    <x v="0"/>
    <x v="0"/>
  </r>
  <r>
    <d v="2024-03-29T00:00:00"/>
    <s v="D005"/>
    <s v="Great Lakes Dairy"/>
    <s v="P002"/>
    <x v="1"/>
    <n v="38"/>
    <n v="37.1"/>
    <x v="0"/>
    <x v="0"/>
  </r>
  <r>
    <d v="2024-03-29T00:00:00"/>
    <s v="D005"/>
    <s v="Great Lakes Dairy"/>
    <s v="P003"/>
    <x v="2"/>
    <n v="32"/>
    <n v="32.700000000000003"/>
    <x v="0"/>
    <x v="0"/>
  </r>
  <r>
    <d v="2024-03-29T00:00:00"/>
    <s v="D005"/>
    <s v="Great Lakes Dairy"/>
    <s v="P004"/>
    <x v="3"/>
    <n v="50"/>
    <n v="49.7"/>
    <x v="0"/>
    <x v="0"/>
  </r>
  <r>
    <d v="2024-03-29T00:00:00"/>
    <s v="D005"/>
    <s v="Great Lakes Dairy"/>
    <s v="P005"/>
    <x v="4"/>
    <n v="38"/>
    <n v="46.2"/>
    <x v="1"/>
    <x v="2"/>
  </r>
  <r>
    <d v="2024-03-29T00:00:00"/>
    <s v="D005"/>
    <s v="Great Lakes Dairy"/>
    <s v="P006"/>
    <x v="5"/>
    <n v="32"/>
    <n v="45"/>
    <x v="1"/>
    <x v="1"/>
  </r>
  <r>
    <d v="2024-03-30T00:00:00"/>
    <s v="D001"/>
    <s v="Green Valley Produce"/>
    <s v="P001"/>
    <x v="0"/>
    <n v="34"/>
    <n v="34.700000000000003"/>
    <x v="0"/>
    <x v="0"/>
  </r>
  <r>
    <d v="2024-03-30T00:00:00"/>
    <s v="D001"/>
    <s v="Green Valley Produce"/>
    <s v="P002"/>
    <x v="1"/>
    <n v="38"/>
    <n v="40.6"/>
    <x v="0"/>
    <x v="0"/>
  </r>
  <r>
    <d v="2024-03-30T00:00:00"/>
    <s v="D001"/>
    <s v="Green Valley Produce"/>
    <s v="P003"/>
    <x v="2"/>
    <n v="32"/>
    <n v="31.2"/>
    <x v="0"/>
    <x v="0"/>
  </r>
  <r>
    <d v="2024-03-30T00:00:00"/>
    <s v="D001"/>
    <s v="Green Valley Produce"/>
    <s v="P004"/>
    <x v="3"/>
    <n v="50"/>
    <n v="50.7"/>
    <x v="0"/>
    <x v="0"/>
  </r>
  <r>
    <d v="2024-03-30T00:00:00"/>
    <s v="D001"/>
    <s v="Green Valley Produce"/>
    <s v="P005"/>
    <x v="4"/>
    <n v="38"/>
    <n v="38.200000000000003"/>
    <x v="0"/>
    <x v="0"/>
  </r>
  <r>
    <d v="2024-03-30T00:00:00"/>
    <s v="D001"/>
    <s v="Green Valley Produce"/>
    <s v="P006"/>
    <x v="5"/>
    <n v="32"/>
    <n v="34.799999999999997"/>
    <x v="0"/>
    <x v="0"/>
  </r>
  <r>
    <d v="2024-03-30T00:00:00"/>
    <s v="D002"/>
    <s v="Fresh Coast Foods"/>
    <s v="P001"/>
    <x v="0"/>
    <n v="34"/>
    <n v="35.1"/>
    <x v="0"/>
    <x v="0"/>
  </r>
  <r>
    <d v="2024-03-30T00:00:00"/>
    <s v="D002"/>
    <s v="Fresh Coast Foods"/>
    <s v="P002"/>
    <x v="1"/>
    <n v="38"/>
    <n v="40.9"/>
    <x v="0"/>
    <x v="0"/>
  </r>
  <r>
    <d v="2024-03-30T00:00:00"/>
    <s v="D002"/>
    <s v="Fresh Coast Foods"/>
    <s v="P003"/>
    <x v="2"/>
    <n v="32"/>
    <n v="34.700000000000003"/>
    <x v="0"/>
    <x v="0"/>
  </r>
  <r>
    <d v="2024-03-30T00:00:00"/>
    <s v="D002"/>
    <s v="Fresh Coast Foods"/>
    <s v="P004"/>
    <x v="3"/>
    <n v="50"/>
    <n v="52.3"/>
    <x v="0"/>
    <x v="0"/>
  </r>
  <r>
    <d v="2024-03-30T00:00:00"/>
    <s v="D002"/>
    <s v="Fresh Coast Foods"/>
    <s v="P005"/>
    <x v="4"/>
    <n v="38"/>
    <n v="40.6"/>
    <x v="0"/>
    <x v="0"/>
  </r>
  <r>
    <d v="2024-03-30T00:00:00"/>
    <s v="D002"/>
    <s v="Fresh Coast Foods"/>
    <s v="P006"/>
    <x v="5"/>
    <n v="32"/>
    <n v="33.9"/>
    <x v="0"/>
    <x v="0"/>
  </r>
  <r>
    <d v="2024-03-30T00:00:00"/>
    <s v="D003"/>
    <s v="Heartland Meats"/>
    <s v="P001"/>
    <x v="0"/>
    <n v="34"/>
    <n v="33.6"/>
    <x v="0"/>
    <x v="0"/>
  </r>
  <r>
    <d v="2024-03-30T00:00:00"/>
    <s v="D003"/>
    <s v="Heartland Meats"/>
    <s v="P002"/>
    <x v="1"/>
    <n v="38"/>
    <n v="40.299999999999997"/>
    <x v="0"/>
    <x v="0"/>
  </r>
  <r>
    <d v="2024-03-30T00:00:00"/>
    <s v="D003"/>
    <s v="Heartland Meats"/>
    <s v="P003"/>
    <x v="2"/>
    <n v="32"/>
    <n v="34.299999999999997"/>
    <x v="0"/>
    <x v="0"/>
  </r>
  <r>
    <d v="2024-03-30T00:00:00"/>
    <s v="D003"/>
    <s v="Heartland Meats"/>
    <s v="P004"/>
    <x v="3"/>
    <n v="50"/>
    <n v="49.1"/>
    <x v="0"/>
    <x v="0"/>
  </r>
  <r>
    <d v="2024-03-30T00:00:00"/>
    <s v="D003"/>
    <s v="Heartland Meats"/>
    <s v="P005"/>
    <x v="4"/>
    <n v="38"/>
    <n v="40.700000000000003"/>
    <x v="0"/>
    <x v="0"/>
  </r>
  <r>
    <d v="2024-03-30T00:00:00"/>
    <s v="D003"/>
    <s v="Heartland Meats"/>
    <s v="P006"/>
    <x v="5"/>
    <n v="32"/>
    <n v="32.299999999999997"/>
    <x v="0"/>
    <x v="0"/>
  </r>
  <r>
    <d v="2024-03-30T00:00:00"/>
    <s v="D004"/>
    <s v="Southwest Organics"/>
    <s v="P001"/>
    <x v="0"/>
    <n v="34"/>
    <n v="35.700000000000003"/>
    <x v="0"/>
    <x v="0"/>
  </r>
  <r>
    <d v="2024-03-30T00:00:00"/>
    <s v="D004"/>
    <s v="Southwest Organics"/>
    <s v="P002"/>
    <x v="1"/>
    <n v="38"/>
    <n v="39.9"/>
    <x v="0"/>
    <x v="0"/>
  </r>
  <r>
    <d v="2024-03-30T00:00:00"/>
    <s v="D004"/>
    <s v="Southwest Organics"/>
    <s v="P003"/>
    <x v="2"/>
    <n v="32"/>
    <n v="34.799999999999997"/>
    <x v="0"/>
    <x v="0"/>
  </r>
  <r>
    <d v="2024-03-30T00:00:00"/>
    <s v="D004"/>
    <s v="Southwest Organics"/>
    <s v="P004"/>
    <x v="3"/>
    <n v="50"/>
    <n v="51.5"/>
    <x v="0"/>
    <x v="0"/>
  </r>
  <r>
    <d v="2024-03-30T00:00:00"/>
    <s v="D004"/>
    <s v="Southwest Organics"/>
    <s v="P005"/>
    <x v="4"/>
    <n v="38"/>
    <n v="39.299999999999997"/>
    <x v="0"/>
    <x v="0"/>
  </r>
  <r>
    <d v="2024-03-30T00:00:00"/>
    <s v="D004"/>
    <s v="Southwest Organics"/>
    <s v="P006"/>
    <x v="5"/>
    <n v="32"/>
    <n v="44"/>
    <x v="1"/>
    <x v="1"/>
  </r>
  <r>
    <d v="2024-03-30T00:00:00"/>
    <s v="D005"/>
    <s v="Great Lakes Dairy"/>
    <s v="P001"/>
    <x v="0"/>
    <n v="34"/>
    <n v="35.799999999999997"/>
    <x v="0"/>
    <x v="0"/>
  </r>
  <r>
    <d v="2024-03-30T00:00:00"/>
    <s v="D005"/>
    <s v="Great Lakes Dairy"/>
    <s v="P002"/>
    <x v="1"/>
    <n v="38"/>
    <n v="39.4"/>
    <x v="0"/>
    <x v="0"/>
  </r>
  <r>
    <d v="2024-03-30T00:00:00"/>
    <s v="D005"/>
    <s v="Great Lakes Dairy"/>
    <s v="P003"/>
    <x v="2"/>
    <n v="32"/>
    <n v="31.8"/>
    <x v="0"/>
    <x v="0"/>
  </r>
  <r>
    <d v="2024-03-30T00:00:00"/>
    <s v="D005"/>
    <s v="Great Lakes Dairy"/>
    <s v="P004"/>
    <x v="3"/>
    <n v="50"/>
    <n v="51.7"/>
    <x v="0"/>
    <x v="0"/>
  </r>
  <r>
    <d v="2024-03-30T00:00:00"/>
    <s v="D005"/>
    <s v="Great Lakes Dairy"/>
    <s v="P005"/>
    <x v="4"/>
    <n v="38"/>
    <n v="38.5"/>
    <x v="0"/>
    <x v="0"/>
  </r>
  <r>
    <d v="2024-03-30T00:00:00"/>
    <s v="D005"/>
    <s v="Great Lakes Dairy"/>
    <s v="P006"/>
    <x v="5"/>
    <n v="32"/>
    <n v="32.200000000000003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A84191-2841-46D7-B7E2-FD4001B10E67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9:E57" firstHeaderRow="1" firstDataRow="2" firstDataCol="1"/>
  <pivotFields count="9">
    <pivotField numFmtId="14" showAll="0"/>
    <pivotField showAll="0"/>
    <pivotField showAll="0"/>
    <pivotField showAll="0"/>
    <pivotField axis="axisRow" showAll="0">
      <items count="7">
        <item x="4"/>
        <item x="5"/>
        <item x="2"/>
        <item x="0"/>
        <item x="3"/>
        <item x="1"/>
        <item t="default"/>
      </items>
    </pivotField>
    <pivotField showAll="0"/>
    <pivotField showAll="0"/>
    <pivotField dataField="1" showAll="0">
      <items count="3">
        <item h="1" x="0"/>
        <item x="1"/>
        <item t="default"/>
      </items>
    </pivotField>
    <pivotField axis="axisCol" showAll="0">
      <items count="4">
        <item x="1"/>
        <item x="2"/>
        <item x="0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Count of breach" fld="7" subtotal="count" baseField="0" baseItem="0"/>
  </dataFields>
  <conditionalFormats count="3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4" count="6">
              <x v="0"/>
              <x v="1"/>
              <x v="2"/>
              <x v="3"/>
              <x v="4"/>
              <x v="5"/>
            </reference>
            <reference field="8" count="1" selected="0">
              <x v="2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4" count="6">
              <x v="0"/>
              <x v="1"/>
              <x v="2"/>
              <x v="3"/>
              <x v="4"/>
              <x v="5"/>
            </reference>
            <reference field="8" count="1" selected="0">
              <x v="1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4" count="6">
              <x v="0"/>
              <x v="1"/>
              <x v="2"/>
              <x v="3"/>
              <x v="4"/>
              <x v="5"/>
            </reference>
            <reference field="8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F0B583-8AAC-414F-B228-FE9C76B0DA58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7:C44" firstHeaderRow="0" firstDataRow="1" firstDataCol="1"/>
  <pivotFields count="14">
    <pivotField axis="axisRow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h="1" x="2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_wasted" fld="9" baseField="0" baseItem="0"/>
    <dataField name="Sum of revenue_usd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382E8A-3934-421F-93AF-4179F976668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12" firstHeaderRow="1" firstDataRow="3" firstDataCol="1"/>
  <pivotFields count="12">
    <pivotField numFmtId="14" showAll="0"/>
    <pivotField showAll="0"/>
    <pivotField showAll="0"/>
    <pivotField axis="axisCol" showAll="0">
      <items count="5">
        <item x="0"/>
        <item x="2"/>
        <item x="1"/>
        <item x="3"/>
        <item t="default"/>
      </items>
    </pivotField>
    <pivotField showAll="0"/>
    <pivotField axis="axisRow" showAll="0">
      <items count="7">
        <item x="4"/>
        <item x="5"/>
        <item x="2"/>
        <item x="0"/>
        <item x="3"/>
        <item x="1"/>
        <item t="default"/>
      </items>
    </pivotField>
    <pivotField showAll="0"/>
    <pivotField showAll="0"/>
    <pivotField showAll="0"/>
    <pivotField dataField="1" showAll="0"/>
    <pivotField dataField="1" showAll="0">
      <items count="100">
        <item x="62"/>
        <item x="85"/>
        <item x="98"/>
        <item x="38"/>
        <item x="18"/>
        <item x="96"/>
        <item x="26"/>
        <item x="14"/>
        <item x="73"/>
        <item x="19"/>
        <item x="21"/>
        <item x="37"/>
        <item x="80"/>
        <item x="43"/>
        <item x="4"/>
        <item x="72"/>
        <item x="64"/>
        <item x="22"/>
        <item x="58"/>
        <item x="11"/>
        <item x="12"/>
        <item x="23"/>
        <item x="52"/>
        <item x="25"/>
        <item x="79"/>
        <item x="8"/>
        <item x="28"/>
        <item x="70"/>
        <item x="10"/>
        <item x="49"/>
        <item x="1"/>
        <item x="60"/>
        <item x="0"/>
        <item x="81"/>
        <item x="15"/>
        <item x="75"/>
        <item x="32"/>
        <item x="50"/>
        <item x="67"/>
        <item x="66"/>
        <item x="34"/>
        <item x="6"/>
        <item x="17"/>
        <item x="5"/>
        <item x="39"/>
        <item x="53"/>
        <item x="24"/>
        <item x="31"/>
        <item x="16"/>
        <item x="57"/>
        <item x="9"/>
        <item x="63"/>
        <item x="2"/>
        <item x="7"/>
        <item x="69"/>
        <item x="48"/>
        <item x="45"/>
        <item x="56"/>
        <item x="13"/>
        <item x="51"/>
        <item x="36"/>
        <item x="55"/>
        <item x="29"/>
        <item x="68"/>
        <item x="71"/>
        <item x="54"/>
        <item x="61"/>
        <item x="35"/>
        <item x="47"/>
        <item x="27"/>
        <item x="41"/>
        <item x="82"/>
        <item x="40"/>
        <item x="3"/>
        <item x="59"/>
        <item x="65"/>
        <item x="92"/>
        <item x="88"/>
        <item x="20"/>
        <item x="87"/>
        <item x="89"/>
        <item x="42"/>
        <item x="77"/>
        <item x="78"/>
        <item x="84"/>
        <item x="95"/>
        <item x="30"/>
        <item x="86"/>
        <item x="76"/>
        <item x="90"/>
        <item x="46"/>
        <item x="94"/>
        <item x="93"/>
        <item x="74"/>
        <item x="91"/>
        <item x="97"/>
        <item x="44"/>
        <item x="83"/>
        <item x="33"/>
        <item t="default"/>
      </items>
    </pivotField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3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Sum of units_wasted" fld="9" baseField="0" baseItem="0"/>
    <dataField name="Average of waste_pct" fld="10" subtotal="average" baseField="5" baseItem="0"/>
  </dataFields>
  <formats count="3">
    <format dxfId="9">
      <pivotArea collapsedLevelsAreSubtotals="1" fieldPosition="0">
        <references count="3">
          <reference field="4294967294" count="1" selected="0">
            <x v="1"/>
          </reference>
          <reference field="3" count="1" selected="0">
            <x v="0"/>
          </reference>
          <reference field="5" count="1">
            <x v="0"/>
          </reference>
        </references>
      </pivotArea>
    </format>
    <format dxfId="8">
      <pivotArea collapsedLevelsAreSubtotals="1" fieldPosition="0">
        <references count="3">
          <reference field="4294967294" count="1" selected="0">
            <x v="1"/>
          </reference>
          <reference field="3" count="1" selected="0">
            <x v="0"/>
          </reference>
          <reference field="5" count="5">
            <x v="1"/>
            <x v="2"/>
            <x v="3"/>
            <x v="4"/>
            <x v="5"/>
          </reference>
        </references>
      </pivotArea>
    </format>
    <format dxfId="7">
      <pivotArea collapsedLevelsAreSubtotals="1" fieldPosition="0">
        <references count="3">
          <reference field="4294967294" count="1" selected="0">
            <x v="1"/>
          </reference>
          <reference field="3" count="1" selected="0">
            <x v="0"/>
          </reference>
          <reference field="5" count="5"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AB40FDCC-465C-46B4-B17C-E94575263A20}" autoFormatId="16" applyNumberFormats="0" applyBorderFormats="0" applyFontFormats="0" applyPatternFormats="0" applyAlignmentFormats="0" applyWidthHeightFormats="0">
  <queryTableRefresh nextId="10">
    <queryTableFields count="9">
      <queryTableField id="1" name="week" tableColumnId="1"/>
      <queryTableField id="2" name="distributor_id" tableColumnId="2"/>
      <queryTableField id="3" name="distributor_name" tableColumnId="3"/>
      <queryTableField id="4" name="region" tableColumnId="4"/>
      <queryTableField id="5" name="total_deliveries" tableColumnId="5"/>
      <queryTableField id="6" name="on_time" tableColumnId="6"/>
      <queryTableField id="7" name="late" tableColumnId="7"/>
      <queryTableField id="8" name="on_time_pct" tableColumnId="8"/>
      <queryTableField id="9" name="avg_delay_hrs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A20741B9-BE5D-4BAD-859F-14DC22779B87}" autoFormatId="16" applyNumberFormats="0" applyBorderFormats="0" applyFontFormats="0" applyPatternFormats="0" applyAlignmentFormats="0" applyWidthHeightFormats="0">
  <queryTableRefresh nextId="11">
    <queryTableFields count="10">
      <queryTableField id="1" name="week" tableColumnId="1"/>
      <queryTableField id="2" name="distributor_id" tableColumnId="2"/>
      <queryTableField id="3" name="distributor_name" tableColumnId="3"/>
      <queryTableField id="4" name="product_id" tableColumnId="4"/>
      <queryTableField id="5" name="product_name" tableColumnId="5"/>
      <queryTableField id="6" name="category" tableColumnId="6"/>
      <queryTableField id="7" name="actual_demand" tableColumnId="7"/>
      <queryTableField id="8" name="forecasted_demand" tableColumnId="8"/>
      <queryTableField id="9" name="forecast_error_pct" tableColumnId="9"/>
      <queryTableField id="10" name="over_under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4D117318-3CA3-43C6-846B-8DAA11880576}" autoFormatId="16" applyNumberFormats="0" applyBorderFormats="0" applyFontFormats="0" applyPatternFormats="0" applyAlignmentFormats="0" applyWidthHeightFormats="0">
  <queryTableRefresh nextId="10">
    <queryTableFields count="9">
      <queryTableField id="1" name="date" tableColumnId="1"/>
      <queryTableField id="2" name="distributor_id" tableColumnId="2"/>
      <queryTableField id="3" name="distributor_name" tableColumnId="3"/>
      <queryTableField id="4" name="product_id" tableColumnId="4"/>
      <queryTableField id="5" name="product_name" tableColumnId="5"/>
      <queryTableField id="6" name="ideal_temp_f" tableColumnId="6"/>
      <queryTableField id="7" name="actual_temp_f" tableColumnId="7"/>
      <queryTableField id="8" name="breach" tableColumnId="8"/>
      <queryTableField id="9" name="breach_severity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9ECF0A35-698E-4BF9-807D-36811236B867}" autoFormatId="16" applyNumberFormats="0" applyBorderFormats="0" applyFontFormats="0" applyPatternFormats="0" applyAlignmentFormats="0" applyWidthHeightFormats="0">
  <queryTableRefresh nextId="13">
    <queryTableFields count="12">
      <queryTableField id="1" name="week" tableColumnId="1"/>
      <queryTableField id="2" name="distributor_id" tableColumnId="2"/>
      <queryTableField id="3" name="distributor_name" tableColumnId="3"/>
      <queryTableField id="4" name="region" tableColumnId="4"/>
      <queryTableField id="5" name="product_id" tableColumnId="5"/>
      <queryTableField id="6" name="product_name" tableColumnId="6"/>
      <queryTableField id="7" name="category" tableColumnId="7"/>
      <queryTableField id="8" name="units_ordered" tableColumnId="8"/>
      <queryTableField id="9" name="units_sold" tableColumnId="9"/>
      <queryTableField id="10" name="units_wasted" tableColumnId="10"/>
      <queryTableField id="11" name="waste_pct" tableColumnId="11"/>
      <queryTableField id="12" name="revenue_usd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2EC029F-B8A4-4CB4-8523-FB0C8FDE8701}" name="Delivery_Raw" displayName="Delivery_Raw" ref="A1:I131" tableType="queryTable" totalsRowShown="0">
  <autoFilter ref="A1:I131" xr:uid="{52EC029F-B8A4-4CB4-8523-FB0C8FDE8701}"/>
  <tableColumns count="9">
    <tableColumn id="1" xr3:uid="{B8296E4B-A4F9-4709-80E8-A3018F3801EF}" uniqueName="1" name="week" queryTableFieldId="1" dataDxfId="27"/>
    <tableColumn id="2" xr3:uid="{7548839D-DB95-40B9-B21F-DC2DF75740A4}" uniqueName="2" name="distributor_id" queryTableFieldId="2" dataDxfId="26"/>
    <tableColumn id="3" xr3:uid="{19A8F649-1656-4E33-8769-2948EF7D8AB6}" uniqueName="3" name="distributor_name" queryTableFieldId="3" dataDxfId="25"/>
    <tableColumn id="4" xr3:uid="{A8776A0B-F13C-4B09-A81E-EB6D6F8E4E65}" uniqueName="4" name="region" queryTableFieldId="4" dataDxfId="24"/>
    <tableColumn id="5" xr3:uid="{0EDE5869-05F0-41D0-9434-73EB1594343F}" uniqueName="5" name="total_deliveries" queryTableFieldId="5"/>
    <tableColumn id="6" xr3:uid="{9EFFD99B-33CB-4255-9792-3E522ABC3909}" uniqueName="6" name="on_time" queryTableFieldId="6"/>
    <tableColumn id="7" xr3:uid="{70E74053-AAD2-42B0-B3D6-96CC709B5B05}" uniqueName="7" name="late" queryTableFieldId="7"/>
    <tableColumn id="8" xr3:uid="{000D8541-692C-4258-88B2-59F900D1F1F9}" uniqueName="8" name="on_time_pct" queryTableFieldId="8"/>
    <tableColumn id="9" xr3:uid="{CCA3AB35-A0D2-4518-8784-E0104554C447}" uniqueName="9" name="avg_delay_hrs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796598-C688-4A11-9248-AE87F43449E3}" name="Demand_Raw" displayName="Demand_Raw" ref="A1:J781" tableType="queryTable" totalsRowShown="0">
  <autoFilter ref="A1:J781" xr:uid="{65796598-C688-4A11-9248-AE87F43449E3}"/>
  <tableColumns count="10">
    <tableColumn id="1" xr3:uid="{8061770C-D6BF-4115-AA04-278FBDC102E9}" uniqueName="1" name="week" queryTableFieldId="1" dataDxfId="23"/>
    <tableColumn id="2" xr3:uid="{2681AF66-DD38-440B-9485-8844BACEA274}" uniqueName="2" name="distributor_id" queryTableFieldId="2" dataDxfId="22"/>
    <tableColumn id="3" xr3:uid="{D37FC4BC-F053-4A7D-90C2-DD23523CB813}" uniqueName="3" name="distributor_name" queryTableFieldId="3" dataDxfId="21"/>
    <tableColumn id="4" xr3:uid="{234C8E78-3138-4E60-808D-5B9B3E650034}" uniqueName="4" name="product_id" queryTableFieldId="4" dataDxfId="20"/>
    <tableColumn id="5" xr3:uid="{3B661F1C-E982-44D6-B72B-E22F3A9471B7}" uniqueName="5" name="product_name" queryTableFieldId="5" dataDxfId="19"/>
    <tableColumn id="6" xr3:uid="{F293455D-DD9D-42A4-95D9-65E256A7F503}" uniqueName="6" name="category" queryTableFieldId="6" dataDxfId="18"/>
    <tableColumn id="7" xr3:uid="{2ABECCD5-576E-436C-9B76-06A88B3288AC}" uniqueName="7" name="actual_demand" queryTableFieldId="7"/>
    <tableColumn id="8" xr3:uid="{7123DDA0-E95C-4058-BCCA-43076A789BCB}" uniqueName="8" name="forecasted_demand" queryTableFieldId="8"/>
    <tableColumn id="9" xr3:uid="{970E40DC-9541-4AB1-8101-9B4DD05C0B15}" uniqueName="9" name="forecast_error_pct" queryTableFieldId="9"/>
    <tableColumn id="10" xr3:uid="{EEF70404-D585-4309-A40A-20B58810B65B}" uniqueName="10" name="over_under" queryTableFieldId="10" dataDxfId="1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EAA59E-5551-437E-85A0-22869B5C9CA2}" name="cold_chain_Raw" displayName="cold_chain_Raw" ref="A1:I2701" tableType="queryTable" totalsRowShown="0">
  <autoFilter ref="A1:I2701" xr:uid="{BDEAA59E-5551-437E-85A0-22869B5C9CA2}"/>
  <tableColumns count="9">
    <tableColumn id="1" xr3:uid="{10196692-4441-4569-B7BA-C935967C97ED}" uniqueName="1" name="date" queryTableFieldId="1" dataDxfId="16"/>
    <tableColumn id="2" xr3:uid="{5C6BE644-D12F-4241-9715-EACC6DCBE824}" uniqueName="2" name="distributor_id" queryTableFieldId="2" dataDxfId="15"/>
    <tableColumn id="3" xr3:uid="{D7C57503-7DE2-41A1-B04C-327CD10228EC}" uniqueName="3" name="distributor_name" queryTableFieldId="3" dataDxfId="14"/>
    <tableColumn id="4" xr3:uid="{F551C7EA-302E-49D5-8F54-6E3154F7C9E0}" uniqueName="4" name="product_id" queryTableFieldId="4" dataDxfId="13"/>
    <tableColumn id="5" xr3:uid="{F8F3B1CE-4434-4933-9031-138460D0AC34}" uniqueName="5" name="product_name" queryTableFieldId="5" dataDxfId="12"/>
    <tableColumn id="6" xr3:uid="{4E6A43FF-5B39-4BFF-9604-2C10E9C0D14B}" uniqueName="6" name="ideal_temp_f" queryTableFieldId="6"/>
    <tableColumn id="7" xr3:uid="{C80F5D9C-5E14-42C4-B079-0140721E7765}" uniqueName="7" name="actual_temp_f" queryTableFieldId="7"/>
    <tableColumn id="8" xr3:uid="{1C215D33-C8EC-4600-870C-143BB76A3F2E}" uniqueName="8" name="breach" queryTableFieldId="8" dataDxfId="11"/>
    <tableColumn id="9" xr3:uid="{04AE77D5-A213-4AA7-AD1F-055396481797}" uniqueName="9" name="breach_severity" queryTableFieldId="9" dataDxf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607E99-3ECD-45CC-BE5A-31F0A81B0913}" name="inventory_Raw" displayName="inventory_Raw" ref="A1:L781" tableType="queryTable" totalsRowShown="0">
  <autoFilter ref="A1:L781" xr:uid="{42607E99-3ECD-45CC-BE5A-31F0A81B0913}"/>
  <tableColumns count="12">
    <tableColumn id="1" xr3:uid="{8A7ACB87-C0C0-4EAD-B211-00C39148E19D}" uniqueName="1" name="week" queryTableFieldId="1" dataDxfId="6"/>
    <tableColumn id="2" xr3:uid="{769B0DF9-E3A9-4B85-BDA5-10C5EAEFFC5B}" uniqueName="2" name="distributor_id" queryTableFieldId="2" dataDxfId="5"/>
    <tableColumn id="3" xr3:uid="{718BFAE2-2084-45A3-A508-04545AED9A69}" uniqueName="3" name="distributor_name" queryTableFieldId="3" dataDxfId="4"/>
    <tableColumn id="4" xr3:uid="{6AEC4D4E-A3EB-4287-94D7-C020518D316D}" uniqueName="4" name="region" queryTableFieldId="4" dataDxfId="3"/>
    <tableColumn id="5" xr3:uid="{F9F3A0BA-64DB-4280-A07C-BA5F5BEA575C}" uniqueName="5" name="product_id" queryTableFieldId="5" dataDxfId="2"/>
    <tableColumn id="6" xr3:uid="{5BF86E3D-A386-4174-A5F2-53B38FB6C741}" uniqueName="6" name="product_name" queryTableFieldId="6" dataDxfId="1"/>
    <tableColumn id="7" xr3:uid="{88B37E26-96B4-4B22-916F-8F16A784CF0C}" uniqueName="7" name="category" queryTableFieldId="7" dataDxfId="0"/>
    <tableColumn id="8" xr3:uid="{1FCAE2EF-D76E-406C-845D-6EC20BC0EB74}" uniqueName="8" name="units_ordered" queryTableFieldId="8"/>
    <tableColumn id="9" xr3:uid="{188B2A36-8431-41F3-AA09-A92262C3EB1A}" uniqueName="9" name="units_sold" queryTableFieldId="9"/>
    <tableColumn id="10" xr3:uid="{F500DAA7-0D6F-4EDF-961D-220E5643B8B8}" uniqueName="10" name="units_wasted" queryTableFieldId="10"/>
    <tableColumn id="11" xr3:uid="{6EC80DE3-7374-40FC-A715-5D9F0A8F6F7A}" uniqueName="11" name="waste_pct" queryTableFieldId="11"/>
    <tableColumn id="12" xr3:uid="{EDEFE547-66CB-434A-A09E-D9B385933058}" uniqueName="12" name="revenue_usd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72F68-8C5D-4448-9102-515753215990}">
  <dimension ref="A1:I131"/>
  <sheetViews>
    <sheetView workbookViewId="0"/>
  </sheetViews>
  <sheetFormatPr defaultRowHeight="14.5" x14ac:dyDescent="0.35"/>
  <cols>
    <col min="1" max="1" width="9.08984375" bestFit="1" customWidth="1"/>
    <col min="2" max="2" width="14.36328125" bestFit="1" customWidth="1"/>
    <col min="3" max="3" width="18.1796875" bestFit="1" customWidth="1"/>
    <col min="4" max="4" width="9.26953125" bestFit="1" customWidth="1"/>
    <col min="5" max="5" width="16" bestFit="1" customWidth="1"/>
    <col min="6" max="6" width="9.81640625" bestFit="1" customWidth="1"/>
    <col min="7" max="7" width="6.26953125" bestFit="1" customWidth="1"/>
    <col min="8" max="8" width="13.36328125" bestFit="1" customWidth="1"/>
    <col min="9" max="9" width="14.7265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</row>
    <row r="2" spans="1:9" x14ac:dyDescent="0.35">
      <c r="A2" s="1">
        <v>45292</v>
      </c>
      <c r="B2" t="s">
        <v>12</v>
      </c>
      <c r="C2" t="s">
        <v>13</v>
      </c>
      <c r="D2" t="s">
        <v>14</v>
      </c>
      <c r="E2">
        <v>174</v>
      </c>
      <c r="F2">
        <v>148</v>
      </c>
      <c r="G2">
        <v>26</v>
      </c>
      <c r="H2">
        <v>85.1</v>
      </c>
      <c r="I2">
        <v>0.9</v>
      </c>
    </row>
    <row r="3" spans="1:9" x14ac:dyDescent="0.35">
      <c r="A3" s="1">
        <v>45292</v>
      </c>
      <c r="B3" t="s">
        <v>30</v>
      </c>
      <c r="C3" t="s">
        <v>31</v>
      </c>
      <c r="D3" t="s">
        <v>32</v>
      </c>
      <c r="E3">
        <v>182</v>
      </c>
      <c r="F3">
        <v>133</v>
      </c>
      <c r="G3">
        <v>49</v>
      </c>
      <c r="H3">
        <v>73.099999999999994</v>
      </c>
      <c r="I3">
        <v>3.6</v>
      </c>
    </row>
    <row r="4" spans="1:9" x14ac:dyDescent="0.35">
      <c r="A4" s="1">
        <v>45292</v>
      </c>
      <c r="B4" t="s">
        <v>33</v>
      </c>
      <c r="C4" t="s">
        <v>34</v>
      </c>
      <c r="D4" t="s">
        <v>35</v>
      </c>
      <c r="E4">
        <v>111</v>
      </c>
      <c r="F4">
        <v>86</v>
      </c>
      <c r="G4">
        <v>25</v>
      </c>
      <c r="H4">
        <v>77.5</v>
      </c>
      <c r="I4">
        <v>4.9000000000000004</v>
      </c>
    </row>
    <row r="5" spans="1:9" x14ac:dyDescent="0.35">
      <c r="A5" s="1">
        <v>45292</v>
      </c>
      <c r="B5" t="s">
        <v>36</v>
      </c>
      <c r="C5" t="s">
        <v>37</v>
      </c>
      <c r="D5" t="s">
        <v>38</v>
      </c>
      <c r="E5">
        <v>103</v>
      </c>
      <c r="F5">
        <v>91</v>
      </c>
      <c r="G5">
        <v>12</v>
      </c>
      <c r="H5">
        <v>88.3</v>
      </c>
      <c r="I5">
        <v>4.0999999999999996</v>
      </c>
    </row>
    <row r="6" spans="1:9" x14ac:dyDescent="0.35">
      <c r="A6" s="1">
        <v>45292</v>
      </c>
      <c r="B6" t="s">
        <v>39</v>
      </c>
      <c r="C6" t="s">
        <v>40</v>
      </c>
      <c r="D6" t="s">
        <v>14</v>
      </c>
      <c r="E6">
        <v>111</v>
      </c>
      <c r="F6">
        <v>86</v>
      </c>
      <c r="G6">
        <v>25</v>
      </c>
      <c r="H6">
        <v>77.5</v>
      </c>
      <c r="I6">
        <v>4.4000000000000004</v>
      </c>
    </row>
    <row r="7" spans="1:9" x14ac:dyDescent="0.35">
      <c r="A7" s="1">
        <v>45299</v>
      </c>
      <c r="B7" t="s">
        <v>12</v>
      </c>
      <c r="C7" t="s">
        <v>13</v>
      </c>
      <c r="D7" t="s">
        <v>14</v>
      </c>
      <c r="E7">
        <v>102</v>
      </c>
      <c r="F7">
        <v>74</v>
      </c>
      <c r="G7">
        <v>28</v>
      </c>
      <c r="H7">
        <v>72.5</v>
      </c>
      <c r="I7">
        <v>3.9</v>
      </c>
    </row>
    <row r="8" spans="1:9" x14ac:dyDescent="0.35">
      <c r="A8" s="1">
        <v>45299</v>
      </c>
      <c r="B8" t="s">
        <v>30</v>
      </c>
      <c r="C8" t="s">
        <v>31</v>
      </c>
      <c r="D8" t="s">
        <v>32</v>
      </c>
      <c r="E8">
        <v>150</v>
      </c>
      <c r="F8">
        <v>118</v>
      </c>
      <c r="G8">
        <v>32</v>
      </c>
      <c r="H8">
        <v>78.7</v>
      </c>
      <c r="I8">
        <v>4.5999999999999996</v>
      </c>
    </row>
    <row r="9" spans="1:9" x14ac:dyDescent="0.35">
      <c r="A9" s="1">
        <v>45299</v>
      </c>
      <c r="B9" t="s">
        <v>33</v>
      </c>
      <c r="C9" t="s">
        <v>34</v>
      </c>
      <c r="D9" t="s">
        <v>35</v>
      </c>
      <c r="E9">
        <v>173</v>
      </c>
      <c r="F9">
        <v>160</v>
      </c>
      <c r="G9">
        <v>13</v>
      </c>
      <c r="H9">
        <v>92.5</v>
      </c>
      <c r="I9">
        <v>0.9</v>
      </c>
    </row>
    <row r="10" spans="1:9" x14ac:dyDescent="0.35">
      <c r="A10" s="1">
        <v>45299</v>
      </c>
      <c r="B10" t="s">
        <v>36</v>
      </c>
      <c r="C10" t="s">
        <v>37</v>
      </c>
      <c r="D10" t="s">
        <v>38</v>
      </c>
      <c r="E10">
        <v>195</v>
      </c>
      <c r="F10">
        <v>146</v>
      </c>
      <c r="G10">
        <v>49</v>
      </c>
      <c r="H10">
        <v>74.900000000000006</v>
      </c>
      <c r="I10">
        <v>2.2000000000000002</v>
      </c>
    </row>
    <row r="11" spans="1:9" x14ac:dyDescent="0.35">
      <c r="A11" s="1">
        <v>45299</v>
      </c>
      <c r="B11" t="s">
        <v>39</v>
      </c>
      <c r="C11" t="s">
        <v>40</v>
      </c>
      <c r="D11" t="s">
        <v>14</v>
      </c>
      <c r="E11">
        <v>106</v>
      </c>
      <c r="F11">
        <v>82</v>
      </c>
      <c r="G11">
        <v>24</v>
      </c>
      <c r="H11">
        <v>77.400000000000006</v>
      </c>
      <c r="I11">
        <v>3.7</v>
      </c>
    </row>
    <row r="12" spans="1:9" x14ac:dyDescent="0.35">
      <c r="A12" s="1">
        <v>45306</v>
      </c>
      <c r="B12" t="s">
        <v>12</v>
      </c>
      <c r="C12" t="s">
        <v>13</v>
      </c>
      <c r="D12" t="s">
        <v>14</v>
      </c>
      <c r="E12">
        <v>154</v>
      </c>
      <c r="F12">
        <v>129</v>
      </c>
      <c r="G12">
        <v>25</v>
      </c>
      <c r="H12">
        <v>83.8</v>
      </c>
      <c r="I12">
        <v>1</v>
      </c>
    </row>
    <row r="13" spans="1:9" x14ac:dyDescent="0.35">
      <c r="A13" s="1">
        <v>45306</v>
      </c>
      <c r="B13" t="s">
        <v>30</v>
      </c>
      <c r="C13" t="s">
        <v>31</v>
      </c>
      <c r="D13" t="s">
        <v>32</v>
      </c>
      <c r="E13">
        <v>192</v>
      </c>
      <c r="F13">
        <v>175</v>
      </c>
      <c r="G13">
        <v>17</v>
      </c>
      <c r="H13">
        <v>91.1</v>
      </c>
      <c r="I13">
        <v>2.2999999999999998</v>
      </c>
    </row>
    <row r="14" spans="1:9" x14ac:dyDescent="0.35">
      <c r="A14" s="1">
        <v>45306</v>
      </c>
      <c r="B14" t="s">
        <v>33</v>
      </c>
      <c r="C14" t="s">
        <v>34</v>
      </c>
      <c r="D14" t="s">
        <v>35</v>
      </c>
      <c r="E14">
        <v>161</v>
      </c>
      <c r="F14">
        <v>118</v>
      </c>
      <c r="G14">
        <v>43</v>
      </c>
      <c r="H14">
        <v>73.3</v>
      </c>
      <c r="I14">
        <v>3.1</v>
      </c>
    </row>
    <row r="15" spans="1:9" x14ac:dyDescent="0.35">
      <c r="A15" s="1">
        <v>45306</v>
      </c>
      <c r="B15" t="s">
        <v>36</v>
      </c>
      <c r="C15" t="s">
        <v>37</v>
      </c>
      <c r="D15" t="s">
        <v>38</v>
      </c>
      <c r="E15">
        <v>136</v>
      </c>
      <c r="F15">
        <v>100</v>
      </c>
      <c r="G15">
        <v>36</v>
      </c>
      <c r="H15">
        <v>73.5</v>
      </c>
      <c r="I15">
        <v>1.6</v>
      </c>
    </row>
    <row r="16" spans="1:9" x14ac:dyDescent="0.35">
      <c r="A16" s="1">
        <v>45306</v>
      </c>
      <c r="B16" t="s">
        <v>39</v>
      </c>
      <c r="C16" t="s">
        <v>40</v>
      </c>
      <c r="D16" t="s">
        <v>14</v>
      </c>
      <c r="E16">
        <v>149</v>
      </c>
      <c r="F16">
        <v>129</v>
      </c>
      <c r="G16">
        <v>20</v>
      </c>
      <c r="H16">
        <v>86.6</v>
      </c>
      <c r="I16">
        <v>3.8</v>
      </c>
    </row>
    <row r="17" spans="1:9" x14ac:dyDescent="0.35">
      <c r="A17" s="1">
        <v>45313</v>
      </c>
      <c r="B17" t="s">
        <v>12</v>
      </c>
      <c r="C17" t="s">
        <v>13</v>
      </c>
      <c r="D17" t="s">
        <v>14</v>
      </c>
      <c r="E17">
        <v>118</v>
      </c>
      <c r="F17">
        <v>101</v>
      </c>
      <c r="G17">
        <v>17</v>
      </c>
      <c r="H17">
        <v>85.6</v>
      </c>
      <c r="I17">
        <v>3.7</v>
      </c>
    </row>
    <row r="18" spans="1:9" x14ac:dyDescent="0.35">
      <c r="A18" s="1">
        <v>45313</v>
      </c>
      <c r="B18" t="s">
        <v>30</v>
      </c>
      <c r="C18" t="s">
        <v>31</v>
      </c>
      <c r="D18" t="s">
        <v>32</v>
      </c>
      <c r="E18">
        <v>190</v>
      </c>
      <c r="F18">
        <v>179</v>
      </c>
      <c r="G18">
        <v>11</v>
      </c>
      <c r="H18">
        <v>94.2</v>
      </c>
      <c r="I18">
        <v>4.5</v>
      </c>
    </row>
    <row r="19" spans="1:9" x14ac:dyDescent="0.35">
      <c r="A19" s="1">
        <v>45313</v>
      </c>
      <c r="B19" t="s">
        <v>33</v>
      </c>
      <c r="C19" t="s">
        <v>34</v>
      </c>
      <c r="D19" t="s">
        <v>35</v>
      </c>
      <c r="E19">
        <v>136</v>
      </c>
      <c r="F19">
        <v>124</v>
      </c>
      <c r="G19">
        <v>12</v>
      </c>
      <c r="H19">
        <v>91.2</v>
      </c>
      <c r="I19">
        <v>1.6</v>
      </c>
    </row>
    <row r="20" spans="1:9" x14ac:dyDescent="0.35">
      <c r="A20" s="1">
        <v>45313</v>
      </c>
      <c r="B20" t="s">
        <v>36</v>
      </c>
      <c r="C20" t="s">
        <v>37</v>
      </c>
      <c r="D20" t="s">
        <v>38</v>
      </c>
      <c r="E20">
        <v>183</v>
      </c>
      <c r="F20">
        <v>160</v>
      </c>
      <c r="G20">
        <v>23</v>
      </c>
      <c r="H20">
        <v>87.4</v>
      </c>
      <c r="I20">
        <v>4.7</v>
      </c>
    </row>
    <row r="21" spans="1:9" x14ac:dyDescent="0.35">
      <c r="A21" s="1">
        <v>45313</v>
      </c>
      <c r="B21" t="s">
        <v>39</v>
      </c>
      <c r="C21" t="s">
        <v>40</v>
      </c>
      <c r="D21" t="s">
        <v>14</v>
      </c>
      <c r="E21">
        <v>80</v>
      </c>
      <c r="F21">
        <v>62</v>
      </c>
      <c r="G21">
        <v>18</v>
      </c>
      <c r="H21">
        <v>77.5</v>
      </c>
      <c r="I21">
        <v>2.7</v>
      </c>
    </row>
    <row r="22" spans="1:9" x14ac:dyDescent="0.35">
      <c r="A22" s="1">
        <v>45320</v>
      </c>
      <c r="B22" t="s">
        <v>12</v>
      </c>
      <c r="C22" t="s">
        <v>13</v>
      </c>
      <c r="D22" t="s">
        <v>14</v>
      </c>
      <c r="E22">
        <v>114</v>
      </c>
      <c r="F22">
        <v>96</v>
      </c>
      <c r="G22">
        <v>18</v>
      </c>
      <c r="H22">
        <v>84.2</v>
      </c>
      <c r="I22">
        <v>1.5</v>
      </c>
    </row>
    <row r="23" spans="1:9" x14ac:dyDescent="0.35">
      <c r="A23" s="1">
        <v>45320</v>
      </c>
      <c r="B23" t="s">
        <v>30</v>
      </c>
      <c r="C23" t="s">
        <v>31</v>
      </c>
      <c r="D23" t="s">
        <v>32</v>
      </c>
      <c r="E23">
        <v>144</v>
      </c>
      <c r="F23">
        <v>121</v>
      </c>
      <c r="G23">
        <v>23</v>
      </c>
      <c r="H23">
        <v>84</v>
      </c>
      <c r="I23">
        <v>2.1</v>
      </c>
    </row>
    <row r="24" spans="1:9" x14ac:dyDescent="0.35">
      <c r="A24" s="1">
        <v>45320</v>
      </c>
      <c r="B24" t="s">
        <v>33</v>
      </c>
      <c r="C24" t="s">
        <v>34</v>
      </c>
      <c r="D24" t="s">
        <v>35</v>
      </c>
      <c r="E24">
        <v>162</v>
      </c>
      <c r="F24">
        <v>128</v>
      </c>
      <c r="G24">
        <v>34</v>
      </c>
      <c r="H24">
        <v>79</v>
      </c>
      <c r="I24">
        <v>5.3</v>
      </c>
    </row>
    <row r="25" spans="1:9" x14ac:dyDescent="0.35">
      <c r="A25" s="1">
        <v>45320</v>
      </c>
      <c r="B25" t="s">
        <v>36</v>
      </c>
      <c r="C25" t="s">
        <v>37</v>
      </c>
      <c r="D25" t="s">
        <v>38</v>
      </c>
      <c r="E25">
        <v>111</v>
      </c>
      <c r="F25">
        <v>89</v>
      </c>
      <c r="G25">
        <v>22</v>
      </c>
      <c r="H25">
        <v>80.2</v>
      </c>
      <c r="I25">
        <v>4.2</v>
      </c>
    </row>
    <row r="26" spans="1:9" x14ac:dyDescent="0.35">
      <c r="A26" s="1">
        <v>45320</v>
      </c>
      <c r="B26" t="s">
        <v>39</v>
      </c>
      <c r="C26" t="s">
        <v>40</v>
      </c>
      <c r="D26" t="s">
        <v>14</v>
      </c>
      <c r="E26">
        <v>144</v>
      </c>
      <c r="F26">
        <v>114</v>
      </c>
      <c r="G26">
        <v>30</v>
      </c>
      <c r="H26">
        <v>79.2</v>
      </c>
      <c r="I26">
        <v>2.9</v>
      </c>
    </row>
    <row r="27" spans="1:9" x14ac:dyDescent="0.35">
      <c r="A27" s="1">
        <v>45327</v>
      </c>
      <c r="B27" t="s">
        <v>12</v>
      </c>
      <c r="C27" t="s">
        <v>13</v>
      </c>
      <c r="D27" t="s">
        <v>14</v>
      </c>
      <c r="E27">
        <v>176</v>
      </c>
      <c r="F27">
        <v>168</v>
      </c>
      <c r="G27">
        <v>8</v>
      </c>
      <c r="H27">
        <v>95.5</v>
      </c>
      <c r="I27">
        <v>3.2</v>
      </c>
    </row>
    <row r="28" spans="1:9" x14ac:dyDescent="0.35">
      <c r="A28" s="1">
        <v>45327</v>
      </c>
      <c r="B28" t="s">
        <v>30</v>
      </c>
      <c r="C28" t="s">
        <v>31</v>
      </c>
      <c r="D28" t="s">
        <v>32</v>
      </c>
      <c r="E28">
        <v>120</v>
      </c>
      <c r="F28">
        <v>113</v>
      </c>
      <c r="G28">
        <v>7</v>
      </c>
      <c r="H28">
        <v>94.2</v>
      </c>
      <c r="I28">
        <v>3.3</v>
      </c>
    </row>
    <row r="29" spans="1:9" x14ac:dyDescent="0.35">
      <c r="A29" s="1">
        <v>45327</v>
      </c>
      <c r="B29" t="s">
        <v>33</v>
      </c>
      <c r="C29" t="s">
        <v>34</v>
      </c>
      <c r="D29" t="s">
        <v>35</v>
      </c>
      <c r="E29">
        <v>143</v>
      </c>
      <c r="F29">
        <v>108</v>
      </c>
      <c r="G29">
        <v>35</v>
      </c>
      <c r="H29">
        <v>75.5</v>
      </c>
      <c r="I29">
        <v>0.9</v>
      </c>
    </row>
    <row r="30" spans="1:9" x14ac:dyDescent="0.35">
      <c r="A30" s="1">
        <v>45327</v>
      </c>
      <c r="B30" t="s">
        <v>36</v>
      </c>
      <c r="C30" t="s">
        <v>37</v>
      </c>
      <c r="D30" t="s">
        <v>38</v>
      </c>
      <c r="E30">
        <v>135</v>
      </c>
      <c r="F30">
        <v>119</v>
      </c>
      <c r="G30">
        <v>16</v>
      </c>
      <c r="H30">
        <v>88.1</v>
      </c>
      <c r="I30">
        <v>1</v>
      </c>
    </row>
    <row r="31" spans="1:9" x14ac:dyDescent="0.35">
      <c r="A31" s="1">
        <v>45327</v>
      </c>
      <c r="B31" t="s">
        <v>39</v>
      </c>
      <c r="C31" t="s">
        <v>40</v>
      </c>
      <c r="D31" t="s">
        <v>14</v>
      </c>
      <c r="E31">
        <v>190</v>
      </c>
      <c r="F31">
        <v>157</v>
      </c>
      <c r="G31">
        <v>33</v>
      </c>
      <c r="H31">
        <v>82.6</v>
      </c>
      <c r="I31">
        <v>4</v>
      </c>
    </row>
    <row r="32" spans="1:9" x14ac:dyDescent="0.35">
      <c r="A32" s="1">
        <v>45334</v>
      </c>
      <c r="B32" t="s">
        <v>12</v>
      </c>
      <c r="C32" t="s">
        <v>13</v>
      </c>
      <c r="D32" t="s">
        <v>14</v>
      </c>
      <c r="E32">
        <v>148</v>
      </c>
      <c r="F32">
        <v>136</v>
      </c>
      <c r="G32">
        <v>12</v>
      </c>
      <c r="H32">
        <v>91.9</v>
      </c>
      <c r="I32">
        <v>1.6</v>
      </c>
    </row>
    <row r="33" spans="1:9" x14ac:dyDescent="0.35">
      <c r="A33" s="1">
        <v>45334</v>
      </c>
      <c r="B33" t="s">
        <v>30</v>
      </c>
      <c r="C33" t="s">
        <v>31</v>
      </c>
      <c r="D33" t="s">
        <v>32</v>
      </c>
      <c r="E33">
        <v>93</v>
      </c>
      <c r="F33">
        <v>84</v>
      </c>
      <c r="G33">
        <v>9</v>
      </c>
      <c r="H33">
        <v>90.3</v>
      </c>
      <c r="I33">
        <v>1.7</v>
      </c>
    </row>
    <row r="34" spans="1:9" x14ac:dyDescent="0.35">
      <c r="A34" s="1">
        <v>45334</v>
      </c>
      <c r="B34" t="s">
        <v>33</v>
      </c>
      <c r="C34" t="s">
        <v>34</v>
      </c>
      <c r="D34" t="s">
        <v>35</v>
      </c>
      <c r="E34">
        <v>144</v>
      </c>
      <c r="F34">
        <v>114</v>
      </c>
      <c r="G34">
        <v>30</v>
      </c>
      <c r="H34">
        <v>79.2</v>
      </c>
      <c r="I34">
        <v>4.7</v>
      </c>
    </row>
    <row r="35" spans="1:9" x14ac:dyDescent="0.35">
      <c r="A35" s="1">
        <v>45334</v>
      </c>
      <c r="B35" t="s">
        <v>36</v>
      </c>
      <c r="C35" t="s">
        <v>37</v>
      </c>
      <c r="D35" t="s">
        <v>38</v>
      </c>
      <c r="E35">
        <v>140</v>
      </c>
      <c r="F35">
        <v>104</v>
      </c>
      <c r="G35">
        <v>36</v>
      </c>
      <c r="H35">
        <v>74.3</v>
      </c>
      <c r="I35">
        <v>2.2000000000000002</v>
      </c>
    </row>
    <row r="36" spans="1:9" x14ac:dyDescent="0.35">
      <c r="A36" s="1">
        <v>45334</v>
      </c>
      <c r="B36" t="s">
        <v>39</v>
      </c>
      <c r="C36" t="s">
        <v>40</v>
      </c>
      <c r="D36" t="s">
        <v>14</v>
      </c>
      <c r="E36">
        <v>158</v>
      </c>
      <c r="F36">
        <v>122</v>
      </c>
      <c r="G36">
        <v>36</v>
      </c>
      <c r="H36">
        <v>77.2</v>
      </c>
      <c r="I36">
        <v>4.2</v>
      </c>
    </row>
    <row r="37" spans="1:9" x14ac:dyDescent="0.35">
      <c r="A37" s="1">
        <v>45341</v>
      </c>
      <c r="B37" t="s">
        <v>12</v>
      </c>
      <c r="C37" t="s">
        <v>13</v>
      </c>
      <c r="D37" t="s">
        <v>14</v>
      </c>
      <c r="E37">
        <v>121</v>
      </c>
      <c r="F37">
        <v>91</v>
      </c>
      <c r="G37">
        <v>30</v>
      </c>
      <c r="H37">
        <v>75.2</v>
      </c>
      <c r="I37">
        <v>4.7</v>
      </c>
    </row>
    <row r="38" spans="1:9" x14ac:dyDescent="0.35">
      <c r="A38" s="1">
        <v>45341</v>
      </c>
      <c r="B38" t="s">
        <v>30</v>
      </c>
      <c r="C38" t="s">
        <v>31</v>
      </c>
      <c r="D38" t="s">
        <v>32</v>
      </c>
      <c r="E38">
        <v>180</v>
      </c>
      <c r="F38">
        <v>137</v>
      </c>
      <c r="G38">
        <v>43</v>
      </c>
      <c r="H38">
        <v>76.099999999999994</v>
      </c>
      <c r="I38">
        <v>1.4</v>
      </c>
    </row>
    <row r="39" spans="1:9" x14ac:dyDescent="0.35">
      <c r="A39" s="1">
        <v>45341</v>
      </c>
      <c r="B39" t="s">
        <v>33</v>
      </c>
      <c r="C39" t="s">
        <v>34</v>
      </c>
      <c r="D39" t="s">
        <v>35</v>
      </c>
      <c r="E39">
        <v>164</v>
      </c>
      <c r="F39">
        <v>124</v>
      </c>
      <c r="G39">
        <v>40</v>
      </c>
      <c r="H39">
        <v>75.599999999999994</v>
      </c>
      <c r="I39">
        <v>5.8</v>
      </c>
    </row>
    <row r="40" spans="1:9" x14ac:dyDescent="0.35">
      <c r="A40" s="1">
        <v>45341</v>
      </c>
      <c r="B40" t="s">
        <v>36</v>
      </c>
      <c r="C40" t="s">
        <v>37</v>
      </c>
      <c r="D40" t="s">
        <v>38</v>
      </c>
      <c r="E40">
        <v>140</v>
      </c>
      <c r="F40">
        <v>123</v>
      </c>
      <c r="G40">
        <v>17</v>
      </c>
      <c r="H40">
        <v>87.9</v>
      </c>
      <c r="I40">
        <v>4.8</v>
      </c>
    </row>
    <row r="41" spans="1:9" x14ac:dyDescent="0.35">
      <c r="A41" s="1">
        <v>45341</v>
      </c>
      <c r="B41" t="s">
        <v>39</v>
      </c>
      <c r="C41" t="s">
        <v>40</v>
      </c>
      <c r="D41" t="s">
        <v>14</v>
      </c>
      <c r="E41">
        <v>179</v>
      </c>
      <c r="F41">
        <v>161</v>
      </c>
      <c r="G41">
        <v>18</v>
      </c>
      <c r="H41">
        <v>89.9</v>
      </c>
      <c r="I41">
        <v>1.8</v>
      </c>
    </row>
    <row r="42" spans="1:9" x14ac:dyDescent="0.35">
      <c r="A42" s="1">
        <v>45348</v>
      </c>
      <c r="B42" t="s">
        <v>12</v>
      </c>
      <c r="C42" t="s">
        <v>13</v>
      </c>
      <c r="D42" t="s">
        <v>14</v>
      </c>
      <c r="E42">
        <v>113</v>
      </c>
      <c r="F42">
        <v>94</v>
      </c>
      <c r="G42">
        <v>19</v>
      </c>
      <c r="H42">
        <v>83.2</v>
      </c>
      <c r="I42">
        <v>5.2</v>
      </c>
    </row>
    <row r="43" spans="1:9" x14ac:dyDescent="0.35">
      <c r="A43" s="1">
        <v>45348</v>
      </c>
      <c r="B43" t="s">
        <v>30</v>
      </c>
      <c r="C43" t="s">
        <v>31</v>
      </c>
      <c r="D43" t="s">
        <v>32</v>
      </c>
      <c r="E43">
        <v>118</v>
      </c>
      <c r="F43">
        <v>95</v>
      </c>
      <c r="G43">
        <v>23</v>
      </c>
      <c r="H43">
        <v>80.5</v>
      </c>
      <c r="I43">
        <v>2.2000000000000002</v>
      </c>
    </row>
    <row r="44" spans="1:9" x14ac:dyDescent="0.35">
      <c r="A44" s="1">
        <v>45348</v>
      </c>
      <c r="B44" t="s">
        <v>33</v>
      </c>
      <c r="C44" t="s">
        <v>34</v>
      </c>
      <c r="D44" t="s">
        <v>35</v>
      </c>
      <c r="E44">
        <v>173</v>
      </c>
      <c r="F44">
        <v>139</v>
      </c>
      <c r="G44">
        <v>34</v>
      </c>
      <c r="H44">
        <v>80.3</v>
      </c>
      <c r="I44">
        <v>4.5999999999999996</v>
      </c>
    </row>
    <row r="45" spans="1:9" x14ac:dyDescent="0.35">
      <c r="A45" s="1">
        <v>45348</v>
      </c>
      <c r="B45" t="s">
        <v>36</v>
      </c>
      <c r="C45" t="s">
        <v>37</v>
      </c>
      <c r="D45" t="s">
        <v>38</v>
      </c>
      <c r="E45">
        <v>137</v>
      </c>
      <c r="F45">
        <v>109</v>
      </c>
      <c r="G45">
        <v>28</v>
      </c>
      <c r="H45">
        <v>79.599999999999994</v>
      </c>
      <c r="I45">
        <v>3.6</v>
      </c>
    </row>
    <row r="46" spans="1:9" x14ac:dyDescent="0.35">
      <c r="A46" s="1">
        <v>45348</v>
      </c>
      <c r="B46" t="s">
        <v>39</v>
      </c>
      <c r="C46" t="s">
        <v>40</v>
      </c>
      <c r="D46" t="s">
        <v>14</v>
      </c>
      <c r="E46">
        <v>177</v>
      </c>
      <c r="F46">
        <v>145</v>
      </c>
      <c r="G46">
        <v>32</v>
      </c>
      <c r="H46">
        <v>81.900000000000006</v>
      </c>
      <c r="I46">
        <v>4.7</v>
      </c>
    </row>
    <row r="47" spans="1:9" x14ac:dyDescent="0.35">
      <c r="A47" s="1">
        <v>45355</v>
      </c>
      <c r="B47" t="s">
        <v>12</v>
      </c>
      <c r="C47" t="s">
        <v>13</v>
      </c>
      <c r="D47" t="s">
        <v>14</v>
      </c>
      <c r="E47">
        <v>131</v>
      </c>
      <c r="F47">
        <v>96</v>
      </c>
      <c r="G47">
        <v>35</v>
      </c>
      <c r="H47">
        <v>73.3</v>
      </c>
      <c r="I47">
        <v>2.7</v>
      </c>
    </row>
    <row r="48" spans="1:9" x14ac:dyDescent="0.35">
      <c r="A48" s="1">
        <v>45355</v>
      </c>
      <c r="B48" t="s">
        <v>30</v>
      </c>
      <c r="C48" t="s">
        <v>31</v>
      </c>
      <c r="D48" t="s">
        <v>32</v>
      </c>
      <c r="E48">
        <v>162</v>
      </c>
      <c r="F48">
        <v>149</v>
      </c>
      <c r="G48">
        <v>13</v>
      </c>
      <c r="H48">
        <v>92</v>
      </c>
      <c r="I48">
        <v>5.9</v>
      </c>
    </row>
    <row r="49" spans="1:9" x14ac:dyDescent="0.35">
      <c r="A49" s="1">
        <v>45355</v>
      </c>
      <c r="B49" t="s">
        <v>33</v>
      </c>
      <c r="C49" t="s">
        <v>34</v>
      </c>
      <c r="D49" t="s">
        <v>35</v>
      </c>
      <c r="E49">
        <v>178</v>
      </c>
      <c r="F49">
        <v>140</v>
      </c>
      <c r="G49">
        <v>38</v>
      </c>
      <c r="H49">
        <v>78.7</v>
      </c>
      <c r="I49">
        <v>5</v>
      </c>
    </row>
    <row r="50" spans="1:9" x14ac:dyDescent="0.35">
      <c r="A50" s="1">
        <v>45355</v>
      </c>
      <c r="B50" t="s">
        <v>36</v>
      </c>
      <c r="C50" t="s">
        <v>37</v>
      </c>
      <c r="D50" t="s">
        <v>38</v>
      </c>
      <c r="E50">
        <v>105</v>
      </c>
      <c r="F50">
        <v>81</v>
      </c>
      <c r="G50">
        <v>24</v>
      </c>
      <c r="H50">
        <v>77.099999999999994</v>
      </c>
      <c r="I50">
        <v>4.4000000000000004</v>
      </c>
    </row>
    <row r="51" spans="1:9" x14ac:dyDescent="0.35">
      <c r="A51" s="1">
        <v>45355</v>
      </c>
      <c r="B51" t="s">
        <v>39</v>
      </c>
      <c r="C51" t="s">
        <v>40</v>
      </c>
      <c r="D51" t="s">
        <v>14</v>
      </c>
      <c r="E51">
        <v>117</v>
      </c>
      <c r="F51">
        <v>108</v>
      </c>
      <c r="G51">
        <v>9</v>
      </c>
      <c r="H51">
        <v>92.3</v>
      </c>
      <c r="I51">
        <v>0.6</v>
      </c>
    </row>
    <row r="52" spans="1:9" x14ac:dyDescent="0.35">
      <c r="A52" s="1">
        <v>45362</v>
      </c>
      <c r="B52" t="s">
        <v>12</v>
      </c>
      <c r="C52" t="s">
        <v>13</v>
      </c>
      <c r="D52" t="s">
        <v>14</v>
      </c>
      <c r="E52">
        <v>134</v>
      </c>
      <c r="F52">
        <v>122</v>
      </c>
      <c r="G52">
        <v>12</v>
      </c>
      <c r="H52">
        <v>91</v>
      </c>
      <c r="I52">
        <v>2.2999999999999998</v>
      </c>
    </row>
    <row r="53" spans="1:9" x14ac:dyDescent="0.35">
      <c r="A53" s="1">
        <v>45362</v>
      </c>
      <c r="B53" t="s">
        <v>30</v>
      </c>
      <c r="C53" t="s">
        <v>31</v>
      </c>
      <c r="D53" t="s">
        <v>32</v>
      </c>
      <c r="E53">
        <v>151</v>
      </c>
      <c r="F53">
        <v>136</v>
      </c>
      <c r="G53">
        <v>15</v>
      </c>
      <c r="H53">
        <v>90.1</v>
      </c>
      <c r="I53">
        <v>4.9000000000000004</v>
      </c>
    </row>
    <row r="54" spans="1:9" x14ac:dyDescent="0.35">
      <c r="A54" s="1">
        <v>45362</v>
      </c>
      <c r="B54" t="s">
        <v>33</v>
      </c>
      <c r="C54" t="s">
        <v>34</v>
      </c>
      <c r="D54" t="s">
        <v>35</v>
      </c>
      <c r="E54">
        <v>159</v>
      </c>
      <c r="F54">
        <v>134</v>
      </c>
      <c r="G54">
        <v>25</v>
      </c>
      <c r="H54">
        <v>84.3</v>
      </c>
      <c r="I54">
        <v>5.2</v>
      </c>
    </row>
    <row r="55" spans="1:9" x14ac:dyDescent="0.35">
      <c r="A55" s="1">
        <v>45362</v>
      </c>
      <c r="B55" t="s">
        <v>36</v>
      </c>
      <c r="C55" t="s">
        <v>37</v>
      </c>
      <c r="D55" t="s">
        <v>38</v>
      </c>
      <c r="E55">
        <v>93</v>
      </c>
      <c r="F55">
        <v>68</v>
      </c>
      <c r="G55">
        <v>25</v>
      </c>
      <c r="H55">
        <v>73.099999999999994</v>
      </c>
      <c r="I55">
        <v>1.4</v>
      </c>
    </row>
    <row r="56" spans="1:9" x14ac:dyDescent="0.35">
      <c r="A56" s="1">
        <v>45362</v>
      </c>
      <c r="B56" t="s">
        <v>39</v>
      </c>
      <c r="C56" t="s">
        <v>40</v>
      </c>
      <c r="D56" t="s">
        <v>14</v>
      </c>
      <c r="E56">
        <v>172</v>
      </c>
      <c r="F56">
        <v>144</v>
      </c>
      <c r="G56">
        <v>28</v>
      </c>
      <c r="H56">
        <v>83.7</v>
      </c>
      <c r="I56">
        <v>4.5</v>
      </c>
    </row>
    <row r="57" spans="1:9" x14ac:dyDescent="0.35">
      <c r="A57" s="1">
        <v>45369</v>
      </c>
      <c r="B57" t="s">
        <v>12</v>
      </c>
      <c r="C57" t="s">
        <v>13</v>
      </c>
      <c r="D57" t="s">
        <v>14</v>
      </c>
      <c r="E57">
        <v>140</v>
      </c>
      <c r="F57">
        <v>134</v>
      </c>
      <c r="G57">
        <v>6</v>
      </c>
      <c r="H57">
        <v>95.7</v>
      </c>
      <c r="I57">
        <v>5.7</v>
      </c>
    </row>
    <row r="58" spans="1:9" x14ac:dyDescent="0.35">
      <c r="A58" s="1">
        <v>45369</v>
      </c>
      <c r="B58" t="s">
        <v>30</v>
      </c>
      <c r="C58" t="s">
        <v>31</v>
      </c>
      <c r="D58" t="s">
        <v>32</v>
      </c>
      <c r="E58">
        <v>179</v>
      </c>
      <c r="F58">
        <v>158</v>
      </c>
      <c r="G58">
        <v>21</v>
      </c>
      <c r="H58">
        <v>88.3</v>
      </c>
      <c r="I58">
        <v>4.3</v>
      </c>
    </row>
    <row r="59" spans="1:9" x14ac:dyDescent="0.35">
      <c r="A59" s="1">
        <v>45369</v>
      </c>
      <c r="B59" t="s">
        <v>33</v>
      </c>
      <c r="C59" t="s">
        <v>34</v>
      </c>
      <c r="D59" t="s">
        <v>35</v>
      </c>
      <c r="E59">
        <v>196</v>
      </c>
      <c r="F59">
        <v>175</v>
      </c>
      <c r="G59">
        <v>21</v>
      </c>
      <c r="H59">
        <v>89.3</v>
      </c>
      <c r="I59">
        <v>1.9</v>
      </c>
    </row>
    <row r="60" spans="1:9" x14ac:dyDescent="0.35">
      <c r="A60" s="1">
        <v>45369</v>
      </c>
      <c r="B60" t="s">
        <v>36</v>
      </c>
      <c r="C60" t="s">
        <v>37</v>
      </c>
      <c r="D60" t="s">
        <v>38</v>
      </c>
      <c r="E60">
        <v>157</v>
      </c>
      <c r="F60">
        <v>136</v>
      </c>
      <c r="G60">
        <v>21</v>
      </c>
      <c r="H60">
        <v>86.6</v>
      </c>
      <c r="I60">
        <v>0.8</v>
      </c>
    </row>
    <row r="61" spans="1:9" x14ac:dyDescent="0.35">
      <c r="A61" s="1">
        <v>45369</v>
      </c>
      <c r="B61" t="s">
        <v>39</v>
      </c>
      <c r="C61" t="s">
        <v>40</v>
      </c>
      <c r="D61" t="s">
        <v>14</v>
      </c>
      <c r="E61">
        <v>87</v>
      </c>
      <c r="F61">
        <v>76</v>
      </c>
      <c r="G61">
        <v>11</v>
      </c>
      <c r="H61">
        <v>87.4</v>
      </c>
      <c r="I61">
        <v>2</v>
      </c>
    </row>
    <row r="62" spans="1:9" x14ac:dyDescent="0.35">
      <c r="A62" s="1">
        <v>45376</v>
      </c>
      <c r="B62" t="s">
        <v>12</v>
      </c>
      <c r="C62" t="s">
        <v>13</v>
      </c>
      <c r="D62" t="s">
        <v>14</v>
      </c>
      <c r="E62">
        <v>127</v>
      </c>
      <c r="F62">
        <v>105</v>
      </c>
      <c r="G62">
        <v>22</v>
      </c>
      <c r="H62">
        <v>82.7</v>
      </c>
      <c r="I62">
        <v>2.1</v>
      </c>
    </row>
    <row r="63" spans="1:9" x14ac:dyDescent="0.35">
      <c r="A63" s="1">
        <v>45376</v>
      </c>
      <c r="B63" t="s">
        <v>30</v>
      </c>
      <c r="C63" t="s">
        <v>31</v>
      </c>
      <c r="D63" t="s">
        <v>32</v>
      </c>
      <c r="E63">
        <v>140</v>
      </c>
      <c r="F63">
        <v>105</v>
      </c>
      <c r="G63">
        <v>35</v>
      </c>
      <c r="H63">
        <v>75</v>
      </c>
      <c r="I63">
        <v>4.5999999999999996</v>
      </c>
    </row>
    <row r="64" spans="1:9" x14ac:dyDescent="0.35">
      <c r="A64" s="1">
        <v>45376</v>
      </c>
      <c r="B64" t="s">
        <v>33</v>
      </c>
      <c r="C64" t="s">
        <v>34</v>
      </c>
      <c r="D64" t="s">
        <v>35</v>
      </c>
      <c r="E64">
        <v>121</v>
      </c>
      <c r="F64">
        <v>116</v>
      </c>
      <c r="G64">
        <v>5</v>
      </c>
      <c r="H64">
        <v>95.9</v>
      </c>
      <c r="I64">
        <v>4.5</v>
      </c>
    </row>
    <row r="65" spans="1:9" x14ac:dyDescent="0.35">
      <c r="A65" s="1">
        <v>45376</v>
      </c>
      <c r="B65" t="s">
        <v>36</v>
      </c>
      <c r="C65" t="s">
        <v>37</v>
      </c>
      <c r="D65" t="s">
        <v>38</v>
      </c>
      <c r="E65">
        <v>185</v>
      </c>
      <c r="F65">
        <v>140</v>
      </c>
      <c r="G65">
        <v>45</v>
      </c>
      <c r="H65">
        <v>75.7</v>
      </c>
      <c r="I65">
        <v>1.3</v>
      </c>
    </row>
    <row r="66" spans="1:9" x14ac:dyDescent="0.35">
      <c r="A66" s="1">
        <v>45376</v>
      </c>
      <c r="B66" t="s">
        <v>39</v>
      </c>
      <c r="C66" t="s">
        <v>40</v>
      </c>
      <c r="D66" t="s">
        <v>14</v>
      </c>
      <c r="E66">
        <v>118</v>
      </c>
      <c r="F66">
        <v>101</v>
      </c>
      <c r="G66">
        <v>17</v>
      </c>
      <c r="H66">
        <v>85.6</v>
      </c>
      <c r="I66">
        <v>3.6</v>
      </c>
    </row>
    <row r="67" spans="1:9" x14ac:dyDescent="0.35">
      <c r="A67" s="1">
        <v>45383</v>
      </c>
      <c r="B67" t="s">
        <v>12</v>
      </c>
      <c r="C67" t="s">
        <v>13</v>
      </c>
      <c r="D67" t="s">
        <v>14</v>
      </c>
      <c r="E67">
        <v>136</v>
      </c>
      <c r="F67">
        <v>106</v>
      </c>
      <c r="G67">
        <v>30</v>
      </c>
      <c r="H67">
        <v>77.900000000000006</v>
      </c>
      <c r="I67">
        <v>3.7</v>
      </c>
    </row>
    <row r="68" spans="1:9" x14ac:dyDescent="0.35">
      <c r="A68" s="1">
        <v>45383</v>
      </c>
      <c r="B68" t="s">
        <v>30</v>
      </c>
      <c r="C68" t="s">
        <v>31</v>
      </c>
      <c r="D68" t="s">
        <v>32</v>
      </c>
      <c r="E68">
        <v>177</v>
      </c>
      <c r="F68">
        <v>156</v>
      </c>
      <c r="G68">
        <v>21</v>
      </c>
      <c r="H68">
        <v>88.1</v>
      </c>
      <c r="I68">
        <v>3.6</v>
      </c>
    </row>
    <row r="69" spans="1:9" x14ac:dyDescent="0.35">
      <c r="A69" s="1">
        <v>45383</v>
      </c>
      <c r="B69" t="s">
        <v>33</v>
      </c>
      <c r="C69" t="s">
        <v>34</v>
      </c>
      <c r="D69" t="s">
        <v>35</v>
      </c>
      <c r="E69">
        <v>184</v>
      </c>
      <c r="F69">
        <v>145</v>
      </c>
      <c r="G69">
        <v>39</v>
      </c>
      <c r="H69">
        <v>78.8</v>
      </c>
      <c r="I69">
        <v>0.6</v>
      </c>
    </row>
    <row r="70" spans="1:9" x14ac:dyDescent="0.35">
      <c r="A70" s="1">
        <v>45383</v>
      </c>
      <c r="B70" t="s">
        <v>36</v>
      </c>
      <c r="C70" t="s">
        <v>37</v>
      </c>
      <c r="D70" t="s">
        <v>38</v>
      </c>
      <c r="E70">
        <v>178</v>
      </c>
      <c r="F70">
        <v>162</v>
      </c>
      <c r="G70">
        <v>16</v>
      </c>
      <c r="H70">
        <v>91</v>
      </c>
      <c r="I70">
        <v>5.3</v>
      </c>
    </row>
    <row r="71" spans="1:9" x14ac:dyDescent="0.35">
      <c r="A71" s="1">
        <v>45383</v>
      </c>
      <c r="B71" t="s">
        <v>39</v>
      </c>
      <c r="C71" t="s">
        <v>40</v>
      </c>
      <c r="D71" t="s">
        <v>14</v>
      </c>
      <c r="E71">
        <v>169</v>
      </c>
      <c r="F71">
        <v>151</v>
      </c>
      <c r="G71">
        <v>18</v>
      </c>
      <c r="H71">
        <v>89.3</v>
      </c>
      <c r="I71">
        <v>2.2000000000000002</v>
      </c>
    </row>
    <row r="72" spans="1:9" x14ac:dyDescent="0.35">
      <c r="A72" s="1">
        <v>45390</v>
      </c>
      <c r="B72" t="s">
        <v>12</v>
      </c>
      <c r="C72" t="s">
        <v>13</v>
      </c>
      <c r="D72" t="s">
        <v>14</v>
      </c>
      <c r="E72">
        <v>189</v>
      </c>
      <c r="F72">
        <v>153</v>
      </c>
      <c r="G72">
        <v>36</v>
      </c>
      <c r="H72">
        <v>81</v>
      </c>
      <c r="I72">
        <v>4.7</v>
      </c>
    </row>
    <row r="73" spans="1:9" x14ac:dyDescent="0.35">
      <c r="A73" s="1">
        <v>45390</v>
      </c>
      <c r="B73" t="s">
        <v>30</v>
      </c>
      <c r="C73" t="s">
        <v>31</v>
      </c>
      <c r="D73" t="s">
        <v>32</v>
      </c>
      <c r="E73">
        <v>175</v>
      </c>
      <c r="F73">
        <v>164</v>
      </c>
      <c r="G73">
        <v>11</v>
      </c>
      <c r="H73">
        <v>93.7</v>
      </c>
      <c r="I73">
        <v>1.5</v>
      </c>
    </row>
    <row r="74" spans="1:9" x14ac:dyDescent="0.35">
      <c r="A74" s="1">
        <v>45390</v>
      </c>
      <c r="B74" t="s">
        <v>33</v>
      </c>
      <c r="C74" t="s">
        <v>34</v>
      </c>
      <c r="D74" t="s">
        <v>35</v>
      </c>
      <c r="E74">
        <v>139</v>
      </c>
      <c r="F74">
        <v>107</v>
      </c>
      <c r="G74">
        <v>32</v>
      </c>
      <c r="H74">
        <v>77</v>
      </c>
      <c r="I74">
        <v>2.5</v>
      </c>
    </row>
    <row r="75" spans="1:9" x14ac:dyDescent="0.35">
      <c r="A75" s="1">
        <v>45390</v>
      </c>
      <c r="B75" t="s">
        <v>36</v>
      </c>
      <c r="C75" t="s">
        <v>37</v>
      </c>
      <c r="D75" t="s">
        <v>38</v>
      </c>
      <c r="E75">
        <v>105</v>
      </c>
      <c r="F75">
        <v>93</v>
      </c>
      <c r="G75">
        <v>12</v>
      </c>
      <c r="H75">
        <v>88.6</v>
      </c>
      <c r="I75">
        <v>4.4000000000000004</v>
      </c>
    </row>
    <row r="76" spans="1:9" x14ac:dyDescent="0.35">
      <c r="A76" s="1">
        <v>45390</v>
      </c>
      <c r="B76" t="s">
        <v>39</v>
      </c>
      <c r="C76" t="s">
        <v>40</v>
      </c>
      <c r="D76" t="s">
        <v>14</v>
      </c>
      <c r="E76">
        <v>112</v>
      </c>
      <c r="F76">
        <v>97</v>
      </c>
      <c r="G76">
        <v>15</v>
      </c>
      <c r="H76">
        <v>86.6</v>
      </c>
      <c r="I76">
        <v>5.6</v>
      </c>
    </row>
    <row r="77" spans="1:9" x14ac:dyDescent="0.35">
      <c r="A77" s="1">
        <v>45397</v>
      </c>
      <c r="B77" t="s">
        <v>12</v>
      </c>
      <c r="C77" t="s">
        <v>13</v>
      </c>
      <c r="D77" t="s">
        <v>14</v>
      </c>
      <c r="E77">
        <v>97</v>
      </c>
      <c r="F77">
        <v>72</v>
      </c>
      <c r="G77">
        <v>25</v>
      </c>
      <c r="H77">
        <v>74.2</v>
      </c>
      <c r="I77">
        <v>2.8</v>
      </c>
    </row>
    <row r="78" spans="1:9" x14ac:dyDescent="0.35">
      <c r="A78" s="1">
        <v>45397</v>
      </c>
      <c r="B78" t="s">
        <v>30</v>
      </c>
      <c r="C78" t="s">
        <v>31</v>
      </c>
      <c r="D78" t="s">
        <v>32</v>
      </c>
      <c r="E78">
        <v>130</v>
      </c>
      <c r="F78">
        <v>119</v>
      </c>
      <c r="G78">
        <v>11</v>
      </c>
      <c r="H78">
        <v>91.5</v>
      </c>
      <c r="I78">
        <v>4.9000000000000004</v>
      </c>
    </row>
    <row r="79" spans="1:9" x14ac:dyDescent="0.35">
      <c r="A79" s="1">
        <v>45397</v>
      </c>
      <c r="B79" t="s">
        <v>33</v>
      </c>
      <c r="C79" t="s">
        <v>34</v>
      </c>
      <c r="D79" t="s">
        <v>35</v>
      </c>
      <c r="E79">
        <v>186</v>
      </c>
      <c r="F79">
        <v>158</v>
      </c>
      <c r="G79">
        <v>28</v>
      </c>
      <c r="H79">
        <v>84.9</v>
      </c>
      <c r="I79">
        <v>5.5</v>
      </c>
    </row>
    <row r="80" spans="1:9" x14ac:dyDescent="0.35">
      <c r="A80" s="1">
        <v>45397</v>
      </c>
      <c r="B80" t="s">
        <v>36</v>
      </c>
      <c r="C80" t="s">
        <v>37</v>
      </c>
      <c r="D80" t="s">
        <v>38</v>
      </c>
      <c r="E80">
        <v>145</v>
      </c>
      <c r="F80">
        <v>117</v>
      </c>
      <c r="G80">
        <v>28</v>
      </c>
      <c r="H80">
        <v>80.7</v>
      </c>
      <c r="I80">
        <v>3.6</v>
      </c>
    </row>
    <row r="81" spans="1:9" x14ac:dyDescent="0.35">
      <c r="A81" s="1">
        <v>45397</v>
      </c>
      <c r="B81" t="s">
        <v>39</v>
      </c>
      <c r="C81" t="s">
        <v>40</v>
      </c>
      <c r="D81" t="s">
        <v>14</v>
      </c>
      <c r="E81">
        <v>84</v>
      </c>
      <c r="F81">
        <v>80</v>
      </c>
      <c r="G81">
        <v>4</v>
      </c>
      <c r="H81">
        <v>95.2</v>
      </c>
      <c r="I81">
        <v>5.3</v>
      </c>
    </row>
    <row r="82" spans="1:9" x14ac:dyDescent="0.35">
      <c r="A82" s="1">
        <v>45404</v>
      </c>
      <c r="B82" t="s">
        <v>12</v>
      </c>
      <c r="C82" t="s">
        <v>13</v>
      </c>
      <c r="D82" t="s">
        <v>14</v>
      </c>
      <c r="E82">
        <v>121</v>
      </c>
      <c r="F82">
        <v>111</v>
      </c>
      <c r="G82">
        <v>10</v>
      </c>
      <c r="H82">
        <v>91.7</v>
      </c>
      <c r="I82">
        <v>3.2</v>
      </c>
    </row>
    <row r="83" spans="1:9" x14ac:dyDescent="0.35">
      <c r="A83" s="1">
        <v>45404</v>
      </c>
      <c r="B83" t="s">
        <v>30</v>
      </c>
      <c r="C83" t="s">
        <v>31</v>
      </c>
      <c r="D83" t="s">
        <v>32</v>
      </c>
      <c r="E83">
        <v>153</v>
      </c>
      <c r="F83">
        <v>122</v>
      </c>
      <c r="G83">
        <v>31</v>
      </c>
      <c r="H83">
        <v>79.7</v>
      </c>
      <c r="I83">
        <v>0.9</v>
      </c>
    </row>
    <row r="84" spans="1:9" x14ac:dyDescent="0.35">
      <c r="A84" s="1">
        <v>45404</v>
      </c>
      <c r="B84" t="s">
        <v>33</v>
      </c>
      <c r="C84" t="s">
        <v>34</v>
      </c>
      <c r="D84" t="s">
        <v>35</v>
      </c>
      <c r="E84">
        <v>89</v>
      </c>
      <c r="F84">
        <v>76</v>
      </c>
      <c r="G84">
        <v>13</v>
      </c>
      <c r="H84">
        <v>85.4</v>
      </c>
      <c r="I84">
        <v>5.9</v>
      </c>
    </row>
    <row r="85" spans="1:9" x14ac:dyDescent="0.35">
      <c r="A85" s="1">
        <v>45404</v>
      </c>
      <c r="B85" t="s">
        <v>36</v>
      </c>
      <c r="C85" t="s">
        <v>37</v>
      </c>
      <c r="D85" t="s">
        <v>38</v>
      </c>
      <c r="E85">
        <v>179</v>
      </c>
      <c r="F85">
        <v>133</v>
      </c>
      <c r="G85">
        <v>46</v>
      </c>
      <c r="H85">
        <v>74.3</v>
      </c>
      <c r="I85">
        <v>1.4</v>
      </c>
    </row>
    <row r="86" spans="1:9" x14ac:dyDescent="0.35">
      <c r="A86" s="1">
        <v>45404</v>
      </c>
      <c r="B86" t="s">
        <v>39</v>
      </c>
      <c r="C86" t="s">
        <v>40</v>
      </c>
      <c r="D86" t="s">
        <v>14</v>
      </c>
      <c r="E86">
        <v>145</v>
      </c>
      <c r="F86">
        <v>135</v>
      </c>
      <c r="G86">
        <v>10</v>
      </c>
      <c r="H86">
        <v>93.1</v>
      </c>
      <c r="I86">
        <v>1</v>
      </c>
    </row>
    <row r="87" spans="1:9" x14ac:dyDescent="0.35">
      <c r="A87" s="1">
        <v>45411</v>
      </c>
      <c r="B87" t="s">
        <v>12</v>
      </c>
      <c r="C87" t="s">
        <v>13</v>
      </c>
      <c r="D87" t="s">
        <v>14</v>
      </c>
      <c r="E87">
        <v>198</v>
      </c>
      <c r="F87">
        <v>165</v>
      </c>
      <c r="G87">
        <v>33</v>
      </c>
      <c r="H87">
        <v>83.3</v>
      </c>
      <c r="I87">
        <v>4.0999999999999996</v>
      </c>
    </row>
    <row r="88" spans="1:9" x14ac:dyDescent="0.35">
      <c r="A88" s="1">
        <v>45411</v>
      </c>
      <c r="B88" t="s">
        <v>30</v>
      </c>
      <c r="C88" t="s">
        <v>31</v>
      </c>
      <c r="D88" t="s">
        <v>32</v>
      </c>
      <c r="E88">
        <v>104</v>
      </c>
      <c r="F88">
        <v>94</v>
      </c>
      <c r="G88">
        <v>10</v>
      </c>
      <c r="H88">
        <v>90.4</v>
      </c>
      <c r="I88">
        <v>4.7</v>
      </c>
    </row>
    <row r="89" spans="1:9" x14ac:dyDescent="0.35">
      <c r="A89" s="1">
        <v>45411</v>
      </c>
      <c r="B89" t="s">
        <v>33</v>
      </c>
      <c r="C89" t="s">
        <v>34</v>
      </c>
      <c r="D89" t="s">
        <v>35</v>
      </c>
      <c r="E89">
        <v>135</v>
      </c>
      <c r="F89">
        <v>124</v>
      </c>
      <c r="G89">
        <v>11</v>
      </c>
      <c r="H89">
        <v>91.9</v>
      </c>
      <c r="I89">
        <v>3.1</v>
      </c>
    </row>
    <row r="90" spans="1:9" x14ac:dyDescent="0.35">
      <c r="A90" s="1">
        <v>45411</v>
      </c>
      <c r="B90" t="s">
        <v>36</v>
      </c>
      <c r="C90" t="s">
        <v>37</v>
      </c>
      <c r="D90" t="s">
        <v>38</v>
      </c>
      <c r="E90">
        <v>193</v>
      </c>
      <c r="F90">
        <v>181</v>
      </c>
      <c r="G90">
        <v>12</v>
      </c>
      <c r="H90">
        <v>93.8</v>
      </c>
      <c r="I90">
        <v>4.5999999999999996</v>
      </c>
    </row>
    <row r="91" spans="1:9" x14ac:dyDescent="0.35">
      <c r="A91" s="1">
        <v>45411</v>
      </c>
      <c r="B91" t="s">
        <v>39</v>
      </c>
      <c r="C91" t="s">
        <v>40</v>
      </c>
      <c r="D91" t="s">
        <v>14</v>
      </c>
      <c r="E91">
        <v>163</v>
      </c>
      <c r="F91">
        <v>130</v>
      </c>
      <c r="G91">
        <v>33</v>
      </c>
      <c r="H91">
        <v>79.8</v>
      </c>
      <c r="I91">
        <v>1.5</v>
      </c>
    </row>
    <row r="92" spans="1:9" x14ac:dyDescent="0.35">
      <c r="A92" s="1">
        <v>45418</v>
      </c>
      <c r="B92" t="s">
        <v>12</v>
      </c>
      <c r="C92" t="s">
        <v>13</v>
      </c>
      <c r="D92" t="s">
        <v>14</v>
      </c>
      <c r="E92">
        <v>153</v>
      </c>
      <c r="F92">
        <v>123</v>
      </c>
      <c r="G92">
        <v>30</v>
      </c>
      <c r="H92">
        <v>80.400000000000006</v>
      </c>
      <c r="I92">
        <v>3.4</v>
      </c>
    </row>
    <row r="93" spans="1:9" x14ac:dyDescent="0.35">
      <c r="A93" s="1">
        <v>45418</v>
      </c>
      <c r="B93" t="s">
        <v>30</v>
      </c>
      <c r="C93" t="s">
        <v>31</v>
      </c>
      <c r="D93" t="s">
        <v>32</v>
      </c>
      <c r="E93">
        <v>168</v>
      </c>
      <c r="F93">
        <v>152</v>
      </c>
      <c r="G93">
        <v>16</v>
      </c>
      <c r="H93">
        <v>90.5</v>
      </c>
      <c r="I93">
        <v>5.7</v>
      </c>
    </row>
    <row r="94" spans="1:9" x14ac:dyDescent="0.35">
      <c r="A94" s="1">
        <v>45418</v>
      </c>
      <c r="B94" t="s">
        <v>33</v>
      </c>
      <c r="C94" t="s">
        <v>34</v>
      </c>
      <c r="D94" t="s">
        <v>35</v>
      </c>
      <c r="E94">
        <v>193</v>
      </c>
      <c r="F94">
        <v>139</v>
      </c>
      <c r="G94">
        <v>54</v>
      </c>
      <c r="H94">
        <v>72</v>
      </c>
      <c r="I94">
        <v>3.7</v>
      </c>
    </row>
    <row r="95" spans="1:9" x14ac:dyDescent="0.35">
      <c r="A95" s="1">
        <v>45418</v>
      </c>
      <c r="B95" t="s">
        <v>36</v>
      </c>
      <c r="C95" t="s">
        <v>37</v>
      </c>
      <c r="D95" t="s">
        <v>38</v>
      </c>
      <c r="E95">
        <v>80</v>
      </c>
      <c r="F95">
        <v>70</v>
      </c>
      <c r="G95">
        <v>10</v>
      </c>
      <c r="H95">
        <v>87.5</v>
      </c>
      <c r="I95">
        <v>2.6</v>
      </c>
    </row>
    <row r="96" spans="1:9" x14ac:dyDescent="0.35">
      <c r="A96" s="1">
        <v>45418</v>
      </c>
      <c r="B96" t="s">
        <v>39</v>
      </c>
      <c r="C96" t="s">
        <v>40</v>
      </c>
      <c r="D96" t="s">
        <v>14</v>
      </c>
      <c r="E96">
        <v>81</v>
      </c>
      <c r="F96">
        <v>62</v>
      </c>
      <c r="G96">
        <v>19</v>
      </c>
      <c r="H96">
        <v>76.5</v>
      </c>
      <c r="I96">
        <v>2.8</v>
      </c>
    </row>
    <row r="97" spans="1:9" x14ac:dyDescent="0.35">
      <c r="A97" s="1">
        <v>45425</v>
      </c>
      <c r="B97" t="s">
        <v>12</v>
      </c>
      <c r="C97" t="s">
        <v>13</v>
      </c>
      <c r="D97" t="s">
        <v>14</v>
      </c>
      <c r="E97">
        <v>113</v>
      </c>
      <c r="F97">
        <v>105</v>
      </c>
      <c r="G97">
        <v>8</v>
      </c>
      <c r="H97">
        <v>92.9</v>
      </c>
      <c r="I97">
        <v>3.7</v>
      </c>
    </row>
    <row r="98" spans="1:9" x14ac:dyDescent="0.35">
      <c r="A98" s="1">
        <v>45425</v>
      </c>
      <c r="B98" t="s">
        <v>30</v>
      </c>
      <c r="C98" t="s">
        <v>31</v>
      </c>
      <c r="D98" t="s">
        <v>32</v>
      </c>
      <c r="E98">
        <v>178</v>
      </c>
      <c r="F98">
        <v>142</v>
      </c>
      <c r="G98">
        <v>36</v>
      </c>
      <c r="H98">
        <v>79.8</v>
      </c>
      <c r="I98">
        <v>3</v>
      </c>
    </row>
    <row r="99" spans="1:9" x14ac:dyDescent="0.35">
      <c r="A99" s="1">
        <v>45425</v>
      </c>
      <c r="B99" t="s">
        <v>33</v>
      </c>
      <c r="C99" t="s">
        <v>34</v>
      </c>
      <c r="D99" t="s">
        <v>35</v>
      </c>
      <c r="E99">
        <v>165</v>
      </c>
      <c r="F99">
        <v>127</v>
      </c>
      <c r="G99">
        <v>38</v>
      </c>
      <c r="H99">
        <v>77</v>
      </c>
      <c r="I99">
        <v>5</v>
      </c>
    </row>
    <row r="100" spans="1:9" x14ac:dyDescent="0.35">
      <c r="A100" s="1">
        <v>45425</v>
      </c>
      <c r="B100" t="s">
        <v>36</v>
      </c>
      <c r="C100" t="s">
        <v>37</v>
      </c>
      <c r="D100" t="s">
        <v>38</v>
      </c>
      <c r="E100">
        <v>198</v>
      </c>
      <c r="F100">
        <v>160</v>
      </c>
      <c r="G100">
        <v>38</v>
      </c>
      <c r="H100">
        <v>80.8</v>
      </c>
      <c r="I100">
        <v>5.3</v>
      </c>
    </row>
    <row r="101" spans="1:9" x14ac:dyDescent="0.35">
      <c r="A101" s="1">
        <v>45425</v>
      </c>
      <c r="B101" t="s">
        <v>39</v>
      </c>
      <c r="C101" t="s">
        <v>40</v>
      </c>
      <c r="D101" t="s">
        <v>14</v>
      </c>
      <c r="E101">
        <v>191</v>
      </c>
      <c r="F101">
        <v>165</v>
      </c>
      <c r="G101">
        <v>26</v>
      </c>
      <c r="H101">
        <v>86.4</v>
      </c>
      <c r="I101">
        <v>1.5</v>
      </c>
    </row>
    <row r="102" spans="1:9" x14ac:dyDescent="0.35">
      <c r="A102" s="1">
        <v>45432</v>
      </c>
      <c r="B102" t="s">
        <v>12</v>
      </c>
      <c r="C102" t="s">
        <v>13</v>
      </c>
      <c r="D102" t="s">
        <v>14</v>
      </c>
      <c r="E102">
        <v>98</v>
      </c>
      <c r="F102">
        <v>75</v>
      </c>
      <c r="G102">
        <v>23</v>
      </c>
      <c r="H102">
        <v>76.5</v>
      </c>
      <c r="I102">
        <v>1.5</v>
      </c>
    </row>
    <row r="103" spans="1:9" x14ac:dyDescent="0.35">
      <c r="A103" s="1">
        <v>45432</v>
      </c>
      <c r="B103" t="s">
        <v>30</v>
      </c>
      <c r="C103" t="s">
        <v>31</v>
      </c>
      <c r="D103" t="s">
        <v>32</v>
      </c>
      <c r="E103">
        <v>83</v>
      </c>
      <c r="F103">
        <v>70</v>
      </c>
      <c r="G103">
        <v>13</v>
      </c>
      <c r="H103">
        <v>84.3</v>
      </c>
      <c r="I103">
        <v>5.7</v>
      </c>
    </row>
    <row r="104" spans="1:9" x14ac:dyDescent="0.35">
      <c r="A104" s="1">
        <v>45432</v>
      </c>
      <c r="B104" t="s">
        <v>33</v>
      </c>
      <c r="C104" t="s">
        <v>34</v>
      </c>
      <c r="D104" t="s">
        <v>35</v>
      </c>
      <c r="E104">
        <v>85</v>
      </c>
      <c r="F104">
        <v>77</v>
      </c>
      <c r="G104">
        <v>8</v>
      </c>
      <c r="H104">
        <v>90.6</v>
      </c>
      <c r="I104">
        <v>3.5</v>
      </c>
    </row>
    <row r="105" spans="1:9" x14ac:dyDescent="0.35">
      <c r="A105" s="1">
        <v>45432</v>
      </c>
      <c r="B105" t="s">
        <v>36</v>
      </c>
      <c r="C105" t="s">
        <v>37</v>
      </c>
      <c r="D105" t="s">
        <v>38</v>
      </c>
      <c r="E105">
        <v>88</v>
      </c>
      <c r="F105">
        <v>70</v>
      </c>
      <c r="G105">
        <v>18</v>
      </c>
      <c r="H105">
        <v>79.5</v>
      </c>
      <c r="I105">
        <v>2.2000000000000002</v>
      </c>
    </row>
    <row r="106" spans="1:9" x14ac:dyDescent="0.35">
      <c r="A106" s="1">
        <v>45432</v>
      </c>
      <c r="B106" t="s">
        <v>39</v>
      </c>
      <c r="C106" t="s">
        <v>40</v>
      </c>
      <c r="D106" t="s">
        <v>14</v>
      </c>
      <c r="E106">
        <v>109</v>
      </c>
      <c r="F106">
        <v>96</v>
      </c>
      <c r="G106">
        <v>13</v>
      </c>
      <c r="H106">
        <v>88.1</v>
      </c>
      <c r="I106">
        <v>1.6</v>
      </c>
    </row>
    <row r="107" spans="1:9" x14ac:dyDescent="0.35">
      <c r="A107" s="1">
        <v>45439</v>
      </c>
      <c r="B107" t="s">
        <v>12</v>
      </c>
      <c r="C107" t="s">
        <v>13</v>
      </c>
      <c r="D107" t="s">
        <v>14</v>
      </c>
      <c r="E107">
        <v>100</v>
      </c>
      <c r="F107">
        <v>82</v>
      </c>
      <c r="G107">
        <v>18</v>
      </c>
      <c r="H107">
        <v>82</v>
      </c>
      <c r="I107">
        <v>2</v>
      </c>
    </row>
    <row r="108" spans="1:9" x14ac:dyDescent="0.35">
      <c r="A108" s="1">
        <v>45439</v>
      </c>
      <c r="B108" t="s">
        <v>30</v>
      </c>
      <c r="C108" t="s">
        <v>31</v>
      </c>
      <c r="D108" t="s">
        <v>32</v>
      </c>
      <c r="E108">
        <v>199</v>
      </c>
      <c r="F108">
        <v>189</v>
      </c>
      <c r="G108">
        <v>10</v>
      </c>
      <c r="H108">
        <v>95</v>
      </c>
      <c r="I108">
        <v>4.7</v>
      </c>
    </row>
    <row r="109" spans="1:9" x14ac:dyDescent="0.35">
      <c r="A109" s="1">
        <v>45439</v>
      </c>
      <c r="B109" t="s">
        <v>33</v>
      </c>
      <c r="C109" t="s">
        <v>34</v>
      </c>
      <c r="D109" t="s">
        <v>35</v>
      </c>
      <c r="E109">
        <v>83</v>
      </c>
      <c r="F109">
        <v>62</v>
      </c>
      <c r="G109">
        <v>21</v>
      </c>
      <c r="H109">
        <v>74.7</v>
      </c>
      <c r="I109">
        <v>5.4</v>
      </c>
    </row>
    <row r="110" spans="1:9" x14ac:dyDescent="0.35">
      <c r="A110" s="1">
        <v>45439</v>
      </c>
      <c r="B110" t="s">
        <v>36</v>
      </c>
      <c r="C110" t="s">
        <v>37</v>
      </c>
      <c r="D110" t="s">
        <v>38</v>
      </c>
      <c r="E110">
        <v>136</v>
      </c>
      <c r="F110">
        <v>102</v>
      </c>
      <c r="G110">
        <v>34</v>
      </c>
      <c r="H110">
        <v>75</v>
      </c>
      <c r="I110">
        <v>5.7</v>
      </c>
    </row>
    <row r="111" spans="1:9" x14ac:dyDescent="0.35">
      <c r="A111" s="1">
        <v>45439</v>
      </c>
      <c r="B111" t="s">
        <v>39</v>
      </c>
      <c r="C111" t="s">
        <v>40</v>
      </c>
      <c r="D111" t="s">
        <v>14</v>
      </c>
      <c r="E111">
        <v>83</v>
      </c>
      <c r="F111">
        <v>68</v>
      </c>
      <c r="G111">
        <v>15</v>
      </c>
      <c r="H111">
        <v>81.900000000000006</v>
      </c>
      <c r="I111">
        <v>4.5999999999999996</v>
      </c>
    </row>
    <row r="112" spans="1:9" x14ac:dyDescent="0.35">
      <c r="A112" s="1">
        <v>45446</v>
      </c>
      <c r="B112" t="s">
        <v>12</v>
      </c>
      <c r="C112" t="s">
        <v>13</v>
      </c>
      <c r="D112" t="s">
        <v>14</v>
      </c>
      <c r="E112">
        <v>174</v>
      </c>
      <c r="F112">
        <v>134</v>
      </c>
      <c r="G112">
        <v>40</v>
      </c>
      <c r="H112">
        <v>77</v>
      </c>
      <c r="I112">
        <v>0.8</v>
      </c>
    </row>
    <row r="113" spans="1:9" x14ac:dyDescent="0.35">
      <c r="A113" s="1">
        <v>45446</v>
      </c>
      <c r="B113" t="s">
        <v>30</v>
      </c>
      <c r="C113" t="s">
        <v>31</v>
      </c>
      <c r="D113" t="s">
        <v>32</v>
      </c>
      <c r="E113">
        <v>136</v>
      </c>
      <c r="F113">
        <v>111</v>
      </c>
      <c r="G113">
        <v>25</v>
      </c>
      <c r="H113">
        <v>81.599999999999994</v>
      </c>
      <c r="I113">
        <v>1.6</v>
      </c>
    </row>
    <row r="114" spans="1:9" x14ac:dyDescent="0.35">
      <c r="A114" s="1">
        <v>45446</v>
      </c>
      <c r="B114" t="s">
        <v>33</v>
      </c>
      <c r="C114" t="s">
        <v>34</v>
      </c>
      <c r="D114" t="s">
        <v>35</v>
      </c>
      <c r="E114">
        <v>128</v>
      </c>
      <c r="F114">
        <v>111</v>
      </c>
      <c r="G114">
        <v>17</v>
      </c>
      <c r="H114">
        <v>86.7</v>
      </c>
      <c r="I114">
        <v>1.2</v>
      </c>
    </row>
    <row r="115" spans="1:9" x14ac:dyDescent="0.35">
      <c r="A115" s="1">
        <v>45446</v>
      </c>
      <c r="B115" t="s">
        <v>36</v>
      </c>
      <c r="C115" t="s">
        <v>37</v>
      </c>
      <c r="D115" t="s">
        <v>38</v>
      </c>
      <c r="E115">
        <v>102</v>
      </c>
      <c r="F115">
        <v>86</v>
      </c>
      <c r="G115">
        <v>16</v>
      </c>
      <c r="H115">
        <v>84.3</v>
      </c>
      <c r="I115">
        <v>3.7</v>
      </c>
    </row>
    <row r="116" spans="1:9" x14ac:dyDescent="0.35">
      <c r="A116" s="1">
        <v>45446</v>
      </c>
      <c r="B116" t="s">
        <v>39</v>
      </c>
      <c r="C116" t="s">
        <v>40</v>
      </c>
      <c r="D116" t="s">
        <v>14</v>
      </c>
      <c r="E116">
        <v>146</v>
      </c>
      <c r="F116">
        <v>109</v>
      </c>
      <c r="G116">
        <v>37</v>
      </c>
      <c r="H116">
        <v>74.7</v>
      </c>
      <c r="I116">
        <v>4.7</v>
      </c>
    </row>
    <row r="117" spans="1:9" x14ac:dyDescent="0.35">
      <c r="A117" s="1">
        <v>45453</v>
      </c>
      <c r="B117" t="s">
        <v>12</v>
      </c>
      <c r="C117" t="s">
        <v>13</v>
      </c>
      <c r="D117" t="s">
        <v>14</v>
      </c>
      <c r="E117">
        <v>95</v>
      </c>
      <c r="F117">
        <v>90</v>
      </c>
      <c r="G117">
        <v>5</v>
      </c>
      <c r="H117">
        <v>94.7</v>
      </c>
      <c r="I117">
        <v>4.5999999999999996</v>
      </c>
    </row>
    <row r="118" spans="1:9" x14ac:dyDescent="0.35">
      <c r="A118" s="1">
        <v>45453</v>
      </c>
      <c r="B118" t="s">
        <v>30</v>
      </c>
      <c r="C118" t="s">
        <v>31</v>
      </c>
      <c r="D118" t="s">
        <v>32</v>
      </c>
      <c r="E118">
        <v>125</v>
      </c>
      <c r="F118">
        <v>113</v>
      </c>
      <c r="G118">
        <v>12</v>
      </c>
      <c r="H118">
        <v>90.4</v>
      </c>
      <c r="I118">
        <v>2.2000000000000002</v>
      </c>
    </row>
    <row r="119" spans="1:9" x14ac:dyDescent="0.35">
      <c r="A119" s="1">
        <v>45453</v>
      </c>
      <c r="B119" t="s">
        <v>33</v>
      </c>
      <c r="C119" t="s">
        <v>34</v>
      </c>
      <c r="D119" t="s">
        <v>35</v>
      </c>
      <c r="E119">
        <v>104</v>
      </c>
      <c r="F119">
        <v>80</v>
      </c>
      <c r="G119">
        <v>24</v>
      </c>
      <c r="H119">
        <v>76.900000000000006</v>
      </c>
      <c r="I119">
        <v>1</v>
      </c>
    </row>
    <row r="120" spans="1:9" x14ac:dyDescent="0.35">
      <c r="A120" s="1">
        <v>45453</v>
      </c>
      <c r="B120" t="s">
        <v>36</v>
      </c>
      <c r="C120" t="s">
        <v>37</v>
      </c>
      <c r="D120" t="s">
        <v>38</v>
      </c>
      <c r="E120">
        <v>144</v>
      </c>
      <c r="F120">
        <v>116</v>
      </c>
      <c r="G120">
        <v>28</v>
      </c>
      <c r="H120">
        <v>80.599999999999994</v>
      </c>
      <c r="I120">
        <v>1.9</v>
      </c>
    </row>
    <row r="121" spans="1:9" x14ac:dyDescent="0.35">
      <c r="A121" s="1">
        <v>45453</v>
      </c>
      <c r="B121" t="s">
        <v>39</v>
      </c>
      <c r="C121" t="s">
        <v>40</v>
      </c>
      <c r="D121" t="s">
        <v>14</v>
      </c>
      <c r="E121">
        <v>94</v>
      </c>
      <c r="F121">
        <v>89</v>
      </c>
      <c r="G121">
        <v>5</v>
      </c>
      <c r="H121">
        <v>94.7</v>
      </c>
      <c r="I121">
        <v>0.6</v>
      </c>
    </row>
    <row r="122" spans="1:9" x14ac:dyDescent="0.35">
      <c r="A122" s="1">
        <v>45460</v>
      </c>
      <c r="B122" t="s">
        <v>12</v>
      </c>
      <c r="C122" t="s">
        <v>13</v>
      </c>
      <c r="D122" t="s">
        <v>14</v>
      </c>
      <c r="E122">
        <v>128</v>
      </c>
      <c r="F122">
        <v>117</v>
      </c>
      <c r="G122">
        <v>11</v>
      </c>
      <c r="H122">
        <v>91.4</v>
      </c>
      <c r="I122">
        <v>2.7</v>
      </c>
    </row>
    <row r="123" spans="1:9" x14ac:dyDescent="0.35">
      <c r="A123" s="1">
        <v>45460</v>
      </c>
      <c r="B123" t="s">
        <v>30</v>
      </c>
      <c r="C123" t="s">
        <v>31</v>
      </c>
      <c r="D123" t="s">
        <v>32</v>
      </c>
      <c r="E123">
        <v>189</v>
      </c>
      <c r="F123">
        <v>140</v>
      </c>
      <c r="G123">
        <v>49</v>
      </c>
      <c r="H123">
        <v>74.099999999999994</v>
      </c>
      <c r="I123">
        <v>2.5</v>
      </c>
    </row>
    <row r="124" spans="1:9" x14ac:dyDescent="0.35">
      <c r="A124" s="1">
        <v>45460</v>
      </c>
      <c r="B124" t="s">
        <v>33</v>
      </c>
      <c r="C124" t="s">
        <v>34</v>
      </c>
      <c r="D124" t="s">
        <v>35</v>
      </c>
      <c r="E124">
        <v>119</v>
      </c>
      <c r="F124">
        <v>110</v>
      </c>
      <c r="G124">
        <v>9</v>
      </c>
      <c r="H124">
        <v>92.4</v>
      </c>
      <c r="I124">
        <v>2.9</v>
      </c>
    </row>
    <row r="125" spans="1:9" x14ac:dyDescent="0.35">
      <c r="A125" s="1">
        <v>45460</v>
      </c>
      <c r="B125" t="s">
        <v>36</v>
      </c>
      <c r="C125" t="s">
        <v>37</v>
      </c>
      <c r="D125" t="s">
        <v>38</v>
      </c>
      <c r="E125">
        <v>188</v>
      </c>
      <c r="F125">
        <v>166</v>
      </c>
      <c r="G125">
        <v>22</v>
      </c>
      <c r="H125">
        <v>88.3</v>
      </c>
      <c r="I125">
        <v>1.8</v>
      </c>
    </row>
    <row r="126" spans="1:9" x14ac:dyDescent="0.35">
      <c r="A126" s="1">
        <v>45460</v>
      </c>
      <c r="B126" t="s">
        <v>39</v>
      </c>
      <c r="C126" t="s">
        <v>40</v>
      </c>
      <c r="D126" t="s">
        <v>14</v>
      </c>
      <c r="E126">
        <v>169</v>
      </c>
      <c r="F126">
        <v>125</v>
      </c>
      <c r="G126">
        <v>44</v>
      </c>
      <c r="H126">
        <v>74</v>
      </c>
      <c r="I126">
        <v>4</v>
      </c>
    </row>
    <row r="127" spans="1:9" x14ac:dyDescent="0.35">
      <c r="A127" s="1">
        <v>45467</v>
      </c>
      <c r="B127" t="s">
        <v>12</v>
      </c>
      <c r="C127" t="s">
        <v>13</v>
      </c>
      <c r="D127" t="s">
        <v>14</v>
      </c>
      <c r="E127">
        <v>129</v>
      </c>
      <c r="F127">
        <v>121</v>
      </c>
      <c r="G127">
        <v>8</v>
      </c>
      <c r="H127">
        <v>93.8</v>
      </c>
      <c r="I127">
        <v>0.6</v>
      </c>
    </row>
    <row r="128" spans="1:9" x14ac:dyDescent="0.35">
      <c r="A128" s="1">
        <v>45467</v>
      </c>
      <c r="B128" t="s">
        <v>30</v>
      </c>
      <c r="C128" t="s">
        <v>31</v>
      </c>
      <c r="D128" t="s">
        <v>32</v>
      </c>
      <c r="E128">
        <v>115</v>
      </c>
      <c r="F128">
        <v>103</v>
      </c>
      <c r="G128">
        <v>12</v>
      </c>
      <c r="H128">
        <v>89.6</v>
      </c>
      <c r="I128">
        <v>5.4</v>
      </c>
    </row>
    <row r="129" spans="1:9" x14ac:dyDescent="0.35">
      <c r="A129" s="1">
        <v>45467</v>
      </c>
      <c r="B129" t="s">
        <v>33</v>
      </c>
      <c r="C129" t="s">
        <v>34</v>
      </c>
      <c r="D129" t="s">
        <v>35</v>
      </c>
      <c r="E129">
        <v>85</v>
      </c>
      <c r="F129">
        <v>64</v>
      </c>
      <c r="G129">
        <v>21</v>
      </c>
      <c r="H129">
        <v>75.3</v>
      </c>
      <c r="I129">
        <v>1.9</v>
      </c>
    </row>
    <row r="130" spans="1:9" x14ac:dyDescent="0.35">
      <c r="A130" s="1">
        <v>45467</v>
      </c>
      <c r="B130" t="s">
        <v>36</v>
      </c>
      <c r="C130" t="s">
        <v>37</v>
      </c>
      <c r="D130" t="s">
        <v>38</v>
      </c>
      <c r="E130">
        <v>152</v>
      </c>
      <c r="F130">
        <v>109</v>
      </c>
      <c r="G130">
        <v>43</v>
      </c>
      <c r="H130">
        <v>71.7</v>
      </c>
      <c r="I130">
        <v>3.4</v>
      </c>
    </row>
    <row r="131" spans="1:9" x14ac:dyDescent="0.35">
      <c r="A131" s="1">
        <v>45467</v>
      </c>
      <c r="B131" t="s">
        <v>39</v>
      </c>
      <c r="C131" t="s">
        <v>40</v>
      </c>
      <c r="D131" t="s">
        <v>14</v>
      </c>
      <c r="E131">
        <v>97</v>
      </c>
      <c r="F131">
        <v>86</v>
      </c>
      <c r="G131">
        <v>11</v>
      </c>
      <c r="H131">
        <v>88.7</v>
      </c>
      <c r="I131">
        <v>4.7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5AEF3-55E6-4260-86D7-F66055419D2F}">
  <dimension ref="A1:J781"/>
  <sheetViews>
    <sheetView workbookViewId="0"/>
  </sheetViews>
  <sheetFormatPr defaultRowHeight="14.5" x14ac:dyDescent="0.35"/>
  <cols>
    <col min="1" max="1" width="9.08984375" bestFit="1" customWidth="1"/>
    <col min="2" max="2" width="14.36328125" bestFit="1" customWidth="1"/>
    <col min="3" max="3" width="18.1796875" bestFit="1" customWidth="1"/>
    <col min="4" max="4" width="12.08984375" bestFit="1" customWidth="1"/>
    <col min="5" max="5" width="15.26953125" bestFit="1" customWidth="1"/>
    <col min="6" max="6" width="10.1796875" bestFit="1" customWidth="1"/>
    <col min="7" max="7" width="16.1796875" bestFit="1" customWidth="1"/>
    <col min="8" max="8" width="19.90625" bestFit="1" customWidth="1"/>
    <col min="9" max="9" width="18.26953125" bestFit="1" customWidth="1"/>
    <col min="10" max="10" width="12.36328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51</v>
      </c>
      <c r="H1" t="s">
        <v>52</v>
      </c>
      <c r="I1" t="s">
        <v>53</v>
      </c>
      <c r="J1" t="s">
        <v>54</v>
      </c>
    </row>
    <row r="2" spans="1:10" x14ac:dyDescent="0.35">
      <c r="A2" s="1">
        <v>45292</v>
      </c>
      <c r="B2" t="s">
        <v>12</v>
      </c>
      <c r="C2" t="s">
        <v>13</v>
      </c>
      <c r="D2" t="s">
        <v>15</v>
      </c>
      <c r="E2" t="s">
        <v>16</v>
      </c>
      <c r="F2" t="s">
        <v>17</v>
      </c>
      <c r="G2">
        <v>1028</v>
      </c>
      <c r="H2">
        <v>1265</v>
      </c>
      <c r="I2">
        <v>23.1</v>
      </c>
      <c r="J2" t="s">
        <v>55</v>
      </c>
    </row>
    <row r="3" spans="1:10" x14ac:dyDescent="0.35">
      <c r="A3" s="1">
        <v>45292</v>
      </c>
      <c r="B3" t="s">
        <v>12</v>
      </c>
      <c r="C3" t="s">
        <v>13</v>
      </c>
      <c r="D3" t="s">
        <v>18</v>
      </c>
      <c r="E3" t="s">
        <v>19</v>
      </c>
      <c r="F3" t="s">
        <v>20</v>
      </c>
      <c r="G3">
        <v>1422</v>
      </c>
      <c r="H3">
        <v>1031</v>
      </c>
      <c r="I3">
        <v>27.5</v>
      </c>
      <c r="J3" t="s">
        <v>56</v>
      </c>
    </row>
    <row r="4" spans="1:10" x14ac:dyDescent="0.35">
      <c r="A4" s="1">
        <v>45292</v>
      </c>
      <c r="B4" t="s">
        <v>12</v>
      </c>
      <c r="C4" t="s">
        <v>13</v>
      </c>
      <c r="D4" t="s">
        <v>21</v>
      </c>
      <c r="E4" t="s">
        <v>22</v>
      </c>
      <c r="F4" t="s">
        <v>23</v>
      </c>
      <c r="G4">
        <v>1240</v>
      </c>
      <c r="H4">
        <v>1470</v>
      </c>
      <c r="I4">
        <v>18.5</v>
      </c>
      <c r="J4" t="s">
        <v>55</v>
      </c>
    </row>
    <row r="5" spans="1:10" x14ac:dyDescent="0.35">
      <c r="A5" s="1">
        <v>45292</v>
      </c>
      <c r="B5" t="s">
        <v>12</v>
      </c>
      <c r="C5" t="s">
        <v>13</v>
      </c>
      <c r="D5" t="s">
        <v>24</v>
      </c>
      <c r="E5" t="s">
        <v>25</v>
      </c>
      <c r="F5" t="s">
        <v>17</v>
      </c>
      <c r="G5">
        <v>1272</v>
      </c>
      <c r="H5">
        <v>1573</v>
      </c>
      <c r="I5">
        <v>23.7</v>
      </c>
      <c r="J5" t="s">
        <v>55</v>
      </c>
    </row>
    <row r="6" spans="1:10" x14ac:dyDescent="0.35">
      <c r="A6" s="1">
        <v>45292</v>
      </c>
      <c r="B6" t="s">
        <v>12</v>
      </c>
      <c r="C6" t="s">
        <v>13</v>
      </c>
      <c r="D6" t="s">
        <v>26</v>
      </c>
      <c r="E6" t="s">
        <v>27</v>
      </c>
      <c r="F6" t="s">
        <v>20</v>
      </c>
      <c r="G6">
        <v>632</v>
      </c>
      <c r="H6">
        <v>405</v>
      </c>
      <c r="I6">
        <v>35.9</v>
      </c>
      <c r="J6" t="s">
        <v>56</v>
      </c>
    </row>
    <row r="7" spans="1:10" x14ac:dyDescent="0.35">
      <c r="A7" s="1">
        <v>45292</v>
      </c>
      <c r="B7" t="s">
        <v>12</v>
      </c>
      <c r="C7" t="s">
        <v>13</v>
      </c>
      <c r="D7" t="s">
        <v>28</v>
      </c>
      <c r="E7" t="s">
        <v>29</v>
      </c>
      <c r="F7" t="s">
        <v>23</v>
      </c>
      <c r="G7">
        <v>1164</v>
      </c>
      <c r="H7">
        <v>1318</v>
      </c>
      <c r="I7">
        <v>13.2</v>
      </c>
      <c r="J7" t="s">
        <v>55</v>
      </c>
    </row>
    <row r="8" spans="1:10" x14ac:dyDescent="0.35">
      <c r="A8" s="1">
        <v>45292</v>
      </c>
      <c r="B8" t="s">
        <v>30</v>
      </c>
      <c r="C8" t="s">
        <v>31</v>
      </c>
      <c r="D8" t="s">
        <v>15</v>
      </c>
      <c r="E8" t="s">
        <v>16</v>
      </c>
      <c r="F8" t="s">
        <v>17</v>
      </c>
      <c r="G8">
        <v>1511</v>
      </c>
      <c r="H8">
        <v>1192</v>
      </c>
      <c r="I8">
        <v>21.1</v>
      </c>
      <c r="J8" t="s">
        <v>56</v>
      </c>
    </row>
    <row r="9" spans="1:10" x14ac:dyDescent="0.35">
      <c r="A9" s="1">
        <v>45292</v>
      </c>
      <c r="B9" t="s">
        <v>30</v>
      </c>
      <c r="C9" t="s">
        <v>31</v>
      </c>
      <c r="D9" t="s">
        <v>18</v>
      </c>
      <c r="E9" t="s">
        <v>19</v>
      </c>
      <c r="F9" t="s">
        <v>20</v>
      </c>
      <c r="G9">
        <v>1295</v>
      </c>
      <c r="H9">
        <v>1644</v>
      </c>
      <c r="I9">
        <v>26.9</v>
      </c>
      <c r="J9" t="s">
        <v>55</v>
      </c>
    </row>
    <row r="10" spans="1:10" x14ac:dyDescent="0.35">
      <c r="A10" s="1">
        <v>45292</v>
      </c>
      <c r="B10" t="s">
        <v>30</v>
      </c>
      <c r="C10" t="s">
        <v>31</v>
      </c>
      <c r="D10" t="s">
        <v>21</v>
      </c>
      <c r="E10" t="s">
        <v>22</v>
      </c>
      <c r="F10" t="s">
        <v>23</v>
      </c>
      <c r="G10">
        <v>603</v>
      </c>
      <c r="H10">
        <v>831</v>
      </c>
      <c r="I10">
        <v>37.799999999999997</v>
      </c>
      <c r="J10" t="s">
        <v>55</v>
      </c>
    </row>
    <row r="11" spans="1:10" x14ac:dyDescent="0.35">
      <c r="A11" s="1">
        <v>45292</v>
      </c>
      <c r="B11" t="s">
        <v>30</v>
      </c>
      <c r="C11" t="s">
        <v>31</v>
      </c>
      <c r="D11" t="s">
        <v>24</v>
      </c>
      <c r="E11" t="s">
        <v>25</v>
      </c>
      <c r="F11" t="s">
        <v>17</v>
      </c>
      <c r="G11">
        <v>612</v>
      </c>
      <c r="H11">
        <v>546</v>
      </c>
      <c r="I11">
        <v>10.8</v>
      </c>
      <c r="J11" t="s">
        <v>56</v>
      </c>
    </row>
    <row r="12" spans="1:10" x14ac:dyDescent="0.35">
      <c r="A12" s="1">
        <v>45292</v>
      </c>
      <c r="B12" t="s">
        <v>30</v>
      </c>
      <c r="C12" t="s">
        <v>31</v>
      </c>
      <c r="D12" t="s">
        <v>26</v>
      </c>
      <c r="E12" t="s">
        <v>27</v>
      </c>
      <c r="F12" t="s">
        <v>20</v>
      </c>
      <c r="G12">
        <v>1242</v>
      </c>
      <c r="H12">
        <v>1379</v>
      </c>
      <c r="I12">
        <v>11</v>
      </c>
      <c r="J12" t="s">
        <v>55</v>
      </c>
    </row>
    <row r="13" spans="1:10" x14ac:dyDescent="0.35">
      <c r="A13" s="1">
        <v>45292</v>
      </c>
      <c r="B13" t="s">
        <v>30</v>
      </c>
      <c r="C13" t="s">
        <v>31</v>
      </c>
      <c r="D13" t="s">
        <v>28</v>
      </c>
      <c r="E13" t="s">
        <v>29</v>
      </c>
      <c r="F13" t="s">
        <v>23</v>
      </c>
      <c r="G13">
        <v>1515</v>
      </c>
      <c r="H13">
        <v>1348</v>
      </c>
      <c r="I13">
        <v>11</v>
      </c>
      <c r="J13" t="s">
        <v>56</v>
      </c>
    </row>
    <row r="14" spans="1:10" x14ac:dyDescent="0.35">
      <c r="A14" s="1">
        <v>45292</v>
      </c>
      <c r="B14" t="s">
        <v>33</v>
      </c>
      <c r="C14" t="s">
        <v>34</v>
      </c>
      <c r="D14" t="s">
        <v>15</v>
      </c>
      <c r="E14" t="s">
        <v>16</v>
      </c>
      <c r="F14" t="s">
        <v>17</v>
      </c>
      <c r="G14">
        <v>1590</v>
      </c>
      <c r="H14">
        <v>2101</v>
      </c>
      <c r="I14">
        <v>32.1</v>
      </c>
      <c r="J14" t="s">
        <v>55</v>
      </c>
    </row>
    <row r="15" spans="1:10" x14ac:dyDescent="0.35">
      <c r="A15" s="1">
        <v>45292</v>
      </c>
      <c r="B15" t="s">
        <v>33</v>
      </c>
      <c r="C15" t="s">
        <v>34</v>
      </c>
      <c r="D15" t="s">
        <v>18</v>
      </c>
      <c r="E15" t="s">
        <v>19</v>
      </c>
      <c r="F15" t="s">
        <v>20</v>
      </c>
      <c r="G15">
        <v>1261</v>
      </c>
      <c r="H15">
        <v>1442</v>
      </c>
      <c r="I15">
        <v>14.4</v>
      </c>
      <c r="J15" t="s">
        <v>55</v>
      </c>
    </row>
    <row r="16" spans="1:10" x14ac:dyDescent="0.35">
      <c r="A16" s="1">
        <v>45292</v>
      </c>
      <c r="B16" t="s">
        <v>33</v>
      </c>
      <c r="C16" t="s">
        <v>34</v>
      </c>
      <c r="D16" t="s">
        <v>21</v>
      </c>
      <c r="E16" t="s">
        <v>22</v>
      </c>
      <c r="F16" t="s">
        <v>23</v>
      </c>
      <c r="G16">
        <v>1529</v>
      </c>
      <c r="H16">
        <v>1231</v>
      </c>
      <c r="I16">
        <v>19.5</v>
      </c>
      <c r="J16" t="s">
        <v>56</v>
      </c>
    </row>
    <row r="17" spans="1:10" x14ac:dyDescent="0.35">
      <c r="A17" s="1">
        <v>45292</v>
      </c>
      <c r="B17" t="s">
        <v>33</v>
      </c>
      <c r="C17" t="s">
        <v>34</v>
      </c>
      <c r="D17" t="s">
        <v>24</v>
      </c>
      <c r="E17" t="s">
        <v>25</v>
      </c>
      <c r="F17" t="s">
        <v>17</v>
      </c>
      <c r="G17">
        <v>1361</v>
      </c>
      <c r="H17">
        <v>864</v>
      </c>
      <c r="I17">
        <v>36.5</v>
      </c>
      <c r="J17" t="s">
        <v>56</v>
      </c>
    </row>
    <row r="18" spans="1:10" x14ac:dyDescent="0.35">
      <c r="A18" s="1">
        <v>45292</v>
      </c>
      <c r="B18" t="s">
        <v>33</v>
      </c>
      <c r="C18" t="s">
        <v>34</v>
      </c>
      <c r="D18" t="s">
        <v>26</v>
      </c>
      <c r="E18" t="s">
        <v>27</v>
      </c>
      <c r="F18" t="s">
        <v>20</v>
      </c>
      <c r="G18">
        <v>1350</v>
      </c>
      <c r="H18">
        <v>1625</v>
      </c>
      <c r="I18">
        <v>20.399999999999999</v>
      </c>
      <c r="J18" t="s">
        <v>55</v>
      </c>
    </row>
    <row r="19" spans="1:10" x14ac:dyDescent="0.35">
      <c r="A19" s="1">
        <v>45292</v>
      </c>
      <c r="B19" t="s">
        <v>33</v>
      </c>
      <c r="C19" t="s">
        <v>34</v>
      </c>
      <c r="D19" t="s">
        <v>28</v>
      </c>
      <c r="E19" t="s">
        <v>29</v>
      </c>
      <c r="F19" t="s">
        <v>23</v>
      </c>
      <c r="G19">
        <v>1210</v>
      </c>
      <c r="H19">
        <v>1110</v>
      </c>
      <c r="I19">
        <v>8.3000000000000007</v>
      </c>
      <c r="J19" t="s">
        <v>56</v>
      </c>
    </row>
    <row r="20" spans="1:10" x14ac:dyDescent="0.35">
      <c r="A20" s="1">
        <v>45292</v>
      </c>
      <c r="B20" t="s">
        <v>36</v>
      </c>
      <c r="C20" t="s">
        <v>37</v>
      </c>
      <c r="D20" t="s">
        <v>15</v>
      </c>
      <c r="E20" t="s">
        <v>16</v>
      </c>
      <c r="F20" t="s">
        <v>17</v>
      </c>
      <c r="G20">
        <v>858</v>
      </c>
      <c r="H20">
        <v>658</v>
      </c>
      <c r="I20">
        <v>23.3</v>
      </c>
      <c r="J20" t="s">
        <v>56</v>
      </c>
    </row>
    <row r="21" spans="1:10" x14ac:dyDescent="0.35">
      <c r="A21" s="1">
        <v>45292</v>
      </c>
      <c r="B21" t="s">
        <v>36</v>
      </c>
      <c r="C21" t="s">
        <v>37</v>
      </c>
      <c r="D21" t="s">
        <v>18</v>
      </c>
      <c r="E21" t="s">
        <v>19</v>
      </c>
      <c r="F21" t="s">
        <v>20</v>
      </c>
      <c r="G21">
        <v>941</v>
      </c>
      <c r="H21">
        <v>1103</v>
      </c>
      <c r="I21">
        <v>17.2</v>
      </c>
      <c r="J21" t="s">
        <v>55</v>
      </c>
    </row>
    <row r="22" spans="1:10" x14ac:dyDescent="0.35">
      <c r="A22" s="1">
        <v>45292</v>
      </c>
      <c r="B22" t="s">
        <v>36</v>
      </c>
      <c r="C22" t="s">
        <v>37</v>
      </c>
      <c r="D22" t="s">
        <v>21</v>
      </c>
      <c r="E22" t="s">
        <v>22</v>
      </c>
      <c r="F22" t="s">
        <v>23</v>
      </c>
      <c r="G22">
        <v>1249</v>
      </c>
      <c r="H22">
        <v>896</v>
      </c>
      <c r="I22">
        <v>28.3</v>
      </c>
      <c r="J22" t="s">
        <v>56</v>
      </c>
    </row>
    <row r="23" spans="1:10" x14ac:dyDescent="0.35">
      <c r="A23" s="1">
        <v>45292</v>
      </c>
      <c r="B23" t="s">
        <v>36</v>
      </c>
      <c r="C23" t="s">
        <v>37</v>
      </c>
      <c r="D23" t="s">
        <v>24</v>
      </c>
      <c r="E23" t="s">
        <v>25</v>
      </c>
      <c r="F23" t="s">
        <v>17</v>
      </c>
      <c r="G23">
        <v>1249</v>
      </c>
      <c r="H23">
        <v>1136</v>
      </c>
      <c r="I23">
        <v>9</v>
      </c>
      <c r="J23" t="s">
        <v>56</v>
      </c>
    </row>
    <row r="24" spans="1:10" x14ac:dyDescent="0.35">
      <c r="A24" s="1">
        <v>45292</v>
      </c>
      <c r="B24" t="s">
        <v>36</v>
      </c>
      <c r="C24" t="s">
        <v>37</v>
      </c>
      <c r="D24" t="s">
        <v>26</v>
      </c>
      <c r="E24" t="s">
        <v>27</v>
      </c>
      <c r="F24" t="s">
        <v>20</v>
      </c>
      <c r="G24">
        <v>1166</v>
      </c>
      <c r="H24">
        <v>1553</v>
      </c>
      <c r="I24">
        <v>33.200000000000003</v>
      </c>
      <c r="J24" t="s">
        <v>55</v>
      </c>
    </row>
    <row r="25" spans="1:10" x14ac:dyDescent="0.35">
      <c r="A25" s="1">
        <v>45292</v>
      </c>
      <c r="B25" t="s">
        <v>36</v>
      </c>
      <c r="C25" t="s">
        <v>37</v>
      </c>
      <c r="D25" t="s">
        <v>28</v>
      </c>
      <c r="E25" t="s">
        <v>29</v>
      </c>
      <c r="F25" t="s">
        <v>23</v>
      </c>
      <c r="G25">
        <v>1050</v>
      </c>
      <c r="H25">
        <v>1239</v>
      </c>
      <c r="I25">
        <v>18</v>
      </c>
      <c r="J25" t="s">
        <v>55</v>
      </c>
    </row>
    <row r="26" spans="1:10" x14ac:dyDescent="0.35">
      <c r="A26" s="1">
        <v>45292</v>
      </c>
      <c r="B26" t="s">
        <v>39</v>
      </c>
      <c r="C26" t="s">
        <v>40</v>
      </c>
      <c r="D26" t="s">
        <v>15</v>
      </c>
      <c r="E26" t="s">
        <v>16</v>
      </c>
      <c r="F26" t="s">
        <v>17</v>
      </c>
      <c r="G26">
        <v>1280</v>
      </c>
      <c r="H26">
        <v>1475</v>
      </c>
      <c r="I26">
        <v>15.2</v>
      </c>
      <c r="J26" t="s">
        <v>55</v>
      </c>
    </row>
    <row r="27" spans="1:10" x14ac:dyDescent="0.35">
      <c r="A27" s="1">
        <v>45292</v>
      </c>
      <c r="B27" t="s">
        <v>39</v>
      </c>
      <c r="C27" t="s">
        <v>40</v>
      </c>
      <c r="D27" t="s">
        <v>18</v>
      </c>
      <c r="E27" t="s">
        <v>19</v>
      </c>
      <c r="F27" t="s">
        <v>20</v>
      </c>
      <c r="G27">
        <v>794</v>
      </c>
      <c r="H27">
        <v>583</v>
      </c>
      <c r="I27">
        <v>26.6</v>
      </c>
      <c r="J27" t="s">
        <v>56</v>
      </c>
    </row>
    <row r="28" spans="1:10" x14ac:dyDescent="0.35">
      <c r="A28" s="1">
        <v>45292</v>
      </c>
      <c r="B28" t="s">
        <v>39</v>
      </c>
      <c r="C28" t="s">
        <v>40</v>
      </c>
      <c r="D28" t="s">
        <v>21</v>
      </c>
      <c r="E28" t="s">
        <v>22</v>
      </c>
      <c r="F28" t="s">
        <v>23</v>
      </c>
      <c r="G28">
        <v>505</v>
      </c>
      <c r="H28">
        <v>666</v>
      </c>
      <c r="I28">
        <v>31.9</v>
      </c>
      <c r="J28" t="s">
        <v>55</v>
      </c>
    </row>
    <row r="29" spans="1:10" x14ac:dyDescent="0.35">
      <c r="A29" s="1">
        <v>45292</v>
      </c>
      <c r="B29" t="s">
        <v>39</v>
      </c>
      <c r="C29" t="s">
        <v>40</v>
      </c>
      <c r="D29" t="s">
        <v>24</v>
      </c>
      <c r="E29" t="s">
        <v>25</v>
      </c>
      <c r="F29" t="s">
        <v>17</v>
      </c>
      <c r="G29">
        <v>663</v>
      </c>
      <c r="H29">
        <v>423</v>
      </c>
      <c r="I29">
        <v>36.200000000000003</v>
      </c>
      <c r="J29" t="s">
        <v>56</v>
      </c>
    </row>
    <row r="30" spans="1:10" x14ac:dyDescent="0.35">
      <c r="A30" s="1">
        <v>45292</v>
      </c>
      <c r="B30" t="s">
        <v>39</v>
      </c>
      <c r="C30" t="s">
        <v>40</v>
      </c>
      <c r="D30" t="s">
        <v>26</v>
      </c>
      <c r="E30" t="s">
        <v>27</v>
      </c>
      <c r="F30" t="s">
        <v>20</v>
      </c>
      <c r="G30">
        <v>755</v>
      </c>
      <c r="H30">
        <v>603</v>
      </c>
      <c r="I30">
        <v>20.100000000000001</v>
      </c>
      <c r="J30" t="s">
        <v>56</v>
      </c>
    </row>
    <row r="31" spans="1:10" x14ac:dyDescent="0.35">
      <c r="A31" s="1">
        <v>45292</v>
      </c>
      <c r="B31" t="s">
        <v>39</v>
      </c>
      <c r="C31" t="s">
        <v>40</v>
      </c>
      <c r="D31" t="s">
        <v>28</v>
      </c>
      <c r="E31" t="s">
        <v>29</v>
      </c>
      <c r="F31" t="s">
        <v>23</v>
      </c>
      <c r="G31">
        <v>724</v>
      </c>
      <c r="H31">
        <v>571</v>
      </c>
      <c r="I31">
        <v>21.1</v>
      </c>
      <c r="J31" t="s">
        <v>56</v>
      </c>
    </row>
    <row r="32" spans="1:10" x14ac:dyDescent="0.35">
      <c r="A32" s="1">
        <v>45299</v>
      </c>
      <c r="B32" t="s">
        <v>12</v>
      </c>
      <c r="C32" t="s">
        <v>13</v>
      </c>
      <c r="D32" t="s">
        <v>15</v>
      </c>
      <c r="E32" t="s">
        <v>16</v>
      </c>
      <c r="F32" t="s">
        <v>17</v>
      </c>
      <c r="G32">
        <v>658</v>
      </c>
      <c r="H32">
        <v>810</v>
      </c>
      <c r="I32">
        <v>23.1</v>
      </c>
      <c r="J32" t="s">
        <v>55</v>
      </c>
    </row>
    <row r="33" spans="1:10" x14ac:dyDescent="0.35">
      <c r="A33" s="1">
        <v>45299</v>
      </c>
      <c r="B33" t="s">
        <v>12</v>
      </c>
      <c r="C33" t="s">
        <v>13</v>
      </c>
      <c r="D33" t="s">
        <v>18</v>
      </c>
      <c r="E33" t="s">
        <v>19</v>
      </c>
      <c r="F33" t="s">
        <v>20</v>
      </c>
      <c r="G33">
        <v>1202</v>
      </c>
      <c r="H33">
        <v>1602</v>
      </c>
      <c r="I33">
        <v>33.299999999999997</v>
      </c>
      <c r="J33" t="s">
        <v>55</v>
      </c>
    </row>
    <row r="34" spans="1:10" x14ac:dyDescent="0.35">
      <c r="A34" s="1">
        <v>45299</v>
      </c>
      <c r="B34" t="s">
        <v>12</v>
      </c>
      <c r="C34" t="s">
        <v>13</v>
      </c>
      <c r="D34" t="s">
        <v>21</v>
      </c>
      <c r="E34" t="s">
        <v>22</v>
      </c>
      <c r="F34" t="s">
        <v>23</v>
      </c>
      <c r="G34">
        <v>932</v>
      </c>
      <c r="H34">
        <v>623</v>
      </c>
      <c r="I34">
        <v>33.200000000000003</v>
      </c>
      <c r="J34" t="s">
        <v>56</v>
      </c>
    </row>
    <row r="35" spans="1:10" x14ac:dyDescent="0.35">
      <c r="A35" s="1">
        <v>45299</v>
      </c>
      <c r="B35" t="s">
        <v>12</v>
      </c>
      <c r="C35" t="s">
        <v>13</v>
      </c>
      <c r="D35" t="s">
        <v>24</v>
      </c>
      <c r="E35" t="s">
        <v>25</v>
      </c>
      <c r="F35" t="s">
        <v>17</v>
      </c>
      <c r="G35">
        <v>1060</v>
      </c>
      <c r="H35">
        <v>910</v>
      </c>
      <c r="I35">
        <v>14.2</v>
      </c>
      <c r="J35" t="s">
        <v>56</v>
      </c>
    </row>
    <row r="36" spans="1:10" x14ac:dyDescent="0.35">
      <c r="A36" s="1">
        <v>45299</v>
      </c>
      <c r="B36" t="s">
        <v>12</v>
      </c>
      <c r="C36" t="s">
        <v>13</v>
      </c>
      <c r="D36" t="s">
        <v>26</v>
      </c>
      <c r="E36" t="s">
        <v>27</v>
      </c>
      <c r="F36" t="s">
        <v>20</v>
      </c>
      <c r="G36">
        <v>1295</v>
      </c>
      <c r="H36">
        <v>1403</v>
      </c>
      <c r="I36">
        <v>8.3000000000000007</v>
      </c>
      <c r="J36" t="s">
        <v>55</v>
      </c>
    </row>
    <row r="37" spans="1:10" x14ac:dyDescent="0.35">
      <c r="A37" s="1">
        <v>45299</v>
      </c>
      <c r="B37" t="s">
        <v>12</v>
      </c>
      <c r="C37" t="s">
        <v>13</v>
      </c>
      <c r="D37" t="s">
        <v>28</v>
      </c>
      <c r="E37" t="s">
        <v>29</v>
      </c>
      <c r="F37" t="s">
        <v>23</v>
      </c>
      <c r="G37">
        <v>713</v>
      </c>
      <c r="H37">
        <v>775</v>
      </c>
      <c r="I37">
        <v>8.6999999999999993</v>
      </c>
      <c r="J37" t="s">
        <v>55</v>
      </c>
    </row>
    <row r="38" spans="1:10" x14ac:dyDescent="0.35">
      <c r="A38" s="1">
        <v>45299</v>
      </c>
      <c r="B38" t="s">
        <v>30</v>
      </c>
      <c r="C38" t="s">
        <v>31</v>
      </c>
      <c r="D38" t="s">
        <v>15</v>
      </c>
      <c r="E38" t="s">
        <v>16</v>
      </c>
      <c r="F38" t="s">
        <v>17</v>
      </c>
      <c r="G38">
        <v>561</v>
      </c>
      <c r="H38">
        <v>419</v>
      </c>
      <c r="I38">
        <v>25.3</v>
      </c>
      <c r="J38" t="s">
        <v>56</v>
      </c>
    </row>
    <row r="39" spans="1:10" x14ac:dyDescent="0.35">
      <c r="A39" s="1">
        <v>45299</v>
      </c>
      <c r="B39" t="s">
        <v>30</v>
      </c>
      <c r="C39" t="s">
        <v>31</v>
      </c>
      <c r="D39" t="s">
        <v>18</v>
      </c>
      <c r="E39" t="s">
        <v>19</v>
      </c>
      <c r="F39" t="s">
        <v>20</v>
      </c>
      <c r="G39">
        <v>667</v>
      </c>
      <c r="H39">
        <v>917</v>
      </c>
      <c r="I39">
        <v>37.5</v>
      </c>
      <c r="J39" t="s">
        <v>55</v>
      </c>
    </row>
    <row r="40" spans="1:10" x14ac:dyDescent="0.35">
      <c r="A40" s="1">
        <v>45299</v>
      </c>
      <c r="B40" t="s">
        <v>30</v>
      </c>
      <c r="C40" t="s">
        <v>31</v>
      </c>
      <c r="D40" t="s">
        <v>21</v>
      </c>
      <c r="E40" t="s">
        <v>22</v>
      </c>
      <c r="F40" t="s">
        <v>23</v>
      </c>
      <c r="G40">
        <v>1133</v>
      </c>
      <c r="H40">
        <v>1287</v>
      </c>
      <c r="I40">
        <v>13.6</v>
      </c>
      <c r="J40" t="s">
        <v>55</v>
      </c>
    </row>
    <row r="41" spans="1:10" x14ac:dyDescent="0.35">
      <c r="A41" s="1">
        <v>45299</v>
      </c>
      <c r="B41" t="s">
        <v>30</v>
      </c>
      <c r="C41" t="s">
        <v>31</v>
      </c>
      <c r="D41" t="s">
        <v>24</v>
      </c>
      <c r="E41" t="s">
        <v>25</v>
      </c>
      <c r="F41" t="s">
        <v>17</v>
      </c>
      <c r="G41">
        <v>854</v>
      </c>
      <c r="H41">
        <v>998</v>
      </c>
      <c r="I41">
        <v>16.899999999999999</v>
      </c>
      <c r="J41" t="s">
        <v>55</v>
      </c>
    </row>
    <row r="42" spans="1:10" x14ac:dyDescent="0.35">
      <c r="A42" s="1">
        <v>45299</v>
      </c>
      <c r="B42" t="s">
        <v>30</v>
      </c>
      <c r="C42" t="s">
        <v>31</v>
      </c>
      <c r="D42" t="s">
        <v>26</v>
      </c>
      <c r="E42" t="s">
        <v>27</v>
      </c>
      <c r="F42" t="s">
        <v>20</v>
      </c>
      <c r="G42">
        <v>902</v>
      </c>
      <c r="H42">
        <v>1170</v>
      </c>
      <c r="I42">
        <v>29.7</v>
      </c>
      <c r="J42" t="s">
        <v>55</v>
      </c>
    </row>
    <row r="43" spans="1:10" x14ac:dyDescent="0.35">
      <c r="A43" s="1">
        <v>45299</v>
      </c>
      <c r="B43" t="s">
        <v>30</v>
      </c>
      <c r="C43" t="s">
        <v>31</v>
      </c>
      <c r="D43" t="s">
        <v>28</v>
      </c>
      <c r="E43" t="s">
        <v>29</v>
      </c>
      <c r="F43" t="s">
        <v>23</v>
      </c>
      <c r="G43">
        <v>1174</v>
      </c>
      <c r="H43">
        <v>1539</v>
      </c>
      <c r="I43">
        <v>31.1</v>
      </c>
      <c r="J43" t="s">
        <v>55</v>
      </c>
    </row>
    <row r="44" spans="1:10" x14ac:dyDescent="0.35">
      <c r="A44" s="1">
        <v>45299</v>
      </c>
      <c r="B44" t="s">
        <v>33</v>
      </c>
      <c r="C44" t="s">
        <v>34</v>
      </c>
      <c r="D44" t="s">
        <v>15</v>
      </c>
      <c r="E44" t="s">
        <v>16</v>
      </c>
      <c r="F44" t="s">
        <v>17</v>
      </c>
      <c r="G44">
        <v>963</v>
      </c>
      <c r="H44">
        <v>861</v>
      </c>
      <c r="I44">
        <v>10.6</v>
      </c>
      <c r="J44" t="s">
        <v>56</v>
      </c>
    </row>
    <row r="45" spans="1:10" x14ac:dyDescent="0.35">
      <c r="A45" s="1">
        <v>45299</v>
      </c>
      <c r="B45" t="s">
        <v>33</v>
      </c>
      <c r="C45" t="s">
        <v>34</v>
      </c>
      <c r="D45" t="s">
        <v>18</v>
      </c>
      <c r="E45" t="s">
        <v>19</v>
      </c>
      <c r="F45" t="s">
        <v>20</v>
      </c>
      <c r="G45">
        <v>447</v>
      </c>
      <c r="H45">
        <v>568</v>
      </c>
      <c r="I45">
        <v>27.1</v>
      </c>
      <c r="J45" t="s">
        <v>55</v>
      </c>
    </row>
    <row r="46" spans="1:10" x14ac:dyDescent="0.35">
      <c r="A46" s="1">
        <v>45299</v>
      </c>
      <c r="B46" t="s">
        <v>33</v>
      </c>
      <c r="C46" t="s">
        <v>34</v>
      </c>
      <c r="D46" t="s">
        <v>21</v>
      </c>
      <c r="E46" t="s">
        <v>22</v>
      </c>
      <c r="F46" t="s">
        <v>23</v>
      </c>
      <c r="G46">
        <v>611</v>
      </c>
      <c r="H46">
        <v>680</v>
      </c>
      <c r="I46">
        <v>11.3</v>
      </c>
      <c r="J46" t="s">
        <v>55</v>
      </c>
    </row>
    <row r="47" spans="1:10" x14ac:dyDescent="0.35">
      <c r="A47" s="1">
        <v>45299</v>
      </c>
      <c r="B47" t="s">
        <v>33</v>
      </c>
      <c r="C47" t="s">
        <v>34</v>
      </c>
      <c r="D47" t="s">
        <v>24</v>
      </c>
      <c r="E47" t="s">
        <v>25</v>
      </c>
      <c r="F47" t="s">
        <v>17</v>
      </c>
      <c r="G47">
        <v>651</v>
      </c>
      <c r="H47">
        <v>578</v>
      </c>
      <c r="I47">
        <v>11.2</v>
      </c>
      <c r="J47" t="s">
        <v>56</v>
      </c>
    </row>
    <row r="48" spans="1:10" x14ac:dyDescent="0.35">
      <c r="A48" s="1">
        <v>45299</v>
      </c>
      <c r="B48" t="s">
        <v>33</v>
      </c>
      <c r="C48" t="s">
        <v>34</v>
      </c>
      <c r="D48" t="s">
        <v>26</v>
      </c>
      <c r="E48" t="s">
        <v>27</v>
      </c>
      <c r="F48" t="s">
        <v>20</v>
      </c>
      <c r="G48">
        <v>769</v>
      </c>
      <c r="H48">
        <v>686</v>
      </c>
      <c r="I48">
        <v>10.8</v>
      </c>
      <c r="J48" t="s">
        <v>56</v>
      </c>
    </row>
    <row r="49" spans="1:10" x14ac:dyDescent="0.35">
      <c r="A49" s="1">
        <v>45299</v>
      </c>
      <c r="B49" t="s">
        <v>33</v>
      </c>
      <c r="C49" t="s">
        <v>34</v>
      </c>
      <c r="D49" t="s">
        <v>28</v>
      </c>
      <c r="E49" t="s">
        <v>29</v>
      </c>
      <c r="F49" t="s">
        <v>23</v>
      </c>
      <c r="G49">
        <v>1140</v>
      </c>
      <c r="H49">
        <v>736</v>
      </c>
      <c r="I49">
        <v>35.4</v>
      </c>
      <c r="J49" t="s">
        <v>56</v>
      </c>
    </row>
    <row r="50" spans="1:10" x14ac:dyDescent="0.35">
      <c r="A50" s="1">
        <v>45299</v>
      </c>
      <c r="B50" t="s">
        <v>36</v>
      </c>
      <c r="C50" t="s">
        <v>37</v>
      </c>
      <c r="D50" t="s">
        <v>15</v>
      </c>
      <c r="E50" t="s">
        <v>16</v>
      </c>
      <c r="F50" t="s">
        <v>17</v>
      </c>
      <c r="G50">
        <v>606</v>
      </c>
      <c r="H50">
        <v>468</v>
      </c>
      <c r="I50">
        <v>22.8</v>
      </c>
      <c r="J50" t="s">
        <v>56</v>
      </c>
    </row>
    <row r="51" spans="1:10" x14ac:dyDescent="0.35">
      <c r="A51" s="1">
        <v>45299</v>
      </c>
      <c r="B51" t="s">
        <v>36</v>
      </c>
      <c r="C51" t="s">
        <v>37</v>
      </c>
      <c r="D51" t="s">
        <v>18</v>
      </c>
      <c r="E51" t="s">
        <v>19</v>
      </c>
      <c r="F51" t="s">
        <v>20</v>
      </c>
      <c r="G51">
        <v>550</v>
      </c>
      <c r="H51">
        <v>674</v>
      </c>
      <c r="I51">
        <v>22.5</v>
      </c>
      <c r="J51" t="s">
        <v>55</v>
      </c>
    </row>
    <row r="52" spans="1:10" x14ac:dyDescent="0.35">
      <c r="A52" s="1">
        <v>45299</v>
      </c>
      <c r="B52" t="s">
        <v>36</v>
      </c>
      <c r="C52" t="s">
        <v>37</v>
      </c>
      <c r="D52" t="s">
        <v>21</v>
      </c>
      <c r="E52" t="s">
        <v>22</v>
      </c>
      <c r="F52" t="s">
        <v>23</v>
      </c>
      <c r="G52">
        <v>830</v>
      </c>
      <c r="H52">
        <v>592</v>
      </c>
      <c r="I52">
        <v>28.7</v>
      </c>
      <c r="J52" t="s">
        <v>56</v>
      </c>
    </row>
    <row r="53" spans="1:10" x14ac:dyDescent="0.35">
      <c r="A53" s="1">
        <v>45299</v>
      </c>
      <c r="B53" t="s">
        <v>36</v>
      </c>
      <c r="C53" t="s">
        <v>37</v>
      </c>
      <c r="D53" t="s">
        <v>24</v>
      </c>
      <c r="E53" t="s">
        <v>25</v>
      </c>
      <c r="F53" t="s">
        <v>17</v>
      </c>
      <c r="G53">
        <v>1042</v>
      </c>
      <c r="H53">
        <v>760</v>
      </c>
      <c r="I53">
        <v>27.1</v>
      </c>
      <c r="J53" t="s">
        <v>56</v>
      </c>
    </row>
    <row r="54" spans="1:10" x14ac:dyDescent="0.35">
      <c r="A54" s="1">
        <v>45299</v>
      </c>
      <c r="B54" t="s">
        <v>36</v>
      </c>
      <c r="C54" t="s">
        <v>37</v>
      </c>
      <c r="D54" t="s">
        <v>26</v>
      </c>
      <c r="E54" t="s">
        <v>27</v>
      </c>
      <c r="F54" t="s">
        <v>20</v>
      </c>
      <c r="G54">
        <v>729</v>
      </c>
      <c r="H54">
        <v>631</v>
      </c>
      <c r="I54">
        <v>13.4</v>
      </c>
      <c r="J54" t="s">
        <v>56</v>
      </c>
    </row>
    <row r="55" spans="1:10" x14ac:dyDescent="0.35">
      <c r="A55" s="1">
        <v>45299</v>
      </c>
      <c r="B55" t="s">
        <v>36</v>
      </c>
      <c r="C55" t="s">
        <v>37</v>
      </c>
      <c r="D55" t="s">
        <v>28</v>
      </c>
      <c r="E55" t="s">
        <v>29</v>
      </c>
      <c r="F55" t="s">
        <v>23</v>
      </c>
      <c r="G55">
        <v>765</v>
      </c>
      <c r="H55">
        <v>977</v>
      </c>
      <c r="I55">
        <v>27.7</v>
      </c>
      <c r="J55" t="s">
        <v>55</v>
      </c>
    </row>
    <row r="56" spans="1:10" x14ac:dyDescent="0.35">
      <c r="A56" s="1">
        <v>45299</v>
      </c>
      <c r="B56" t="s">
        <v>39</v>
      </c>
      <c r="C56" t="s">
        <v>40</v>
      </c>
      <c r="D56" t="s">
        <v>15</v>
      </c>
      <c r="E56" t="s">
        <v>16</v>
      </c>
      <c r="F56" t="s">
        <v>17</v>
      </c>
      <c r="G56">
        <v>464</v>
      </c>
      <c r="H56">
        <v>410</v>
      </c>
      <c r="I56">
        <v>11.6</v>
      </c>
      <c r="J56" t="s">
        <v>56</v>
      </c>
    </row>
    <row r="57" spans="1:10" x14ac:dyDescent="0.35">
      <c r="A57" s="1">
        <v>45299</v>
      </c>
      <c r="B57" t="s">
        <v>39</v>
      </c>
      <c r="C57" t="s">
        <v>40</v>
      </c>
      <c r="D57" t="s">
        <v>18</v>
      </c>
      <c r="E57" t="s">
        <v>19</v>
      </c>
      <c r="F57" t="s">
        <v>20</v>
      </c>
      <c r="G57">
        <v>1110</v>
      </c>
      <c r="H57">
        <v>1359</v>
      </c>
      <c r="I57">
        <v>22.4</v>
      </c>
      <c r="J57" t="s">
        <v>55</v>
      </c>
    </row>
    <row r="58" spans="1:10" x14ac:dyDescent="0.35">
      <c r="A58" s="1">
        <v>45299</v>
      </c>
      <c r="B58" t="s">
        <v>39</v>
      </c>
      <c r="C58" t="s">
        <v>40</v>
      </c>
      <c r="D58" t="s">
        <v>21</v>
      </c>
      <c r="E58" t="s">
        <v>22</v>
      </c>
      <c r="F58" t="s">
        <v>23</v>
      </c>
      <c r="G58">
        <v>1519</v>
      </c>
      <c r="H58">
        <v>1642</v>
      </c>
      <c r="I58">
        <v>8.1</v>
      </c>
      <c r="J58" t="s">
        <v>55</v>
      </c>
    </row>
    <row r="59" spans="1:10" x14ac:dyDescent="0.35">
      <c r="A59" s="1">
        <v>45299</v>
      </c>
      <c r="B59" t="s">
        <v>39</v>
      </c>
      <c r="C59" t="s">
        <v>40</v>
      </c>
      <c r="D59" t="s">
        <v>24</v>
      </c>
      <c r="E59" t="s">
        <v>25</v>
      </c>
      <c r="F59" t="s">
        <v>17</v>
      </c>
      <c r="G59">
        <v>921</v>
      </c>
      <c r="H59">
        <v>591</v>
      </c>
      <c r="I59">
        <v>35.799999999999997</v>
      </c>
      <c r="J59" t="s">
        <v>56</v>
      </c>
    </row>
    <row r="60" spans="1:10" x14ac:dyDescent="0.35">
      <c r="A60" s="1">
        <v>45299</v>
      </c>
      <c r="B60" t="s">
        <v>39</v>
      </c>
      <c r="C60" t="s">
        <v>40</v>
      </c>
      <c r="D60" t="s">
        <v>26</v>
      </c>
      <c r="E60" t="s">
        <v>27</v>
      </c>
      <c r="F60" t="s">
        <v>20</v>
      </c>
      <c r="G60">
        <v>460</v>
      </c>
      <c r="H60">
        <v>570</v>
      </c>
      <c r="I60">
        <v>23.9</v>
      </c>
      <c r="J60" t="s">
        <v>55</v>
      </c>
    </row>
    <row r="61" spans="1:10" x14ac:dyDescent="0.35">
      <c r="A61" s="1">
        <v>45299</v>
      </c>
      <c r="B61" t="s">
        <v>39</v>
      </c>
      <c r="C61" t="s">
        <v>40</v>
      </c>
      <c r="D61" t="s">
        <v>28</v>
      </c>
      <c r="E61" t="s">
        <v>29</v>
      </c>
      <c r="F61" t="s">
        <v>23</v>
      </c>
      <c r="G61">
        <v>712</v>
      </c>
      <c r="H61">
        <v>608</v>
      </c>
      <c r="I61">
        <v>14.6</v>
      </c>
      <c r="J61" t="s">
        <v>56</v>
      </c>
    </row>
    <row r="62" spans="1:10" x14ac:dyDescent="0.35">
      <c r="A62" s="1">
        <v>45306</v>
      </c>
      <c r="B62" t="s">
        <v>12</v>
      </c>
      <c r="C62" t="s">
        <v>13</v>
      </c>
      <c r="D62" t="s">
        <v>15</v>
      </c>
      <c r="E62" t="s">
        <v>16</v>
      </c>
      <c r="F62" t="s">
        <v>17</v>
      </c>
      <c r="G62">
        <v>844</v>
      </c>
      <c r="H62">
        <v>769</v>
      </c>
      <c r="I62">
        <v>8.9</v>
      </c>
      <c r="J62" t="s">
        <v>56</v>
      </c>
    </row>
    <row r="63" spans="1:10" x14ac:dyDescent="0.35">
      <c r="A63" s="1">
        <v>45306</v>
      </c>
      <c r="B63" t="s">
        <v>12</v>
      </c>
      <c r="C63" t="s">
        <v>13</v>
      </c>
      <c r="D63" t="s">
        <v>18</v>
      </c>
      <c r="E63" t="s">
        <v>19</v>
      </c>
      <c r="F63" t="s">
        <v>20</v>
      </c>
      <c r="G63">
        <v>570</v>
      </c>
      <c r="H63">
        <v>740</v>
      </c>
      <c r="I63">
        <v>29.8</v>
      </c>
      <c r="J63" t="s">
        <v>55</v>
      </c>
    </row>
    <row r="64" spans="1:10" x14ac:dyDescent="0.35">
      <c r="A64" s="1">
        <v>45306</v>
      </c>
      <c r="B64" t="s">
        <v>12</v>
      </c>
      <c r="C64" t="s">
        <v>13</v>
      </c>
      <c r="D64" t="s">
        <v>21</v>
      </c>
      <c r="E64" t="s">
        <v>22</v>
      </c>
      <c r="F64" t="s">
        <v>23</v>
      </c>
      <c r="G64">
        <v>948</v>
      </c>
      <c r="H64">
        <v>794</v>
      </c>
      <c r="I64">
        <v>16.2</v>
      </c>
      <c r="J64" t="s">
        <v>56</v>
      </c>
    </row>
    <row r="65" spans="1:10" x14ac:dyDescent="0.35">
      <c r="A65" s="1">
        <v>45306</v>
      </c>
      <c r="B65" t="s">
        <v>12</v>
      </c>
      <c r="C65" t="s">
        <v>13</v>
      </c>
      <c r="D65" t="s">
        <v>24</v>
      </c>
      <c r="E65" t="s">
        <v>25</v>
      </c>
      <c r="F65" t="s">
        <v>17</v>
      </c>
      <c r="G65">
        <v>588</v>
      </c>
      <c r="H65">
        <v>696</v>
      </c>
      <c r="I65">
        <v>18.399999999999999</v>
      </c>
      <c r="J65" t="s">
        <v>55</v>
      </c>
    </row>
    <row r="66" spans="1:10" x14ac:dyDescent="0.35">
      <c r="A66" s="1">
        <v>45306</v>
      </c>
      <c r="B66" t="s">
        <v>12</v>
      </c>
      <c r="C66" t="s">
        <v>13</v>
      </c>
      <c r="D66" t="s">
        <v>26</v>
      </c>
      <c r="E66" t="s">
        <v>27</v>
      </c>
      <c r="F66" t="s">
        <v>20</v>
      </c>
      <c r="G66">
        <v>1002</v>
      </c>
      <c r="H66">
        <v>1222</v>
      </c>
      <c r="I66">
        <v>22</v>
      </c>
      <c r="J66" t="s">
        <v>55</v>
      </c>
    </row>
    <row r="67" spans="1:10" x14ac:dyDescent="0.35">
      <c r="A67" s="1">
        <v>45306</v>
      </c>
      <c r="B67" t="s">
        <v>12</v>
      </c>
      <c r="C67" t="s">
        <v>13</v>
      </c>
      <c r="D67" t="s">
        <v>28</v>
      </c>
      <c r="E67" t="s">
        <v>29</v>
      </c>
      <c r="F67" t="s">
        <v>23</v>
      </c>
      <c r="G67">
        <v>1293</v>
      </c>
      <c r="H67">
        <v>990</v>
      </c>
      <c r="I67">
        <v>23.4</v>
      </c>
      <c r="J67" t="s">
        <v>56</v>
      </c>
    </row>
    <row r="68" spans="1:10" x14ac:dyDescent="0.35">
      <c r="A68" s="1">
        <v>45306</v>
      </c>
      <c r="B68" t="s">
        <v>30</v>
      </c>
      <c r="C68" t="s">
        <v>31</v>
      </c>
      <c r="D68" t="s">
        <v>15</v>
      </c>
      <c r="E68" t="s">
        <v>16</v>
      </c>
      <c r="F68" t="s">
        <v>17</v>
      </c>
      <c r="G68">
        <v>795</v>
      </c>
      <c r="H68">
        <v>671</v>
      </c>
      <c r="I68">
        <v>15.6</v>
      </c>
      <c r="J68" t="s">
        <v>56</v>
      </c>
    </row>
    <row r="69" spans="1:10" x14ac:dyDescent="0.35">
      <c r="A69" s="1">
        <v>45306</v>
      </c>
      <c r="B69" t="s">
        <v>30</v>
      </c>
      <c r="C69" t="s">
        <v>31</v>
      </c>
      <c r="D69" t="s">
        <v>18</v>
      </c>
      <c r="E69" t="s">
        <v>19</v>
      </c>
      <c r="F69" t="s">
        <v>20</v>
      </c>
      <c r="G69">
        <v>975</v>
      </c>
      <c r="H69">
        <v>615</v>
      </c>
      <c r="I69">
        <v>36.9</v>
      </c>
      <c r="J69" t="s">
        <v>56</v>
      </c>
    </row>
    <row r="70" spans="1:10" x14ac:dyDescent="0.35">
      <c r="A70" s="1">
        <v>45306</v>
      </c>
      <c r="B70" t="s">
        <v>30</v>
      </c>
      <c r="C70" t="s">
        <v>31</v>
      </c>
      <c r="D70" t="s">
        <v>21</v>
      </c>
      <c r="E70" t="s">
        <v>22</v>
      </c>
      <c r="F70" t="s">
        <v>23</v>
      </c>
      <c r="G70">
        <v>1038</v>
      </c>
      <c r="H70">
        <v>903</v>
      </c>
      <c r="I70">
        <v>13</v>
      </c>
      <c r="J70" t="s">
        <v>56</v>
      </c>
    </row>
    <row r="71" spans="1:10" x14ac:dyDescent="0.35">
      <c r="A71" s="1">
        <v>45306</v>
      </c>
      <c r="B71" t="s">
        <v>30</v>
      </c>
      <c r="C71" t="s">
        <v>31</v>
      </c>
      <c r="D71" t="s">
        <v>24</v>
      </c>
      <c r="E71" t="s">
        <v>25</v>
      </c>
      <c r="F71" t="s">
        <v>17</v>
      </c>
      <c r="G71">
        <v>1399</v>
      </c>
      <c r="H71">
        <v>1105</v>
      </c>
      <c r="I71">
        <v>21</v>
      </c>
      <c r="J71" t="s">
        <v>56</v>
      </c>
    </row>
    <row r="72" spans="1:10" x14ac:dyDescent="0.35">
      <c r="A72" s="1">
        <v>45306</v>
      </c>
      <c r="B72" t="s">
        <v>30</v>
      </c>
      <c r="C72" t="s">
        <v>31</v>
      </c>
      <c r="D72" t="s">
        <v>26</v>
      </c>
      <c r="E72" t="s">
        <v>27</v>
      </c>
      <c r="F72" t="s">
        <v>20</v>
      </c>
      <c r="G72">
        <v>956</v>
      </c>
      <c r="H72">
        <v>1266</v>
      </c>
      <c r="I72">
        <v>32.4</v>
      </c>
      <c r="J72" t="s">
        <v>55</v>
      </c>
    </row>
    <row r="73" spans="1:10" x14ac:dyDescent="0.35">
      <c r="A73" s="1">
        <v>45306</v>
      </c>
      <c r="B73" t="s">
        <v>30</v>
      </c>
      <c r="C73" t="s">
        <v>31</v>
      </c>
      <c r="D73" t="s">
        <v>28</v>
      </c>
      <c r="E73" t="s">
        <v>29</v>
      </c>
      <c r="F73" t="s">
        <v>23</v>
      </c>
      <c r="G73">
        <v>1184</v>
      </c>
      <c r="H73">
        <v>1431</v>
      </c>
      <c r="I73">
        <v>20.9</v>
      </c>
      <c r="J73" t="s">
        <v>55</v>
      </c>
    </row>
    <row r="74" spans="1:10" x14ac:dyDescent="0.35">
      <c r="A74" s="1">
        <v>45306</v>
      </c>
      <c r="B74" t="s">
        <v>33</v>
      </c>
      <c r="C74" t="s">
        <v>34</v>
      </c>
      <c r="D74" t="s">
        <v>15</v>
      </c>
      <c r="E74" t="s">
        <v>16</v>
      </c>
      <c r="F74" t="s">
        <v>17</v>
      </c>
      <c r="G74">
        <v>1165</v>
      </c>
      <c r="H74">
        <v>1572</v>
      </c>
      <c r="I74">
        <v>34.9</v>
      </c>
      <c r="J74" t="s">
        <v>55</v>
      </c>
    </row>
    <row r="75" spans="1:10" x14ac:dyDescent="0.35">
      <c r="A75" s="1">
        <v>45306</v>
      </c>
      <c r="B75" t="s">
        <v>33</v>
      </c>
      <c r="C75" t="s">
        <v>34</v>
      </c>
      <c r="D75" t="s">
        <v>18</v>
      </c>
      <c r="E75" t="s">
        <v>19</v>
      </c>
      <c r="F75" t="s">
        <v>20</v>
      </c>
      <c r="G75">
        <v>1320</v>
      </c>
      <c r="H75">
        <v>1148</v>
      </c>
      <c r="I75">
        <v>13</v>
      </c>
      <c r="J75" t="s">
        <v>56</v>
      </c>
    </row>
    <row r="76" spans="1:10" x14ac:dyDescent="0.35">
      <c r="A76" s="1">
        <v>45306</v>
      </c>
      <c r="B76" t="s">
        <v>33</v>
      </c>
      <c r="C76" t="s">
        <v>34</v>
      </c>
      <c r="D76" t="s">
        <v>21</v>
      </c>
      <c r="E76" t="s">
        <v>22</v>
      </c>
      <c r="F76" t="s">
        <v>23</v>
      </c>
      <c r="G76">
        <v>1447</v>
      </c>
      <c r="H76">
        <v>1221</v>
      </c>
      <c r="I76">
        <v>15.6</v>
      </c>
      <c r="J76" t="s">
        <v>56</v>
      </c>
    </row>
    <row r="77" spans="1:10" x14ac:dyDescent="0.35">
      <c r="A77" s="1">
        <v>45306</v>
      </c>
      <c r="B77" t="s">
        <v>33</v>
      </c>
      <c r="C77" t="s">
        <v>34</v>
      </c>
      <c r="D77" t="s">
        <v>24</v>
      </c>
      <c r="E77" t="s">
        <v>25</v>
      </c>
      <c r="F77" t="s">
        <v>17</v>
      </c>
      <c r="G77">
        <v>1486</v>
      </c>
      <c r="H77">
        <v>1210</v>
      </c>
      <c r="I77">
        <v>18.600000000000001</v>
      </c>
      <c r="J77" t="s">
        <v>56</v>
      </c>
    </row>
    <row r="78" spans="1:10" x14ac:dyDescent="0.35">
      <c r="A78" s="1">
        <v>45306</v>
      </c>
      <c r="B78" t="s">
        <v>33</v>
      </c>
      <c r="C78" t="s">
        <v>34</v>
      </c>
      <c r="D78" t="s">
        <v>26</v>
      </c>
      <c r="E78" t="s">
        <v>27</v>
      </c>
      <c r="F78" t="s">
        <v>20</v>
      </c>
      <c r="G78">
        <v>768</v>
      </c>
      <c r="H78">
        <v>520</v>
      </c>
      <c r="I78">
        <v>32.299999999999997</v>
      </c>
      <c r="J78" t="s">
        <v>56</v>
      </c>
    </row>
    <row r="79" spans="1:10" x14ac:dyDescent="0.35">
      <c r="A79" s="1">
        <v>45306</v>
      </c>
      <c r="B79" t="s">
        <v>33</v>
      </c>
      <c r="C79" t="s">
        <v>34</v>
      </c>
      <c r="D79" t="s">
        <v>28</v>
      </c>
      <c r="E79" t="s">
        <v>29</v>
      </c>
      <c r="F79" t="s">
        <v>23</v>
      </c>
      <c r="G79">
        <v>780</v>
      </c>
      <c r="H79">
        <v>633</v>
      </c>
      <c r="I79">
        <v>18.8</v>
      </c>
      <c r="J79" t="s">
        <v>56</v>
      </c>
    </row>
    <row r="80" spans="1:10" x14ac:dyDescent="0.35">
      <c r="A80" s="1">
        <v>45306</v>
      </c>
      <c r="B80" t="s">
        <v>36</v>
      </c>
      <c r="C80" t="s">
        <v>37</v>
      </c>
      <c r="D80" t="s">
        <v>15</v>
      </c>
      <c r="E80" t="s">
        <v>16</v>
      </c>
      <c r="F80" t="s">
        <v>17</v>
      </c>
      <c r="G80">
        <v>1161</v>
      </c>
      <c r="H80">
        <v>1383</v>
      </c>
      <c r="I80">
        <v>19.100000000000001</v>
      </c>
      <c r="J80" t="s">
        <v>55</v>
      </c>
    </row>
    <row r="81" spans="1:10" x14ac:dyDescent="0.35">
      <c r="A81" s="1">
        <v>45306</v>
      </c>
      <c r="B81" t="s">
        <v>36</v>
      </c>
      <c r="C81" t="s">
        <v>37</v>
      </c>
      <c r="D81" t="s">
        <v>18</v>
      </c>
      <c r="E81" t="s">
        <v>19</v>
      </c>
      <c r="F81" t="s">
        <v>20</v>
      </c>
      <c r="G81">
        <v>650</v>
      </c>
      <c r="H81">
        <v>703</v>
      </c>
      <c r="I81">
        <v>8.1999999999999993</v>
      </c>
      <c r="J81" t="s">
        <v>55</v>
      </c>
    </row>
    <row r="82" spans="1:10" x14ac:dyDescent="0.35">
      <c r="A82" s="1">
        <v>45306</v>
      </c>
      <c r="B82" t="s">
        <v>36</v>
      </c>
      <c r="C82" t="s">
        <v>37</v>
      </c>
      <c r="D82" t="s">
        <v>21</v>
      </c>
      <c r="E82" t="s">
        <v>22</v>
      </c>
      <c r="F82" t="s">
        <v>23</v>
      </c>
      <c r="G82">
        <v>1073</v>
      </c>
      <c r="H82">
        <v>1227</v>
      </c>
      <c r="I82">
        <v>14.4</v>
      </c>
      <c r="J82" t="s">
        <v>55</v>
      </c>
    </row>
    <row r="83" spans="1:10" x14ac:dyDescent="0.35">
      <c r="A83" s="1">
        <v>45306</v>
      </c>
      <c r="B83" t="s">
        <v>36</v>
      </c>
      <c r="C83" t="s">
        <v>37</v>
      </c>
      <c r="D83" t="s">
        <v>24</v>
      </c>
      <c r="E83" t="s">
        <v>25</v>
      </c>
      <c r="F83" t="s">
        <v>17</v>
      </c>
      <c r="G83">
        <v>1058</v>
      </c>
      <c r="H83">
        <v>1427</v>
      </c>
      <c r="I83">
        <v>34.9</v>
      </c>
      <c r="J83" t="s">
        <v>55</v>
      </c>
    </row>
    <row r="84" spans="1:10" x14ac:dyDescent="0.35">
      <c r="A84" s="1">
        <v>45306</v>
      </c>
      <c r="B84" t="s">
        <v>36</v>
      </c>
      <c r="C84" t="s">
        <v>37</v>
      </c>
      <c r="D84" t="s">
        <v>26</v>
      </c>
      <c r="E84" t="s">
        <v>27</v>
      </c>
      <c r="F84" t="s">
        <v>20</v>
      </c>
      <c r="G84">
        <v>1189</v>
      </c>
      <c r="H84">
        <v>992</v>
      </c>
      <c r="I84">
        <v>16.600000000000001</v>
      </c>
      <c r="J84" t="s">
        <v>56</v>
      </c>
    </row>
    <row r="85" spans="1:10" x14ac:dyDescent="0.35">
      <c r="A85" s="1">
        <v>45306</v>
      </c>
      <c r="B85" t="s">
        <v>36</v>
      </c>
      <c r="C85" t="s">
        <v>37</v>
      </c>
      <c r="D85" t="s">
        <v>28</v>
      </c>
      <c r="E85" t="s">
        <v>29</v>
      </c>
      <c r="F85" t="s">
        <v>23</v>
      </c>
      <c r="G85">
        <v>845</v>
      </c>
      <c r="H85">
        <v>751</v>
      </c>
      <c r="I85">
        <v>11.1</v>
      </c>
      <c r="J85" t="s">
        <v>56</v>
      </c>
    </row>
    <row r="86" spans="1:10" x14ac:dyDescent="0.35">
      <c r="A86" s="1">
        <v>45306</v>
      </c>
      <c r="B86" t="s">
        <v>39</v>
      </c>
      <c r="C86" t="s">
        <v>40</v>
      </c>
      <c r="D86" t="s">
        <v>15</v>
      </c>
      <c r="E86" t="s">
        <v>16</v>
      </c>
      <c r="F86" t="s">
        <v>17</v>
      </c>
      <c r="G86">
        <v>553</v>
      </c>
      <c r="H86">
        <v>692</v>
      </c>
      <c r="I86">
        <v>25.1</v>
      </c>
      <c r="J86" t="s">
        <v>55</v>
      </c>
    </row>
    <row r="87" spans="1:10" x14ac:dyDescent="0.35">
      <c r="A87" s="1">
        <v>45306</v>
      </c>
      <c r="B87" t="s">
        <v>39</v>
      </c>
      <c r="C87" t="s">
        <v>40</v>
      </c>
      <c r="D87" t="s">
        <v>18</v>
      </c>
      <c r="E87" t="s">
        <v>19</v>
      </c>
      <c r="F87" t="s">
        <v>20</v>
      </c>
      <c r="G87">
        <v>1291</v>
      </c>
      <c r="H87">
        <v>1064</v>
      </c>
      <c r="I87">
        <v>17.600000000000001</v>
      </c>
      <c r="J87" t="s">
        <v>56</v>
      </c>
    </row>
    <row r="88" spans="1:10" x14ac:dyDescent="0.35">
      <c r="A88" s="1">
        <v>45306</v>
      </c>
      <c r="B88" t="s">
        <v>39</v>
      </c>
      <c r="C88" t="s">
        <v>40</v>
      </c>
      <c r="D88" t="s">
        <v>21</v>
      </c>
      <c r="E88" t="s">
        <v>22</v>
      </c>
      <c r="F88" t="s">
        <v>23</v>
      </c>
      <c r="G88">
        <v>803</v>
      </c>
      <c r="H88">
        <v>726</v>
      </c>
      <c r="I88">
        <v>9.6</v>
      </c>
      <c r="J88" t="s">
        <v>56</v>
      </c>
    </row>
    <row r="89" spans="1:10" x14ac:dyDescent="0.35">
      <c r="A89" s="1">
        <v>45306</v>
      </c>
      <c r="B89" t="s">
        <v>39</v>
      </c>
      <c r="C89" t="s">
        <v>40</v>
      </c>
      <c r="D89" t="s">
        <v>24</v>
      </c>
      <c r="E89" t="s">
        <v>25</v>
      </c>
      <c r="F89" t="s">
        <v>17</v>
      </c>
      <c r="G89">
        <v>495</v>
      </c>
      <c r="H89">
        <v>308</v>
      </c>
      <c r="I89">
        <v>37.799999999999997</v>
      </c>
      <c r="J89" t="s">
        <v>56</v>
      </c>
    </row>
    <row r="90" spans="1:10" x14ac:dyDescent="0.35">
      <c r="A90" s="1">
        <v>45306</v>
      </c>
      <c r="B90" t="s">
        <v>39</v>
      </c>
      <c r="C90" t="s">
        <v>40</v>
      </c>
      <c r="D90" t="s">
        <v>26</v>
      </c>
      <c r="E90" t="s">
        <v>27</v>
      </c>
      <c r="F90" t="s">
        <v>20</v>
      </c>
      <c r="G90">
        <v>654</v>
      </c>
      <c r="H90">
        <v>795</v>
      </c>
      <c r="I90">
        <v>21.6</v>
      </c>
      <c r="J90" t="s">
        <v>55</v>
      </c>
    </row>
    <row r="91" spans="1:10" x14ac:dyDescent="0.35">
      <c r="A91" s="1">
        <v>45306</v>
      </c>
      <c r="B91" t="s">
        <v>39</v>
      </c>
      <c r="C91" t="s">
        <v>40</v>
      </c>
      <c r="D91" t="s">
        <v>28</v>
      </c>
      <c r="E91" t="s">
        <v>29</v>
      </c>
      <c r="F91" t="s">
        <v>23</v>
      </c>
      <c r="G91">
        <v>1184</v>
      </c>
      <c r="H91">
        <v>1005</v>
      </c>
      <c r="I91">
        <v>15.1</v>
      </c>
      <c r="J91" t="s">
        <v>56</v>
      </c>
    </row>
    <row r="92" spans="1:10" x14ac:dyDescent="0.35">
      <c r="A92" s="1">
        <v>45313</v>
      </c>
      <c r="B92" t="s">
        <v>12</v>
      </c>
      <c r="C92" t="s">
        <v>13</v>
      </c>
      <c r="D92" t="s">
        <v>15</v>
      </c>
      <c r="E92" t="s">
        <v>16</v>
      </c>
      <c r="F92" t="s">
        <v>17</v>
      </c>
      <c r="G92">
        <v>436</v>
      </c>
      <c r="H92">
        <v>555</v>
      </c>
      <c r="I92">
        <v>27.3</v>
      </c>
      <c r="J92" t="s">
        <v>55</v>
      </c>
    </row>
    <row r="93" spans="1:10" x14ac:dyDescent="0.35">
      <c r="A93" s="1">
        <v>45313</v>
      </c>
      <c r="B93" t="s">
        <v>12</v>
      </c>
      <c r="C93" t="s">
        <v>13</v>
      </c>
      <c r="D93" t="s">
        <v>18</v>
      </c>
      <c r="E93" t="s">
        <v>19</v>
      </c>
      <c r="F93" t="s">
        <v>20</v>
      </c>
      <c r="G93">
        <v>409</v>
      </c>
      <c r="H93">
        <v>264</v>
      </c>
      <c r="I93">
        <v>35.5</v>
      </c>
      <c r="J93" t="s">
        <v>56</v>
      </c>
    </row>
    <row r="94" spans="1:10" x14ac:dyDescent="0.35">
      <c r="A94" s="1">
        <v>45313</v>
      </c>
      <c r="B94" t="s">
        <v>12</v>
      </c>
      <c r="C94" t="s">
        <v>13</v>
      </c>
      <c r="D94" t="s">
        <v>21</v>
      </c>
      <c r="E94" t="s">
        <v>22</v>
      </c>
      <c r="F94" t="s">
        <v>23</v>
      </c>
      <c r="G94">
        <v>1224</v>
      </c>
      <c r="H94">
        <v>1335</v>
      </c>
      <c r="I94">
        <v>9.1</v>
      </c>
      <c r="J94" t="s">
        <v>55</v>
      </c>
    </row>
    <row r="95" spans="1:10" x14ac:dyDescent="0.35">
      <c r="A95" s="1">
        <v>45313</v>
      </c>
      <c r="B95" t="s">
        <v>12</v>
      </c>
      <c r="C95" t="s">
        <v>13</v>
      </c>
      <c r="D95" t="s">
        <v>24</v>
      </c>
      <c r="E95" t="s">
        <v>25</v>
      </c>
      <c r="F95" t="s">
        <v>17</v>
      </c>
      <c r="G95">
        <v>1480</v>
      </c>
      <c r="H95">
        <v>1615</v>
      </c>
      <c r="I95">
        <v>9.1</v>
      </c>
      <c r="J95" t="s">
        <v>55</v>
      </c>
    </row>
    <row r="96" spans="1:10" x14ac:dyDescent="0.35">
      <c r="A96" s="1">
        <v>45313</v>
      </c>
      <c r="B96" t="s">
        <v>12</v>
      </c>
      <c r="C96" t="s">
        <v>13</v>
      </c>
      <c r="D96" t="s">
        <v>26</v>
      </c>
      <c r="E96" t="s">
        <v>27</v>
      </c>
      <c r="F96" t="s">
        <v>20</v>
      </c>
      <c r="G96">
        <v>542</v>
      </c>
      <c r="H96">
        <v>661</v>
      </c>
      <c r="I96">
        <v>22</v>
      </c>
      <c r="J96" t="s">
        <v>55</v>
      </c>
    </row>
    <row r="97" spans="1:10" x14ac:dyDescent="0.35">
      <c r="A97" s="1">
        <v>45313</v>
      </c>
      <c r="B97" t="s">
        <v>12</v>
      </c>
      <c r="C97" t="s">
        <v>13</v>
      </c>
      <c r="D97" t="s">
        <v>28</v>
      </c>
      <c r="E97" t="s">
        <v>29</v>
      </c>
      <c r="F97" t="s">
        <v>23</v>
      </c>
      <c r="G97">
        <v>1250</v>
      </c>
      <c r="H97">
        <v>878</v>
      </c>
      <c r="I97">
        <v>29.8</v>
      </c>
      <c r="J97" t="s">
        <v>56</v>
      </c>
    </row>
    <row r="98" spans="1:10" x14ac:dyDescent="0.35">
      <c r="A98" s="1">
        <v>45313</v>
      </c>
      <c r="B98" t="s">
        <v>30</v>
      </c>
      <c r="C98" t="s">
        <v>31</v>
      </c>
      <c r="D98" t="s">
        <v>15</v>
      </c>
      <c r="E98" t="s">
        <v>16</v>
      </c>
      <c r="F98" t="s">
        <v>17</v>
      </c>
      <c r="G98">
        <v>1108</v>
      </c>
      <c r="H98">
        <v>1329</v>
      </c>
      <c r="I98">
        <v>19.899999999999999</v>
      </c>
      <c r="J98" t="s">
        <v>55</v>
      </c>
    </row>
    <row r="99" spans="1:10" x14ac:dyDescent="0.35">
      <c r="A99" s="1">
        <v>45313</v>
      </c>
      <c r="B99" t="s">
        <v>30</v>
      </c>
      <c r="C99" t="s">
        <v>31</v>
      </c>
      <c r="D99" t="s">
        <v>18</v>
      </c>
      <c r="E99" t="s">
        <v>19</v>
      </c>
      <c r="F99" t="s">
        <v>20</v>
      </c>
      <c r="G99">
        <v>1041</v>
      </c>
      <c r="H99">
        <v>803</v>
      </c>
      <c r="I99">
        <v>22.9</v>
      </c>
      <c r="J99" t="s">
        <v>56</v>
      </c>
    </row>
    <row r="100" spans="1:10" x14ac:dyDescent="0.35">
      <c r="A100" s="1">
        <v>45313</v>
      </c>
      <c r="B100" t="s">
        <v>30</v>
      </c>
      <c r="C100" t="s">
        <v>31</v>
      </c>
      <c r="D100" t="s">
        <v>21</v>
      </c>
      <c r="E100" t="s">
        <v>22</v>
      </c>
      <c r="F100" t="s">
        <v>23</v>
      </c>
      <c r="G100">
        <v>1011</v>
      </c>
      <c r="H100">
        <v>718</v>
      </c>
      <c r="I100">
        <v>29</v>
      </c>
      <c r="J100" t="s">
        <v>56</v>
      </c>
    </row>
    <row r="101" spans="1:10" x14ac:dyDescent="0.35">
      <c r="A101" s="1">
        <v>45313</v>
      </c>
      <c r="B101" t="s">
        <v>30</v>
      </c>
      <c r="C101" t="s">
        <v>31</v>
      </c>
      <c r="D101" t="s">
        <v>24</v>
      </c>
      <c r="E101" t="s">
        <v>25</v>
      </c>
      <c r="F101" t="s">
        <v>17</v>
      </c>
      <c r="G101">
        <v>648</v>
      </c>
      <c r="H101">
        <v>863</v>
      </c>
      <c r="I101">
        <v>33.200000000000003</v>
      </c>
      <c r="J101" t="s">
        <v>55</v>
      </c>
    </row>
    <row r="102" spans="1:10" x14ac:dyDescent="0.35">
      <c r="A102" s="1">
        <v>45313</v>
      </c>
      <c r="B102" t="s">
        <v>30</v>
      </c>
      <c r="C102" t="s">
        <v>31</v>
      </c>
      <c r="D102" t="s">
        <v>26</v>
      </c>
      <c r="E102" t="s">
        <v>27</v>
      </c>
      <c r="F102" t="s">
        <v>20</v>
      </c>
      <c r="G102">
        <v>610</v>
      </c>
      <c r="H102">
        <v>555</v>
      </c>
      <c r="I102">
        <v>9</v>
      </c>
      <c r="J102" t="s">
        <v>56</v>
      </c>
    </row>
    <row r="103" spans="1:10" x14ac:dyDescent="0.35">
      <c r="A103" s="1">
        <v>45313</v>
      </c>
      <c r="B103" t="s">
        <v>30</v>
      </c>
      <c r="C103" t="s">
        <v>31</v>
      </c>
      <c r="D103" t="s">
        <v>28</v>
      </c>
      <c r="E103" t="s">
        <v>29</v>
      </c>
      <c r="F103" t="s">
        <v>23</v>
      </c>
      <c r="G103">
        <v>421</v>
      </c>
      <c r="H103">
        <v>472</v>
      </c>
      <c r="I103">
        <v>12.1</v>
      </c>
      <c r="J103" t="s">
        <v>55</v>
      </c>
    </row>
    <row r="104" spans="1:10" x14ac:dyDescent="0.35">
      <c r="A104" s="1">
        <v>45313</v>
      </c>
      <c r="B104" t="s">
        <v>33</v>
      </c>
      <c r="C104" t="s">
        <v>34</v>
      </c>
      <c r="D104" t="s">
        <v>15</v>
      </c>
      <c r="E104" t="s">
        <v>16</v>
      </c>
      <c r="F104" t="s">
        <v>17</v>
      </c>
      <c r="G104">
        <v>1292</v>
      </c>
      <c r="H104">
        <v>1100</v>
      </c>
      <c r="I104">
        <v>14.9</v>
      </c>
      <c r="J104" t="s">
        <v>56</v>
      </c>
    </row>
    <row r="105" spans="1:10" x14ac:dyDescent="0.35">
      <c r="A105" s="1">
        <v>45313</v>
      </c>
      <c r="B105" t="s">
        <v>33</v>
      </c>
      <c r="C105" t="s">
        <v>34</v>
      </c>
      <c r="D105" t="s">
        <v>18</v>
      </c>
      <c r="E105" t="s">
        <v>19</v>
      </c>
      <c r="F105" t="s">
        <v>20</v>
      </c>
      <c r="G105">
        <v>1155</v>
      </c>
      <c r="H105">
        <v>1530</v>
      </c>
      <c r="I105">
        <v>32.5</v>
      </c>
      <c r="J105" t="s">
        <v>55</v>
      </c>
    </row>
    <row r="106" spans="1:10" x14ac:dyDescent="0.35">
      <c r="A106" s="1">
        <v>45313</v>
      </c>
      <c r="B106" t="s">
        <v>33</v>
      </c>
      <c r="C106" t="s">
        <v>34</v>
      </c>
      <c r="D106" t="s">
        <v>21</v>
      </c>
      <c r="E106" t="s">
        <v>22</v>
      </c>
      <c r="F106" t="s">
        <v>23</v>
      </c>
      <c r="G106">
        <v>410</v>
      </c>
      <c r="H106">
        <v>557</v>
      </c>
      <c r="I106">
        <v>35.9</v>
      </c>
      <c r="J106" t="s">
        <v>55</v>
      </c>
    </row>
    <row r="107" spans="1:10" x14ac:dyDescent="0.35">
      <c r="A107" s="1">
        <v>45313</v>
      </c>
      <c r="B107" t="s">
        <v>33</v>
      </c>
      <c r="C107" t="s">
        <v>34</v>
      </c>
      <c r="D107" t="s">
        <v>24</v>
      </c>
      <c r="E107" t="s">
        <v>25</v>
      </c>
      <c r="F107" t="s">
        <v>17</v>
      </c>
      <c r="G107">
        <v>931</v>
      </c>
      <c r="H107">
        <v>609</v>
      </c>
      <c r="I107">
        <v>34.6</v>
      </c>
      <c r="J107" t="s">
        <v>56</v>
      </c>
    </row>
    <row r="108" spans="1:10" x14ac:dyDescent="0.35">
      <c r="A108" s="1">
        <v>45313</v>
      </c>
      <c r="B108" t="s">
        <v>33</v>
      </c>
      <c r="C108" t="s">
        <v>34</v>
      </c>
      <c r="D108" t="s">
        <v>26</v>
      </c>
      <c r="E108" t="s">
        <v>27</v>
      </c>
      <c r="F108" t="s">
        <v>20</v>
      </c>
      <c r="G108">
        <v>498</v>
      </c>
      <c r="H108">
        <v>316</v>
      </c>
      <c r="I108">
        <v>36.5</v>
      </c>
      <c r="J108" t="s">
        <v>56</v>
      </c>
    </row>
    <row r="109" spans="1:10" x14ac:dyDescent="0.35">
      <c r="A109" s="1">
        <v>45313</v>
      </c>
      <c r="B109" t="s">
        <v>33</v>
      </c>
      <c r="C109" t="s">
        <v>34</v>
      </c>
      <c r="D109" t="s">
        <v>28</v>
      </c>
      <c r="E109" t="s">
        <v>29</v>
      </c>
      <c r="F109" t="s">
        <v>23</v>
      </c>
      <c r="G109">
        <v>1074</v>
      </c>
      <c r="H109">
        <v>1381</v>
      </c>
      <c r="I109">
        <v>28.6</v>
      </c>
      <c r="J109" t="s">
        <v>55</v>
      </c>
    </row>
    <row r="110" spans="1:10" x14ac:dyDescent="0.35">
      <c r="A110" s="1">
        <v>45313</v>
      </c>
      <c r="B110" t="s">
        <v>36</v>
      </c>
      <c r="C110" t="s">
        <v>37</v>
      </c>
      <c r="D110" t="s">
        <v>15</v>
      </c>
      <c r="E110" t="s">
        <v>16</v>
      </c>
      <c r="F110" t="s">
        <v>17</v>
      </c>
      <c r="G110">
        <v>1177</v>
      </c>
      <c r="H110">
        <v>987</v>
      </c>
      <c r="I110">
        <v>16.100000000000001</v>
      </c>
      <c r="J110" t="s">
        <v>56</v>
      </c>
    </row>
    <row r="111" spans="1:10" x14ac:dyDescent="0.35">
      <c r="A111" s="1">
        <v>45313</v>
      </c>
      <c r="B111" t="s">
        <v>36</v>
      </c>
      <c r="C111" t="s">
        <v>37</v>
      </c>
      <c r="D111" t="s">
        <v>18</v>
      </c>
      <c r="E111" t="s">
        <v>19</v>
      </c>
      <c r="F111" t="s">
        <v>20</v>
      </c>
      <c r="G111">
        <v>682</v>
      </c>
      <c r="H111">
        <v>508</v>
      </c>
      <c r="I111">
        <v>25.5</v>
      </c>
      <c r="J111" t="s">
        <v>56</v>
      </c>
    </row>
    <row r="112" spans="1:10" x14ac:dyDescent="0.35">
      <c r="A112" s="1">
        <v>45313</v>
      </c>
      <c r="B112" t="s">
        <v>36</v>
      </c>
      <c r="C112" t="s">
        <v>37</v>
      </c>
      <c r="D112" t="s">
        <v>21</v>
      </c>
      <c r="E112" t="s">
        <v>22</v>
      </c>
      <c r="F112" t="s">
        <v>23</v>
      </c>
      <c r="G112">
        <v>1053</v>
      </c>
      <c r="H112">
        <v>1409</v>
      </c>
      <c r="I112">
        <v>33.799999999999997</v>
      </c>
      <c r="J112" t="s">
        <v>55</v>
      </c>
    </row>
    <row r="113" spans="1:10" x14ac:dyDescent="0.35">
      <c r="A113" s="1">
        <v>45313</v>
      </c>
      <c r="B113" t="s">
        <v>36</v>
      </c>
      <c r="C113" t="s">
        <v>37</v>
      </c>
      <c r="D113" t="s">
        <v>24</v>
      </c>
      <c r="E113" t="s">
        <v>25</v>
      </c>
      <c r="F113" t="s">
        <v>17</v>
      </c>
      <c r="G113">
        <v>1246</v>
      </c>
      <c r="H113">
        <v>1583</v>
      </c>
      <c r="I113">
        <v>27</v>
      </c>
      <c r="J113" t="s">
        <v>55</v>
      </c>
    </row>
    <row r="114" spans="1:10" x14ac:dyDescent="0.35">
      <c r="A114" s="1">
        <v>45313</v>
      </c>
      <c r="B114" t="s">
        <v>36</v>
      </c>
      <c r="C114" t="s">
        <v>37</v>
      </c>
      <c r="D114" t="s">
        <v>26</v>
      </c>
      <c r="E114" t="s">
        <v>27</v>
      </c>
      <c r="F114" t="s">
        <v>20</v>
      </c>
      <c r="G114">
        <v>1468</v>
      </c>
      <c r="H114">
        <v>1817</v>
      </c>
      <c r="I114">
        <v>23.8</v>
      </c>
      <c r="J114" t="s">
        <v>55</v>
      </c>
    </row>
    <row r="115" spans="1:10" x14ac:dyDescent="0.35">
      <c r="A115" s="1">
        <v>45313</v>
      </c>
      <c r="B115" t="s">
        <v>36</v>
      </c>
      <c r="C115" t="s">
        <v>37</v>
      </c>
      <c r="D115" t="s">
        <v>28</v>
      </c>
      <c r="E115" t="s">
        <v>29</v>
      </c>
      <c r="F115" t="s">
        <v>23</v>
      </c>
      <c r="G115">
        <v>1403</v>
      </c>
      <c r="H115">
        <v>879</v>
      </c>
      <c r="I115">
        <v>37.299999999999997</v>
      </c>
      <c r="J115" t="s">
        <v>56</v>
      </c>
    </row>
    <row r="116" spans="1:10" x14ac:dyDescent="0.35">
      <c r="A116" s="1">
        <v>45313</v>
      </c>
      <c r="B116" t="s">
        <v>39</v>
      </c>
      <c r="C116" t="s">
        <v>40</v>
      </c>
      <c r="D116" t="s">
        <v>15</v>
      </c>
      <c r="E116" t="s">
        <v>16</v>
      </c>
      <c r="F116" t="s">
        <v>17</v>
      </c>
      <c r="G116">
        <v>1388</v>
      </c>
      <c r="H116">
        <v>1182</v>
      </c>
      <c r="I116">
        <v>14.8</v>
      </c>
      <c r="J116" t="s">
        <v>56</v>
      </c>
    </row>
    <row r="117" spans="1:10" x14ac:dyDescent="0.35">
      <c r="A117" s="1">
        <v>45313</v>
      </c>
      <c r="B117" t="s">
        <v>39</v>
      </c>
      <c r="C117" t="s">
        <v>40</v>
      </c>
      <c r="D117" t="s">
        <v>18</v>
      </c>
      <c r="E117" t="s">
        <v>19</v>
      </c>
      <c r="F117" t="s">
        <v>20</v>
      </c>
      <c r="G117">
        <v>1006</v>
      </c>
      <c r="H117">
        <v>710</v>
      </c>
      <c r="I117">
        <v>29.4</v>
      </c>
      <c r="J117" t="s">
        <v>56</v>
      </c>
    </row>
    <row r="118" spans="1:10" x14ac:dyDescent="0.35">
      <c r="A118" s="1">
        <v>45313</v>
      </c>
      <c r="B118" t="s">
        <v>39</v>
      </c>
      <c r="C118" t="s">
        <v>40</v>
      </c>
      <c r="D118" t="s">
        <v>21</v>
      </c>
      <c r="E118" t="s">
        <v>22</v>
      </c>
      <c r="F118" t="s">
        <v>23</v>
      </c>
      <c r="G118">
        <v>896</v>
      </c>
      <c r="H118">
        <v>1144</v>
      </c>
      <c r="I118">
        <v>27.7</v>
      </c>
      <c r="J118" t="s">
        <v>55</v>
      </c>
    </row>
    <row r="119" spans="1:10" x14ac:dyDescent="0.35">
      <c r="A119" s="1">
        <v>45313</v>
      </c>
      <c r="B119" t="s">
        <v>39</v>
      </c>
      <c r="C119" t="s">
        <v>40</v>
      </c>
      <c r="D119" t="s">
        <v>24</v>
      </c>
      <c r="E119" t="s">
        <v>25</v>
      </c>
      <c r="F119" t="s">
        <v>17</v>
      </c>
      <c r="G119">
        <v>821</v>
      </c>
      <c r="H119">
        <v>584</v>
      </c>
      <c r="I119">
        <v>28.9</v>
      </c>
      <c r="J119" t="s">
        <v>56</v>
      </c>
    </row>
    <row r="120" spans="1:10" x14ac:dyDescent="0.35">
      <c r="A120" s="1">
        <v>45313</v>
      </c>
      <c r="B120" t="s">
        <v>39</v>
      </c>
      <c r="C120" t="s">
        <v>40</v>
      </c>
      <c r="D120" t="s">
        <v>26</v>
      </c>
      <c r="E120" t="s">
        <v>27</v>
      </c>
      <c r="F120" t="s">
        <v>20</v>
      </c>
      <c r="G120">
        <v>1412</v>
      </c>
      <c r="H120">
        <v>1273</v>
      </c>
      <c r="I120">
        <v>9.8000000000000007</v>
      </c>
      <c r="J120" t="s">
        <v>56</v>
      </c>
    </row>
    <row r="121" spans="1:10" x14ac:dyDescent="0.35">
      <c r="A121" s="1">
        <v>45313</v>
      </c>
      <c r="B121" t="s">
        <v>39</v>
      </c>
      <c r="C121" t="s">
        <v>40</v>
      </c>
      <c r="D121" t="s">
        <v>28</v>
      </c>
      <c r="E121" t="s">
        <v>29</v>
      </c>
      <c r="F121" t="s">
        <v>23</v>
      </c>
      <c r="G121">
        <v>842</v>
      </c>
      <c r="H121">
        <v>656</v>
      </c>
      <c r="I121">
        <v>22.1</v>
      </c>
      <c r="J121" t="s">
        <v>56</v>
      </c>
    </row>
    <row r="122" spans="1:10" x14ac:dyDescent="0.35">
      <c r="A122" s="1">
        <v>45320</v>
      </c>
      <c r="B122" t="s">
        <v>12</v>
      </c>
      <c r="C122" t="s">
        <v>13</v>
      </c>
      <c r="D122" t="s">
        <v>15</v>
      </c>
      <c r="E122" t="s">
        <v>16</v>
      </c>
      <c r="F122" t="s">
        <v>17</v>
      </c>
      <c r="G122">
        <v>1398</v>
      </c>
      <c r="H122">
        <v>1242</v>
      </c>
      <c r="I122">
        <v>11.2</v>
      </c>
      <c r="J122" t="s">
        <v>56</v>
      </c>
    </row>
    <row r="123" spans="1:10" x14ac:dyDescent="0.35">
      <c r="A123" s="1">
        <v>45320</v>
      </c>
      <c r="B123" t="s">
        <v>12</v>
      </c>
      <c r="C123" t="s">
        <v>13</v>
      </c>
      <c r="D123" t="s">
        <v>18</v>
      </c>
      <c r="E123" t="s">
        <v>19</v>
      </c>
      <c r="F123" t="s">
        <v>20</v>
      </c>
      <c r="G123">
        <v>1480</v>
      </c>
      <c r="H123">
        <v>1133</v>
      </c>
      <c r="I123">
        <v>23.4</v>
      </c>
      <c r="J123" t="s">
        <v>56</v>
      </c>
    </row>
    <row r="124" spans="1:10" x14ac:dyDescent="0.35">
      <c r="A124" s="1">
        <v>45320</v>
      </c>
      <c r="B124" t="s">
        <v>12</v>
      </c>
      <c r="C124" t="s">
        <v>13</v>
      </c>
      <c r="D124" t="s">
        <v>21</v>
      </c>
      <c r="E124" t="s">
        <v>22</v>
      </c>
      <c r="F124" t="s">
        <v>23</v>
      </c>
      <c r="G124">
        <v>1038</v>
      </c>
      <c r="H124">
        <v>1341</v>
      </c>
      <c r="I124">
        <v>29.2</v>
      </c>
      <c r="J124" t="s">
        <v>55</v>
      </c>
    </row>
    <row r="125" spans="1:10" x14ac:dyDescent="0.35">
      <c r="A125" s="1">
        <v>45320</v>
      </c>
      <c r="B125" t="s">
        <v>12</v>
      </c>
      <c r="C125" t="s">
        <v>13</v>
      </c>
      <c r="D125" t="s">
        <v>24</v>
      </c>
      <c r="E125" t="s">
        <v>25</v>
      </c>
      <c r="F125" t="s">
        <v>17</v>
      </c>
      <c r="G125">
        <v>1433</v>
      </c>
      <c r="H125">
        <v>1272</v>
      </c>
      <c r="I125">
        <v>11.2</v>
      </c>
      <c r="J125" t="s">
        <v>56</v>
      </c>
    </row>
    <row r="126" spans="1:10" x14ac:dyDescent="0.35">
      <c r="A126" s="1">
        <v>45320</v>
      </c>
      <c r="B126" t="s">
        <v>12</v>
      </c>
      <c r="C126" t="s">
        <v>13</v>
      </c>
      <c r="D126" t="s">
        <v>26</v>
      </c>
      <c r="E126" t="s">
        <v>27</v>
      </c>
      <c r="F126" t="s">
        <v>20</v>
      </c>
      <c r="G126">
        <v>1144</v>
      </c>
      <c r="H126">
        <v>920</v>
      </c>
      <c r="I126">
        <v>19.600000000000001</v>
      </c>
      <c r="J126" t="s">
        <v>56</v>
      </c>
    </row>
    <row r="127" spans="1:10" x14ac:dyDescent="0.35">
      <c r="A127" s="1">
        <v>45320</v>
      </c>
      <c r="B127" t="s">
        <v>12</v>
      </c>
      <c r="C127" t="s">
        <v>13</v>
      </c>
      <c r="D127" t="s">
        <v>28</v>
      </c>
      <c r="E127" t="s">
        <v>29</v>
      </c>
      <c r="F127" t="s">
        <v>23</v>
      </c>
      <c r="G127">
        <v>1451</v>
      </c>
      <c r="H127">
        <v>1246</v>
      </c>
      <c r="I127">
        <v>14.1</v>
      </c>
      <c r="J127" t="s">
        <v>56</v>
      </c>
    </row>
    <row r="128" spans="1:10" x14ac:dyDescent="0.35">
      <c r="A128" s="1">
        <v>45320</v>
      </c>
      <c r="B128" t="s">
        <v>30</v>
      </c>
      <c r="C128" t="s">
        <v>31</v>
      </c>
      <c r="D128" t="s">
        <v>15</v>
      </c>
      <c r="E128" t="s">
        <v>16</v>
      </c>
      <c r="F128" t="s">
        <v>17</v>
      </c>
      <c r="G128">
        <v>540</v>
      </c>
      <c r="H128">
        <v>451</v>
      </c>
      <c r="I128">
        <v>16.5</v>
      </c>
      <c r="J128" t="s">
        <v>56</v>
      </c>
    </row>
    <row r="129" spans="1:10" x14ac:dyDescent="0.35">
      <c r="A129" s="1">
        <v>45320</v>
      </c>
      <c r="B129" t="s">
        <v>30</v>
      </c>
      <c r="C129" t="s">
        <v>31</v>
      </c>
      <c r="D129" t="s">
        <v>18</v>
      </c>
      <c r="E129" t="s">
        <v>19</v>
      </c>
      <c r="F129" t="s">
        <v>20</v>
      </c>
      <c r="G129">
        <v>1029</v>
      </c>
      <c r="H129">
        <v>1405</v>
      </c>
      <c r="I129">
        <v>36.5</v>
      </c>
      <c r="J129" t="s">
        <v>55</v>
      </c>
    </row>
    <row r="130" spans="1:10" x14ac:dyDescent="0.35">
      <c r="A130" s="1">
        <v>45320</v>
      </c>
      <c r="B130" t="s">
        <v>30</v>
      </c>
      <c r="C130" t="s">
        <v>31</v>
      </c>
      <c r="D130" t="s">
        <v>21</v>
      </c>
      <c r="E130" t="s">
        <v>22</v>
      </c>
      <c r="F130" t="s">
        <v>23</v>
      </c>
      <c r="G130">
        <v>609</v>
      </c>
      <c r="H130">
        <v>684</v>
      </c>
      <c r="I130">
        <v>12.3</v>
      </c>
      <c r="J130" t="s">
        <v>55</v>
      </c>
    </row>
    <row r="131" spans="1:10" x14ac:dyDescent="0.35">
      <c r="A131" s="1">
        <v>45320</v>
      </c>
      <c r="B131" t="s">
        <v>30</v>
      </c>
      <c r="C131" t="s">
        <v>31</v>
      </c>
      <c r="D131" t="s">
        <v>24</v>
      </c>
      <c r="E131" t="s">
        <v>25</v>
      </c>
      <c r="F131" t="s">
        <v>17</v>
      </c>
      <c r="G131">
        <v>625</v>
      </c>
      <c r="H131">
        <v>720</v>
      </c>
      <c r="I131">
        <v>15.2</v>
      </c>
      <c r="J131" t="s">
        <v>55</v>
      </c>
    </row>
    <row r="132" spans="1:10" x14ac:dyDescent="0.35">
      <c r="A132" s="1">
        <v>45320</v>
      </c>
      <c r="B132" t="s">
        <v>30</v>
      </c>
      <c r="C132" t="s">
        <v>31</v>
      </c>
      <c r="D132" t="s">
        <v>26</v>
      </c>
      <c r="E132" t="s">
        <v>27</v>
      </c>
      <c r="F132" t="s">
        <v>20</v>
      </c>
      <c r="G132">
        <v>783</v>
      </c>
      <c r="H132">
        <v>657</v>
      </c>
      <c r="I132">
        <v>16.100000000000001</v>
      </c>
      <c r="J132" t="s">
        <v>56</v>
      </c>
    </row>
    <row r="133" spans="1:10" x14ac:dyDescent="0.35">
      <c r="A133" s="1">
        <v>45320</v>
      </c>
      <c r="B133" t="s">
        <v>30</v>
      </c>
      <c r="C133" t="s">
        <v>31</v>
      </c>
      <c r="D133" t="s">
        <v>28</v>
      </c>
      <c r="E133" t="s">
        <v>29</v>
      </c>
      <c r="F133" t="s">
        <v>23</v>
      </c>
      <c r="G133">
        <v>1487</v>
      </c>
      <c r="H133">
        <v>1166</v>
      </c>
      <c r="I133">
        <v>21.6</v>
      </c>
      <c r="J133" t="s">
        <v>56</v>
      </c>
    </row>
    <row r="134" spans="1:10" x14ac:dyDescent="0.35">
      <c r="A134" s="1">
        <v>45320</v>
      </c>
      <c r="B134" t="s">
        <v>33</v>
      </c>
      <c r="C134" t="s">
        <v>34</v>
      </c>
      <c r="D134" t="s">
        <v>15</v>
      </c>
      <c r="E134" t="s">
        <v>16</v>
      </c>
      <c r="F134" t="s">
        <v>17</v>
      </c>
      <c r="G134">
        <v>1527</v>
      </c>
      <c r="H134">
        <v>1366</v>
      </c>
      <c r="I134">
        <v>10.5</v>
      </c>
      <c r="J134" t="s">
        <v>56</v>
      </c>
    </row>
    <row r="135" spans="1:10" x14ac:dyDescent="0.35">
      <c r="A135" s="1">
        <v>45320</v>
      </c>
      <c r="B135" t="s">
        <v>33</v>
      </c>
      <c r="C135" t="s">
        <v>34</v>
      </c>
      <c r="D135" t="s">
        <v>18</v>
      </c>
      <c r="E135" t="s">
        <v>19</v>
      </c>
      <c r="F135" t="s">
        <v>20</v>
      </c>
      <c r="G135">
        <v>708</v>
      </c>
      <c r="H135">
        <v>567</v>
      </c>
      <c r="I135">
        <v>19.899999999999999</v>
      </c>
      <c r="J135" t="s">
        <v>56</v>
      </c>
    </row>
    <row r="136" spans="1:10" x14ac:dyDescent="0.35">
      <c r="A136" s="1">
        <v>45320</v>
      </c>
      <c r="B136" t="s">
        <v>33</v>
      </c>
      <c r="C136" t="s">
        <v>34</v>
      </c>
      <c r="D136" t="s">
        <v>21</v>
      </c>
      <c r="E136" t="s">
        <v>22</v>
      </c>
      <c r="F136" t="s">
        <v>23</v>
      </c>
      <c r="G136">
        <v>1083</v>
      </c>
      <c r="H136">
        <v>979</v>
      </c>
      <c r="I136">
        <v>9.6</v>
      </c>
      <c r="J136" t="s">
        <v>56</v>
      </c>
    </row>
    <row r="137" spans="1:10" x14ac:dyDescent="0.35">
      <c r="A137" s="1">
        <v>45320</v>
      </c>
      <c r="B137" t="s">
        <v>33</v>
      </c>
      <c r="C137" t="s">
        <v>34</v>
      </c>
      <c r="D137" t="s">
        <v>24</v>
      </c>
      <c r="E137" t="s">
        <v>25</v>
      </c>
      <c r="F137" t="s">
        <v>17</v>
      </c>
      <c r="G137">
        <v>600</v>
      </c>
      <c r="H137">
        <v>543</v>
      </c>
      <c r="I137">
        <v>9.5</v>
      </c>
      <c r="J137" t="s">
        <v>56</v>
      </c>
    </row>
    <row r="138" spans="1:10" x14ac:dyDescent="0.35">
      <c r="A138" s="1">
        <v>45320</v>
      </c>
      <c r="B138" t="s">
        <v>33</v>
      </c>
      <c r="C138" t="s">
        <v>34</v>
      </c>
      <c r="D138" t="s">
        <v>26</v>
      </c>
      <c r="E138" t="s">
        <v>27</v>
      </c>
      <c r="F138" t="s">
        <v>20</v>
      </c>
      <c r="G138">
        <v>1265</v>
      </c>
      <c r="H138">
        <v>1090</v>
      </c>
      <c r="I138">
        <v>13.8</v>
      </c>
      <c r="J138" t="s">
        <v>56</v>
      </c>
    </row>
    <row r="139" spans="1:10" x14ac:dyDescent="0.35">
      <c r="A139" s="1">
        <v>45320</v>
      </c>
      <c r="B139" t="s">
        <v>33</v>
      </c>
      <c r="C139" t="s">
        <v>34</v>
      </c>
      <c r="D139" t="s">
        <v>28</v>
      </c>
      <c r="E139" t="s">
        <v>29</v>
      </c>
      <c r="F139" t="s">
        <v>23</v>
      </c>
      <c r="G139">
        <v>761</v>
      </c>
      <c r="H139">
        <v>957</v>
      </c>
      <c r="I139">
        <v>25.8</v>
      </c>
      <c r="J139" t="s">
        <v>55</v>
      </c>
    </row>
    <row r="140" spans="1:10" x14ac:dyDescent="0.35">
      <c r="A140" s="1">
        <v>45320</v>
      </c>
      <c r="B140" t="s">
        <v>36</v>
      </c>
      <c r="C140" t="s">
        <v>37</v>
      </c>
      <c r="D140" t="s">
        <v>15</v>
      </c>
      <c r="E140" t="s">
        <v>16</v>
      </c>
      <c r="F140" t="s">
        <v>17</v>
      </c>
      <c r="G140">
        <v>1410</v>
      </c>
      <c r="H140">
        <v>1077</v>
      </c>
      <c r="I140">
        <v>23.6</v>
      </c>
      <c r="J140" t="s">
        <v>56</v>
      </c>
    </row>
    <row r="141" spans="1:10" x14ac:dyDescent="0.35">
      <c r="A141" s="1">
        <v>45320</v>
      </c>
      <c r="B141" t="s">
        <v>36</v>
      </c>
      <c r="C141" t="s">
        <v>37</v>
      </c>
      <c r="D141" t="s">
        <v>18</v>
      </c>
      <c r="E141" t="s">
        <v>19</v>
      </c>
      <c r="F141" t="s">
        <v>20</v>
      </c>
      <c r="G141">
        <v>502</v>
      </c>
      <c r="H141">
        <v>639</v>
      </c>
      <c r="I141">
        <v>27.3</v>
      </c>
      <c r="J141" t="s">
        <v>55</v>
      </c>
    </row>
    <row r="142" spans="1:10" x14ac:dyDescent="0.35">
      <c r="A142" s="1">
        <v>45320</v>
      </c>
      <c r="B142" t="s">
        <v>36</v>
      </c>
      <c r="C142" t="s">
        <v>37</v>
      </c>
      <c r="D142" t="s">
        <v>21</v>
      </c>
      <c r="E142" t="s">
        <v>22</v>
      </c>
      <c r="F142" t="s">
        <v>23</v>
      </c>
      <c r="G142">
        <v>849</v>
      </c>
      <c r="H142">
        <v>946</v>
      </c>
      <c r="I142">
        <v>11.4</v>
      </c>
      <c r="J142" t="s">
        <v>55</v>
      </c>
    </row>
    <row r="143" spans="1:10" x14ac:dyDescent="0.35">
      <c r="A143" s="1">
        <v>45320</v>
      </c>
      <c r="B143" t="s">
        <v>36</v>
      </c>
      <c r="C143" t="s">
        <v>37</v>
      </c>
      <c r="D143" t="s">
        <v>24</v>
      </c>
      <c r="E143" t="s">
        <v>25</v>
      </c>
      <c r="F143" t="s">
        <v>17</v>
      </c>
      <c r="G143">
        <v>1578</v>
      </c>
      <c r="H143">
        <v>1325</v>
      </c>
      <c r="I143">
        <v>16</v>
      </c>
      <c r="J143" t="s">
        <v>56</v>
      </c>
    </row>
    <row r="144" spans="1:10" x14ac:dyDescent="0.35">
      <c r="A144" s="1">
        <v>45320</v>
      </c>
      <c r="B144" t="s">
        <v>36</v>
      </c>
      <c r="C144" t="s">
        <v>37</v>
      </c>
      <c r="D144" t="s">
        <v>26</v>
      </c>
      <c r="E144" t="s">
        <v>27</v>
      </c>
      <c r="F144" t="s">
        <v>20</v>
      </c>
      <c r="G144">
        <v>606</v>
      </c>
      <c r="H144">
        <v>704</v>
      </c>
      <c r="I144">
        <v>16.2</v>
      </c>
      <c r="J144" t="s">
        <v>55</v>
      </c>
    </row>
    <row r="145" spans="1:10" x14ac:dyDescent="0.35">
      <c r="A145" s="1">
        <v>45320</v>
      </c>
      <c r="B145" t="s">
        <v>36</v>
      </c>
      <c r="C145" t="s">
        <v>37</v>
      </c>
      <c r="D145" t="s">
        <v>28</v>
      </c>
      <c r="E145" t="s">
        <v>29</v>
      </c>
      <c r="F145" t="s">
        <v>23</v>
      </c>
      <c r="G145">
        <v>1228</v>
      </c>
      <c r="H145">
        <v>985</v>
      </c>
      <c r="I145">
        <v>19.8</v>
      </c>
      <c r="J145" t="s">
        <v>56</v>
      </c>
    </row>
    <row r="146" spans="1:10" x14ac:dyDescent="0.35">
      <c r="A146" s="1">
        <v>45320</v>
      </c>
      <c r="B146" t="s">
        <v>39</v>
      </c>
      <c r="C146" t="s">
        <v>40</v>
      </c>
      <c r="D146" t="s">
        <v>15</v>
      </c>
      <c r="E146" t="s">
        <v>16</v>
      </c>
      <c r="F146" t="s">
        <v>17</v>
      </c>
      <c r="G146">
        <v>949</v>
      </c>
      <c r="H146">
        <v>732</v>
      </c>
      <c r="I146">
        <v>22.9</v>
      </c>
      <c r="J146" t="s">
        <v>56</v>
      </c>
    </row>
    <row r="147" spans="1:10" x14ac:dyDescent="0.35">
      <c r="A147" s="1">
        <v>45320</v>
      </c>
      <c r="B147" t="s">
        <v>39</v>
      </c>
      <c r="C147" t="s">
        <v>40</v>
      </c>
      <c r="D147" t="s">
        <v>18</v>
      </c>
      <c r="E147" t="s">
        <v>19</v>
      </c>
      <c r="F147" t="s">
        <v>20</v>
      </c>
      <c r="G147">
        <v>816</v>
      </c>
      <c r="H147">
        <v>665</v>
      </c>
      <c r="I147">
        <v>18.5</v>
      </c>
      <c r="J147" t="s">
        <v>56</v>
      </c>
    </row>
    <row r="148" spans="1:10" x14ac:dyDescent="0.35">
      <c r="A148" s="1">
        <v>45320</v>
      </c>
      <c r="B148" t="s">
        <v>39</v>
      </c>
      <c r="C148" t="s">
        <v>40</v>
      </c>
      <c r="D148" t="s">
        <v>21</v>
      </c>
      <c r="E148" t="s">
        <v>22</v>
      </c>
      <c r="F148" t="s">
        <v>23</v>
      </c>
      <c r="G148">
        <v>989</v>
      </c>
      <c r="H148">
        <v>692</v>
      </c>
      <c r="I148">
        <v>30</v>
      </c>
      <c r="J148" t="s">
        <v>56</v>
      </c>
    </row>
    <row r="149" spans="1:10" x14ac:dyDescent="0.35">
      <c r="A149" s="1">
        <v>45320</v>
      </c>
      <c r="B149" t="s">
        <v>39</v>
      </c>
      <c r="C149" t="s">
        <v>40</v>
      </c>
      <c r="D149" t="s">
        <v>24</v>
      </c>
      <c r="E149" t="s">
        <v>25</v>
      </c>
      <c r="F149" t="s">
        <v>17</v>
      </c>
      <c r="G149">
        <v>1430</v>
      </c>
      <c r="H149">
        <v>1933</v>
      </c>
      <c r="I149">
        <v>35.200000000000003</v>
      </c>
      <c r="J149" t="s">
        <v>55</v>
      </c>
    </row>
    <row r="150" spans="1:10" x14ac:dyDescent="0.35">
      <c r="A150" s="1">
        <v>45320</v>
      </c>
      <c r="B150" t="s">
        <v>39</v>
      </c>
      <c r="C150" t="s">
        <v>40</v>
      </c>
      <c r="D150" t="s">
        <v>26</v>
      </c>
      <c r="E150" t="s">
        <v>27</v>
      </c>
      <c r="F150" t="s">
        <v>20</v>
      </c>
      <c r="G150">
        <v>1025</v>
      </c>
      <c r="H150">
        <v>1369</v>
      </c>
      <c r="I150">
        <v>33.6</v>
      </c>
      <c r="J150" t="s">
        <v>55</v>
      </c>
    </row>
    <row r="151" spans="1:10" x14ac:dyDescent="0.35">
      <c r="A151" s="1">
        <v>45320</v>
      </c>
      <c r="B151" t="s">
        <v>39</v>
      </c>
      <c r="C151" t="s">
        <v>40</v>
      </c>
      <c r="D151" t="s">
        <v>28</v>
      </c>
      <c r="E151" t="s">
        <v>29</v>
      </c>
      <c r="F151" t="s">
        <v>23</v>
      </c>
      <c r="G151">
        <v>748</v>
      </c>
      <c r="H151">
        <v>617</v>
      </c>
      <c r="I151">
        <v>17.5</v>
      </c>
      <c r="J151" t="s">
        <v>56</v>
      </c>
    </row>
    <row r="152" spans="1:10" x14ac:dyDescent="0.35">
      <c r="A152" s="1">
        <v>45327</v>
      </c>
      <c r="B152" t="s">
        <v>12</v>
      </c>
      <c r="C152" t="s">
        <v>13</v>
      </c>
      <c r="D152" t="s">
        <v>15</v>
      </c>
      <c r="E152" t="s">
        <v>16</v>
      </c>
      <c r="F152" t="s">
        <v>17</v>
      </c>
      <c r="G152">
        <v>783</v>
      </c>
      <c r="H152">
        <v>642</v>
      </c>
      <c r="I152">
        <v>18</v>
      </c>
      <c r="J152" t="s">
        <v>56</v>
      </c>
    </row>
    <row r="153" spans="1:10" x14ac:dyDescent="0.35">
      <c r="A153" s="1">
        <v>45327</v>
      </c>
      <c r="B153" t="s">
        <v>12</v>
      </c>
      <c r="C153" t="s">
        <v>13</v>
      </c>
      <c r="D153" t="s">
        <v>18</v>
      </c>
      <c r="E153" t="s">
        <v>19</v>
      </c>
      <c r="F153" t="s">
        <v>20</v>
      </c>
      <c r="G153">
        <v>426</v>
      </c>
      <c r="H153">
        <v>306</v>
      </c>
      <c r="I153">
        <v>28.2</v>
      </c>
      <c r="J153" t="s">
        <v>56</v>
      </c>
    </row>
    <row r="154" spans="1:10" x14ac:dyDescent="0.35">
      <c r="A154" s="1">
        <v>45327</v>
      </c>
      <c r="B154" t="s">
        <v>12</v>
      </c>
      <c r="C154" t="s">
        <v>13</v>
      </c>
      <c r="D154" t="s">
        <v>21</v>
      </c>
      <c r="E154" t="s">
        <v>22</v>
      </c>
      <c r="F154" t="s">
        <v>23</v>
      </c>
      <c r="G154">
        <v>442</v>
      </c>
      <c r="H154">
        <v>383</v>
      </c>
      <c r="I154">
        <v>13.3</v>
      </c>
      <c r="J154" t="s">
        <v>56</v>
      </c>
    </row>
    <row r="155" spans="1:10" x14ac:dyDescent="0.35">
      <c r="A155" s="1">
        <v>45327</v>
      </c>
      <c r="B155" t="s">
        <v>12</v>
      </c>
      <c r="C155" t="s">
        <v>13</v>
      </c>
      <c r="D155" t="s">
        <v>24</v>
      </c>
      <c r="E155" t="s">
        <v>25</v>
      </c>
      <c r="F155" t="s">
        <v>17</v>
      </c>
      <c r="G155">
        <v>557</v>
      </c>
      <c r="H155">
        <v>630</v>
      </c>
      <c r="I155">
        <v>13.1</v>
      </c>
      <c r="J155" t="s">
        <v>55</v>
      </c>
    </row>
    <row r="156" spans="1:10" x14ac:dyDescent="0.35">
      <c r="A156" s="1">
        <v>45327</v>
      </c>
      <c r="B156" t="s">
        <v>12</v>
      </c>
      <c r="C156" t="s">
        <v>13</v>
      </c>
      <c r="D156" t="s">
        <v>26</v>
      </c>
      <c r="E156" t="s">
        <v>27</v>
      </c>
      <c r="F156" t="s">
        <v>20</v>
      </c>
      <c r="G156">
        <v>419</v>
      </c>
      <c r="H156">
        <v>527</v>
      </c>
      <c r="I156">
        <v>25.8</v>
      </c>
      <c r="J156" t="s">
        <v>55</v>
      </c>
    </row>
    <row r="157" spans="1:10" x14ac:dyDescent="0.35">
      <c r="A157" s="1">
        <v>45327</v>
      </c>
      <c r="B157" t="s">
        <v>12</v>
      </c>
      <c r="C157" t="s">
        <v>13</v>
      </c>
      <c r="D157" t="s">
        <v>28</v>
      </c>
      <c r="E157" t="s">
        <v>29</v>
      </c>
      <c r="F157" t="s">
        <v>23</v>
      </c>
      <c r="G157">
        <v>1594</v>
      </c>
      <c r="H157">
        <v>1722</v>
      </c>
      <c r="I157">
        <v>8</v>
      </c>
      <c r="J157" t="s">
        <v>55</v>
      </c>
    </row>
    <row r="158" spans="1:10" x14ac:dyDescent="0.35">
      <c r="A158" s="1">
        <v>45327</v>
      </c>
      <c r="B158" t="s">
        <v>30</v>
      </c>
      <c r="C158" t="s">
        <v>31</v>
      </c>
      <c r="D158" t="s">
        <v>15</v>
      </c>
      <c r="E158" t="s">
        <v>16</v>
      </c>
      <c r="F158" t="s">
        <v>17</v>
      </c>
      <c r="G158">
        <v>1367</v>
      </c>
      <c r="H158">
        <v>1521</v>
      </c>
      <c r="I158">
        <v>11.3</v>
      </c>
      <c r="J158" t="s">
        <v>55</v>
      </c>
    </row>
    <row r="159" spans="1:10" x14ac:dyDescent="0.35">
      <c r="A159" s="1">
        <v>45327</v>
      </c>
      <c r="B159" t="s">
        <v>30</v>
      </c>
      <c r="C159" t="s">
        <v>31</v>
      </c>
      <c r="D159" t="s">
        <v>18</v>
      </c>
      <c r="E159" t="s">
        <v>19</v>
      </c>
      <c r="F159" t="s">
        <v>20</v>
      </c>
      <c r="G159">
        <v>1561</v>
      </c>
      <c r="H159">
        <v>1117</v>
      </c>
      <c r="I159">
        <v>28.4</v>
      </c>
      <c r="J159" t="s">
        <v>56</v>
      </c>
    </row>
    <row r="160" spans="1:10" x14ac:dyDescent="0.35">
      <c r="A160" s="1">
        <v>45327</v>
      </c>
      <c r="B160" t="s">
        <v>30</v>
      </c>
      <c r="C160" t="s">
        <v>31</v>
      </c>
      <c r="D160" t="s">
        <v>21</v>
      </c>
      <c r="E160" t="s">
        <v>22</v>
      </c>
      <c r="F160" t="s">
        <v>23</v>
      </c>
      <c r="G160">
        <v>867</v>
      </c>
      <c r="H160">
        <v>661</v>
      </c>
      <c r="I160">
        <v>23.8</v>
      </c>
      <c r="J160" t="s">
        <v>56</v>
      </c>
    </row>
    <row r="161" spans="1:10" x14ac:dyDescent="0.35">
      <c r="A161" s="1">
        <v>45327</v>
      </c>
      <c r="B161" t="s">
        <v>30</v>
      </c>
      <c r="C161" t="s">
        <v>31</v>
      </c>
      <c r="D161" t="s">
        <v>24</v>
      </c>
      <c r="E161" t="s">
        <v>25</v>
      </c>
      <c r="F161" t="s">
        <v>17</v>
      </c>
      <c r="G161">
        <v>700</v>
      </c>
      <c r="H161">
        <v>481</v>
      </c>
      <c r="I161">
        <v>31.3</v>
      </c>
      <c r="J161" t="s">
        <v>56</v>
      </c>
    </row>
    <row r="162" spans="1:10" x14ac:dyDescent="0.35">
      <c r="A162" s="1">
        <v>45327</v>
      </c>
      <c r="B162" t="s">
        <v>30</v>
      </c>
      <c r="C162" t="s">
        <v>31</v>
      </c>
      <c r="D162" t="s">
        <v>26</v>
      </c>
      <c r="E162" t="s">
        <v>27</v>
      </c>
      <c r="F162" t="s">
        <v>20</v>
      </c>
      <c r="G162">
        <v>1087</v>
      </c>
      <c r="H162">
        <v>1321</v>
      </c>
      <c r="I162">
        <v>21.5</v>
      </c>
      <c r="J162" t="s">
        <v>55</v>
      </c>
    </row>
    <row r="163" spans="1:10" x14ac:dyDescent="0.35">
      <c r="A163" s="1">
        <v>45327</v>
      </c>
      <c r="B163" t="s">
        <v>30</v>
      </c>
      <c r="C163" t="s">
        <v>31</v>
      </c>
      <c r="D163" t="s">
        <v>28</v>
      </c>
      <c r="E163" t="s">
        <v>29</v>
      </c>
      <c r="F163" t="s">
        <v>23</v>
      </c>
      <c r="G163">
        <v>1517</v>
      </c>
      <c r="H163">
        <v>1278</v>
      </c>
      <c r="I163">
        <v>15.8</v>
      </c>
      <c r="J163" t="s">
        <v>56</v>
      </c>
    </row>
    <row r="164" spans="1:10" x14ac:dyDescent="0.35">
      <c r="A164" s="1">
        <v>45327</v>
      </c>
      <c r="B164" t="s">
        <v>33</v>
      </c>
      <c r="C164" t="s">
        <v>34</v>
      </c>
      <c r="D164" t="s">
        <v>15</v>
      </c>
      <c r="E164" t="s">
        <v>16</v>
      </c>
      <c r="F164" t="s">
        <v>17</v>
      </c>
      <c r="G164">
        <v>1146</v>
      </c>
      <c r="H164">
        <v>1395</v>
      </c>
      <c r="I164">
        <v>21.7</v>
      </c>
      <c r="J164" t="s">
        <v>55</v>
      </c>
    </row>
    <row r="165" spans="1:10" x14ac:dyDescent="0.35">
      <c r="A165" s="1">
        <v>45327</v>
      </c>
      <c r="B165" t="s">
        <v>33</v>
      </c>
      <c r="C165" t="s">
        <v>34</v>
      </c>
      <c r="D165" t="s">
        <v>18</v>
      </c>
      <c r="E165" t="s">
        <v>19</v>
      </c>
      <c r="F165" t="s">
        <v>20</v>
      </c>
      <c r="G165">
        <v>1016</v>
      </c>
      <c r="H165">
        <v>1313</v>
      </c>
      <c r="I165">
        <v>29.2</v>
      </c>
      <c r="J165" t="s">
        <v>55</v>
      </c>
    </row>
    <row r="166" spans="1:10" x14ac:dyDescent="0.35">
      <c r="A166" s="1">
        <v>45327</v>
      </c>
      <c r="B166" t="s">
        <v>33</v>
      </c>
      <c r="C166" t="s">
        <v>34</v>
      </c>
      <c r="D166" t="s">
        <v>21</v>
      </c>
      <c r="E166" t="s">
        <v>22</v>
      </c>
      <c r="F166" t="s">
        <v>23</v>
      </c>
      <c r="G166">
        <v>1391</v>
      </c>
      <c r="H166">
        <v>1549</v>
      </c>
      <c r="I166">
        <v>11.4</v>
      </c>
      <c r="J166" t="s">
        <v>55</v>
      </c>
    </row>
    <row r="167" spans="1:10" x14ac:dyDescent="0.35">
      <c r="A167" s="1">
        <v>45327</v>
      </c>
      <c r="B167" t="s">
        <v>33</v>
      </c>
      <c r="C167" t="s">
        <v>34</v>
      </c>
      <c r="D167" t="s">
        <v>24</v>
      </c>
      <c r="E167" t="s">
        <v>25</v>
      </c>
      <c r="F167" t="s">
        <v>17</v>
      </c>
      <c r="G167">
        <v>442</v>
      </c>
      <c r="H167">
        <v>387</v>
      </c>
      <c r="I167">
        <v>12.4</v>
      </c>
      <c r="J167" t="s">
        <v>56</v>
      </c>
    </row>
    <row r="168" spans="1:10" x14ac:dyDescent="0.35">
      <c r="A168" s="1">
        <v>45327</v>
      </c>
      <c r="B168" t="s">
        <v>33</v>
      </c>
      <c r="C168" t="s">
        <v>34</v>
      </c>
      <c r="D168" t="s">
        <v>26</v>
      </c>
      <c r="E168" t="s">
        <v>27</v>
      </c>
      <c r="F168" t="s">
        <v>20</v>
      </c>
      <c r="G168">
        <v>851</v>
      </c>
      <c r="H168">
        <v>614</v>
      </c>
      <c r="I168">
        <v>27.8</v>
      </c>
      <c r="J168" t="s">
        <v>56</v>
      </c>
    </row>
    <row r="169" spans="1:10" x14ac:dyDescent="0.35">
      <c r="A169" s="1">
        <v>45327</v>
      </c>
      <c r="B169" t="s">
        <v>33</v>
      </c>
      <c r="C169" t="s">
        <v>34</v>
      </c>
      <c r="D169" t="s">
        <v>28</v>
      </c>
      <c r="E169" t="s">
        <v>29</v>
      </c>
      <c r="F169" t="s">
        <v>23</v>
      </c>
      <c r="G169">
        <v>1419</v>
      </c>
      <c r="H169">
        <v>1545</v>
      </c>
      <c r="I169">
        <v>8.9</v>
      </c>
      <c r="J169" t="s">
        <v>55</v>
      </c>
    </row>
    <row r="170" spans="1:10" x14ac:dyDescent="0.35">
      <c r="A170" s="1">
        <v>45327</v>
      </c>
      <c r="B170" t="s">
        <v>36</v>
      </c>
      <c r="C170" t="s">
        <v>37</v>
      </c>
      <c r="D170" t="s">
        <v>15</v>
      </c>
      <c r="E170" t="s">
        <v>16</v>
      </c>
      <c r="F170" t="s">
        <v>17</v>
      </c>
      <c r="G170">
        <v>1282</v>
      </c>
      <c r="H170">
        <v>1522</v>
      </c>
      <c r="I170">
        <v>18.7</v>
      </c>
      <c r="J170" t="s">
        <v>55</v>
      </c>
    </row>
    <row r="171" spans="1:10" x14ac:dyDescent="0.35">
      <c r="A171" s="1">
        <v>45327</v>
      </c>
      <c r="B171" t="s">
        <v>36</v>
      </c>
      <c r="C171" t="s">
        <v>37</v>
      </c>
      <c r="D171" t="s">
        <v>18</v>
      </c>
      <c r="E171" t="s">
        <v>19</v>
      </c>
      <c r="F171" t="s">
        <v>20</v>
      </c>
      <c r="G171">
        <v>796</v>
      </c>
      <c r="H171">
        <v>512</v>
      </c>
      <c r="I171">
        <v>35.700000000000003</v>
      </c>
      <c r="J171" t="s">
        <v>56</v>
      </c>
    </row>
    <row r="172" spans="1:10" x14ac:dyDescent="0.35">
      <c r="A172" s="1">
        <v>45327</v>
      </c>
      <c r="B172" t="s">
        <v>36</v>
      </c>
      <c r="C172" t="s">
        <v>37</v>
      </c>
      <c r="D172" t="s">
        <v>21</v>
      </c>
      <c r="E172" t="s">
        <v>22</v>
      </c>
      <c r="F172" t="s">
        <v>23</v>
      </c>
      <c r="G172">
        <v>621</v>
      </c>
      <c r="H172">
        <v>850</v>
      </c>
      <c r="I172">
        <v>36.9</v>
      </c>
      <c r="J172" t="s">
        <v>55</v>
      </c>
    </row>
    <row r="173" spans="1:10" x14ac:dyDescent="0.35">
      <c r="A173" s="1">
        <v>45327</v>
      </c>
      <c r="B173" t="s">
        <v>36</v>
      </c>
      <c r="C173" t="s">
        <v>37</v>
      </c>
      <c r="D173" t="s">
        <v>24</v>
      </c>
      <c r="E173" t="s">
        <v>25</v>
      </c>
      <c r="F173" t="s">
        <v>17</v>
      </c>
      <c r="G173">
        <v>1515</v>
      </c>
      <c r="H173">
        <v>985</v>
      </c>
      <c r="I173">
        <v>35</v>
      </c>
      <c r="J173" t="s">
        <v>56</v>
      </c>
    </row>
    <row r="174" spans="1:10" x14ac:dyDescent="0.35">
      <c r="A174" s="1">
        <v>45327</v>
      </c>
      <c r="B174" t="s">
        <v>36</v>
      </c>
      <c r="C174" t="s">
        <v>37</v>
      </c>
      <c r="D174" t="s">
        <v>26</v>
      </c>
      <c r="E174" t="s">
        <v>27</v>
      </c>
      <c r="F174" t="s">
        <v>20</v>
      </c>
      <c r="G174">
        <v>1479</v>
      </c>
      <c r="H174">
        <v>1674</v>
      </c>
      <c r="I174">
        <v>13.2</v>
      </c>
      <c r="J174" t="s">
        <v>55</v>
      </c>
    </row>
    <row r="175" spans="1:10" x14ac:dyDescent="0.35">
      <c r="A175" s="1">
        <v>45327</v>
      </c>
      <c r="B175" t="s">
        <v>36</v>
      </c>
      <c r="C175" t="s">
        <v>37</v>
      </c>
      <c r="D175" t="s">
        <v>28</v>
      </c>
      <c r="E175" t="s">
        <v>29</v>
      </c>
      <c r="F175" t="s">
        <v>23</v>
      </c>
      <c r="G175">
        <v>1114</v>
      </c>
      <c r="H175">
        <v>728</v>
      </c>
      <c r="I175">
        <v>34.6</v>
      </c>
      <c r="J175" t="s">
        <v>56</v>
      </c>
    </row>
    <row r="176" spans="1:10" x14ac:dyDescent="0.35">
      <c r="A176" s="1">
        <v>45327</v>
      </c>
      <c r="B176" t="s">
        <v>39</v>
      </c>
      <c r="C176" t="s">
        <v>40</v>
      </c>
      <c r="D176" t="s">
        <v>15</v>
      </c>
      <c r="E176" t="s">
        <v>16</v>
      </c>
      <c r="F176" t="s">
        <v>17</v>
      </c>
      <c r="G176">
        <v>1254</v>
      </c>
      <c r="H176">
        <v>798</v>
      </c>
      <c r="I176">
        <v>36.4</v>
      </c>
      <c r="J176" t="s">
        <v>56</v>
      </c>
    </row>
    <row r="177" spans="1:10" x14ac:dyDescent="0.35">
      <c r="A177" s="1">
        <v>45327</v>
      </c>
      <c r="B177" t="s">
        <v>39</v>
      </c>
      <c r="C177" t="s">
        <v>40</v>
      </c>
      <c r="D177" t="s">
        <v>18</v>
      </c>
      <c r="E177" t="s">
        <v>19</v>
      </c>
      <c r="F177" t="s">
        <v>20</v>
      </c>
      <c r="G177">
        <v>790</v>
      </c>
      <c r="H177">
        <v>862</v>
      </c>
      <c r="I177">
        <v>9.1</v>
      </c>
      <c r="J177" t="s">
        <v>55</v>
      </c>
    </row>
    <row r="178" spans="1:10" x14ac:dyDescent="0.35">
      <c r="A178" s="1">
        <v>45327</v>
      </c>
      <c r="B178" t="s">
        <v>39</v>
      </c>
      <c r="C178" t="s">
        <v>40</v>
      </c>
      <c r="D178" t="s">
        <v>21</v>
      </c>
      <c r="E178" t="s">
        <v>22</v>
      </c>
      <c r="F178" t="s">
        <v>23</v>
      </c>
      <c r="G178">
        <v>1103</v>
      </c>
      <c r="H178">
        <v>738</v>
      </c>
      <c r="I178">
        <v>33.1</v>
      </c>
      <c r="J178" t="s">
        <v>56</v>
      </c>
    </row>
    <row r="179" spans="1:10" x14ac:dyDescent="0.35">
      <c r="A179" s="1">
        <v>45327</v>
      </c>
      <c r="B179" t="s">
        <v>39</v>
      </c>
      <c r="C179" t="s">
        <v>40</v>
      </c>
      <c r="D179" t="s">
        <v>24</v>
      </c>
      <c r="E179" t="s">
        <v>25</v>
      </c>
      <c r="F179" t="s">
        <v>17</v>
      </c>
      <c r="G179">
        <v>1331</v>
      </c>
      <c r="H179">
        <v>1663</v>
      </c>
      <c r="I179">
        <v>24.9</v>
      </c>
      <c r="J179" t="s">
        <v>55</v>
      </c>
    </row>
    <row r="180" spans="1:10" x14ac:dyDescent="0.35">
      <c r="A180" s="1">
        <v>45327</v>
      </c>
      <c r="B180" t="s">
        <v>39</v>
      </c>
      <c r="C180" t="s">
        <v>40</v>
      </c>
      <c r="D180" t="s">
        <v>26</v>
      </c>
      <c r="E180" t="s">
        <v>27</v>
      </c>
      <c r="F180" t="s">
        <v>20</v>
      </c>
      <c r="G180">
        <v>1110</v>
      </c>
      <c r="H180">
        <v>1294</v>
      </c>
      <c r="I180">
        <v>16.600000000000001</v>
      </c>
      <c r="J180" t="s">
        <v>55</v>
      </c>
    </row>
    <row r="181" spans="1:10" x14ac:dyDescent="0.35">
      <c r="A181" s="1">
        <v>45327</v>
      </c>
      <c r="B181" t="s">
        <v>39</v>
      </c>
      <c r="C181" t="s">
        <v>40</v>
      </c>
      <c r="D181" t="s">
        <v>28</v>
      </c>
      <c r="E181" t="s">
        <v>29</v>
      </c>
      <c r="F181" t="s">
        <v>23</v>
      </c>
      <c r="G181">
        <v>1421</v>
      </c>
      <c r="H181">
        <v>912</v>
      </c>
      <c r="I181">
        <v>35.799999999999997</v>
      </c>
      <c r="J181" t="s">
        <v>56</v>
      </c>
    </row>
    <row r="182" spans="1:10" x14ac:dyDescent="0.35">
      <c r="A182" s="1">
        <v>45334</v>
      </c>
      <c r="B182" t="s">
        <v>12</v>
      </c>
      <c r="C182" t="s">
        <v>13</v>
      </c>
      <c r="D182" t="s">
        <v>15</v>
      </c>
      <c r="E182" t="s">
        <v>16</v>
      </c>
      <c r="F182" t="s">
        <v>17</v>
      </c>
      <c r="G182">
        <v>707</v>
      </c>
      <c r="H182">
        <v>539</v>
      </c>
      <c r="I182">
        <v>23.8</v>
      </c>
      <c r="J182" t="s">
        <v>56</v>
      </c>
    </row>
    <row r="183" spans="1:10" x14ac:dyDescent="0.35">
      <c r="A183" s="1">
        <v>45334</v>
      </c>
      <c r="B183" t="s">
        <v>12</v>
      </c>
      <c r="C183" t="s">
        <v>13</v>
      </c>
      <c r="D183" t="s">
        <v>18</v>
      </c>
      <c r="E183" t="s">
        <v>19</v>
      </c>
      <c r="F183" t="s">
        <v>20</v>
      </c>
      <c r="G183">
        <v>1543</v>
      </c>
      <c r="H183">
        <v>1112</v>
      </c>
      <c r="I183">
        <v>27.9</v>
      </c>
      <c r="J183" t="s">
        <v>56</v>
      </c>
    </row>
    <row r="184" spans="1:10" x14ac:dyDescent="0.35">
      <c r="A184" s="1">
        <v>45334</v>
      </c>
      <c r="B184" t="s">
        <v>12</v>
      </c>
      <c r="C184" t="s">
        <v>13</v>
      </c>
      <c r="D184" t="s">
        <v>21</v>
      </c>
      <c r="E184" t="s">
        <v>22</v>
      </c>
      <c r="F184" t="s">
        <v>23</v>
      </c>
      <c r="G184">
        <v>990</v>
      </c>
      <c r="H184">
        <v>891</v>
      </c>
      <c r="I184">
        <v>10</v>
      </c>
      <c r="J184" t="s">
        <v>56</v>
      </c>
    </row>
    <row r="185" spans="1:10" x14ac:dyDescent="0.35">
      <c r="A185" s="1">
        <v>45334</v>
      </c>
      <c r="B185" t="s">
        <v>12</v>
      </c>
      <c r="C185" t="s">
        <v>13</v>
      </c>
      <c r="D185" t="s">
        <v>24</v>
      </c>
      <c r="E185" t="s">
        <v>25</v>
      </c>
      <c r="F185" t="s">
        <v>17</v>
      </c>
      <c r="G185">
        <v>1329</v>
      </c>
      <c r="H185">
        <v>1206</v>
      </c>
      <c r="I185">
        <v>9.3000000000000007</v>
      </c>
      <c r="J185" t="s">
        <v>56</v>
      </c>
    </row>
    <row r="186" spans="1:10" x14ac:dyDescent="0.35">
      <c r="A186" s="1">
        <v>45334</v>
      </c>
      <c r="B186" t="s">
        <v>12</v>
      </c>
      <c r="C186" t="s">
        <v>13</v>
      </c>
      <c r="D186" t="s">
        <v>26</v>
      </c>
      <c r="E186" t="s">
        <v>27</v>
      </c>
      <c r="F186" t="s">
        <v>20</v>
      </c>
      <c r="G186">
        <v>652</v>
      </c>
      <c r="H186">
        <v>589</v>
      </c>
      <c r="I186">
        <v>9.6999999999999993</v>
      </c>
      <c r="J186" t="s">
        <v>56</v>
      </c>
    </row>
    <row r="187" spans="1:10" x14ac:dyDescent="0.35">
      <c r="A187" s="1">
        <v>45334</v>
      </c>
      <c r="B187" t="s">
        <v>12</v>
      </c>
      <c r="C187" t="s">
        <v>13</v>
      </c>
      <c r="D187" t="s">
        <v>28</v>
      </c>
      <c r="E187" t="s">
        <v>29</v>
      </c>
      <c r="F187" t="s">
        <v>23</v>
      </c>
      <c r="G187">
        <v>1281</v>
      </c>
      <c r="H187">
        <v>1518</v>
      </c>
      <c r="I187">
        <v>18.5</v>
      </c>
      <c r="J187" t="s">
        <v>55</v>
      </c>
    </row>
    <row r="188" spans="1:10" x14ac:dyDescent="0.35">
      <c r="A188" s="1">
        <v>45334</v>
      </c>
      <c r="B188" t="s">
        <v>30</v>
      </c>
      <c r="C188" t="s">
        <v>31</v>
      </c>
      <c r="D188" t="s">
        <v>15</v>
      </c>
      <c r="E188" t="s">
        <v>16</v>
      </c>
      <c r="F188" t="s">
        <v>17</v>
      </c>
      <c r="G188">
        <v>502</v>
      </c>
      <c r="H188">
        <v>423</v>
      </c>
      <c r="I188">
        <v>15.7</v>
      </c>
      <c r="J188" t="s">
        <v>56</v>
      </c>
    </row>
    <row r="189" spans="1:10" x14ac:dyDescent="0.35">
      <c r="A189" s="1">
        <v>45334</v>
      </c>
      <c r="B189" t="s">
        <v>30</v>
      </c>
      <c r="C189" t="s">
        <v>31</v>
      </c>
      <c r="D189" t="s">
        <v>18</v>
      </c>
      <c r="E189" t="s">
        <v>19</v>
      </c>
      <c r="F189" t="s">
        <v>20</v>
      </c>
      <c r="G189">
        <v>980</v>
      </c>
      <c r="H189">
        <v>1289</v>
      </c>
      <c r="I189">
        <v>31.5</v>
      </c>
      <c r="J189" t="s">
        <v>55</v>
      </c>
    </row>
    <row r="190" spans="1:10" x14ac:dyDescent="0.35">
      <c r="A190" s="1">
        <v>45334</v>
      </c>
      <c r="B190" t="s">
        <v>30</v>
      </c>
      <c r="C190" t="s">
        <v>31</v>
      </c>
      <c r="D190" t="s">
        <v>21</v>
      </c>
      <c r="E190" t="s">
        <v>22</v>
      </c>
      <c r="F190" t="s">
        <v>23</v>
      </c>
      <c r="G190">
        <v>1548</v>
      </c>
      <c r="H190">
        <v>1352</v>
      </c>
      <c r="I190">
        <v>12.7</v>
      </c>
      <c r="J190" t="s">
        <v>56</v>
      </c>
    </row>
    <row r="191" spans="1:10" x14ac:dyDescent="0.35">
      <c r="A191" s="1">
        <v>45334</v>
      </c>
      <c r="B191" t="s">
        <v>30</v>
      </c>
      <c r="C191" t="s">
        <v>31</v>
      </c>
      <c r="D191" t="s">
        <v>24</v>
      </c>
      <c r="E191" t="s">
        <v>25</v>
      </c>
      <c r="F191" t="s">
        <v>17</v>
      </c>
      <c r="G191">
        <v>954</v>
      </c>
      <c r="H191">
        <v>1071</v>
      </c>
      <c r="I191">
        <v>12.3</v>
      </c>
      <c r="J191" t="s">
        <v>55</v>
      </c>
    </row>
    <row r="192" spans="1:10" x14ac:dyDescent="0.35">
      <c r="A192" s="1">
        <v>45334</v>
      </c>
      <c r="B192" t="s">
        <v>30</v>
      </c>
      <c r="C192" t="s">
        <v>31</v>
      </c>
      <c r="D192" t="s">
        <v>26</v>
      </c>
      <c r="E192" t="s">
        <v>27</v>
      </c>
      <c r="F192" t="s">
        <v>20</v>
      </c>
      <c r="G192">
        <v>1284</v>
      </c>
      <c r="H192">
        <v>955</v>
      </c>
      <c r="I192">
        <v>25.6</v>
      </c>
      <c r="J192" t="s">
        <v>56</v>
      </c>
    </row>
    <row r="193" spans="1:10" x14ac:dyDescent="0.35">
      <c r="A193" s="1">
        <v>45334</v>
      </c>
      <c r="B193" t="s">
        <v>30</v>
      </c>
      <c r="C193" t="s">
        <v>31</v>
      </c>
      <c r="D193" t="s">
        <v>28</v>
      </c>
      <c r="E193" t="s">
        <v>29</v>
      </c>
      <c r="F193" t="s">
        <v>23</v>
      </c>
      <c r="G193">
        <v>848</v>
      </c>
      <c r="H193">
        <v>924</v>
      </c>
      <c r="I193">
        <v>9</v>
      </c>
      <c r="J193" t="s">
        <v>55</v>
      </c>
    </row>
    <row r="194" spans="1:10" x14ac:dyDescent="0.35">
      <c r="A194" s="1">
        <v>45334</v>
      </c>
      <c r="B194" t="s">
        <v>33</v>
      </c>
      <c r="C194" t="s">
        <v>34</v>
      </c>
      <c r="D194" t="s">
        <v>15</v>
      </c>
      <c r="E194" t="s">
        <v>16</v>
      </c>
      <c r="F194" t="s">
        <v>17</v>
      </c>
      <c r="G194">
        <v>909</v>
      </c>
      <c r="H194">
        <v>1203</v>
      </c>
      <c r="I194">
        <v>32.299999999999997</v>
      </c>
      <c r="J194" t="s">
        <v>55</v>
      </c>
    </row>
    <row r="195" spans="1:10" x14ac:dyDescent="0.35">
      <c r="A195" s="1">
        <v>45334</v>
      </c>
      <c r="B195" t="s">
        <v>33</v>
      </c>
      <c r="C195" t="s">
        <v>34</v>
      </c>
      <c r="D195" t="s">
        <v>18</v>
      </c>
      <c r="E195" t="s">
        <v>19</v>
      </c>
      <c r="F195" t="s">
        <v>20</v>
      </c>
      <c r="G195">
        <v>1265</v>
      </c>
      <c r="H195">
        <v>1517</v>
      </c>
      <c r="I195">
        <v>19.899999999999999</v>
      </c>
      <c r="J195" t="s">
        <v>55</v>
      </c>
    </row>
    <row r="196" spans="1:10" x14ac:dyDescent="0.35">
      <c r="A196" s="1">
        <v>45334</v>
      </c>
      <c r="B196" t="s">
        <v>33</v>
      </c>
      <c r="C196" t="s">
        <v>34</v>
      </c>
      <c r="D196" t="s">
        <v>21</v>
      </c>
      <c r="E196" t="s">
        <v>22</v>
      </c>
      <c r="F196" t="s">
        <v>23</v>
      </c>
      <c r="G196">
        <v>935</v>
      </c>
      <c r="H196">
        <v>1267</v>
      </c>
      <c r="I196">
        <v>35.5</v>
      </c>
      <c r="J196" t="s">
        <v>55</v>
      </c>
    </row>
    <row r="197" spans="1:10" x14ac:dyDescent="0.35">
      <c r="A197" s="1">
        <v>45334</v>
      </c>
      <c r="B197" t="s">
        <v>33</v>
      </c>
      <c r="C197" t="s">
        <v>34</v>
      </c>
      <c r="D197" t="s">
        <v>24</v>
      </c>
      <c r="E197" t="s">
        <v>25</v>
      </c>
      <c r="F197" t="s">
        <v>17</v>
      </c>
      <c r="G197">
        <v>754</v>
      </c>
      <c r="H197">
        <v>941</v>
      </c>
      <c r="I197">
        <v>24.8</v>
      </c>
      <c r="J197" t="s">
        <v>55</v>
      </c>
    </row>
    <row r="198" spans="1:10" x14ac:dyDescent="0.35">
      <c r="A198" s="1">
        <v>45334</v>
      </c>
      <c r="B198" t="s">
        <v>33</v>
      </c>
      <c r="C198" t="s">
        <v>34</v>
      </c>
      <c r="D198" t="s">
        <v>26</v>
      </c>
      <c r="E198" t="s">
        <v>27</v>
      </c>
      <c r="F198" t="s">
        <v>20</v>
      </c>
      <c r="G198">
        <v>1060</v>
      </c>
      <c r="H198">
        <v>719</v>
      </c>
      <c r="I198">
        <v>32.200000000000003</v>
      </c>
      <c r="J198" t="s">
        <v>56</v>
      </c>
    </row>
    <row r="199" spans="1:10" x14ac:dyDescent="0.35">
      <c r="A199" s="1">
        <v>45334</v>
      </c>
      <c r="B199" t="s">
        <v>33</v>
      </c>
      <c r="C199" t="s">
        <v>34</v>
      </c>
      <c r="D199" t="s">
        <v>28</v>
      </c>
      <c r="E199" t="s">
        <v>29</v>
      </c>
      <c r="F199" t="s">
        <v>23</v>
      </c>
      <c r="G199">
        <v>808</v>
      </c>
      <c r="H199">
        <v>682</v>
      </c>
      <c r="I199">
        <v>15.6</v>
      </c>
      <c r="J199" t="s">
        <v>56</v>
      </c>
    </row>
    <row r="200" spans="1:10" x14ac:dyDescent="0.35">
      <c r="A200" s="1">
        <v>45334</v>
      </c>
      <c r="B200" t="s">
        <v>36</v>
      </c>
      <c r="C200" t="s">
        <v>37</v>
      </c>
      <c r="D200" t="s">
        <v>15</v>
      </c>
      <c r="E200" t="s">
        <v>16</v>
      </c>
      <c r="F200" t="s">
        <v>17</v>
      </c>
      <c r="G200">
        <v>808</v>
      </c>
      <c r="H200">
        <v>670</v>
      </c>
      <c r="I200">
        <v>17.100000000000001</v>
      </c>
      <c r="J200" t="s">
        <v>56</v>
      </c>
    </row>
    <row r="201" spans="1:10" x14ac:dyDescent="0.35">
      <c r="A201" s="1">
        <v>45334</v>
      </c>
      <c r="B201" t="s">
        <v>36</v>
      </c>
      <c r="C201" t="s">
        <v>37</v>
      </c>
      <c r="D201" t="s">
        <v>18</v>
      </c>
      <c r="E201" t="s">
        <v>19</v>
      </c>
      <c r="F201" t="s">
        <v>20</v>
      </c>
      <c r="G201">
        <v>1560</v>
      </c>
      <c r="H201">
        <v>1001</v>
      </c>
      <c r="I201">
        <v>35.799999999999997</v>
      </c>
      <c r="J201" t="s">
        <v>56</v>
      </c>
    </row>
    <row r="202" spans="1:10" x14ac:dyDescent="0.35">
      <c r="A202" s="1">
        <v>45334</v>
      </c>
      <c r="B202" t="s">
        <v>36</v>
      </c>
      <c r="C202" t="s">
        <v>37</v>
      </c>
      <c r="D202" t="s">
        <v>21</v>
      </c>
      <c r="E202" t="s">
        <v>22</v>
      </c>
      <c r="F202" t="s">
        <v>23</v>
      </c>
      <c r="G202">
        <v>775</v>
      </c>
      <c r="H202">
        <v>924</v>
      </c>
      <c r="I202">
        <v>19.2</v>
      </c>
      <c r="J202" t="s">
        <v>55</v>
      </c>
    </row>
    <row r="203" spans="1:10" x14ac:dyDescent="0.35">
      <c r="A203" s="1">
        <v>45334</v>
      </c>
      <c r="B203" t="s">
        <v>36</v>
      </c>
      <c r="C203" t="s">
        <v>37</v>
      </c>
      <c r="D203" t="s">
        <v>24</v>
      </c>
      <c r="E203" t="s">
        <v>25</v>
      </c>
      <c r="F203" t="s">
        <v>17</v>
      </c>
      <c r="G203">
        <v>1294</v>
      </c>
      <c r="H203">
        <v>1434</v>
      </c>
      <c r="I203">
        <v>10.8</v>
      </c>
      <c r="J203" t="s">
        <v>55</v>
      </c>
    </row>
    <row r="204" spans="1:10" x14ac:dyDescent="0.35">
      <c r="A204" s="1">
        <v>45334</v>
      </c>
      <c r="B204" t="s">
        <v>36</v>
      </c>
      <c r="C204" t="s">
        <v>37</v>
      </c>
      <c r="D204" t="s">
        <v>26</v>
      </c>
      <c r="E204" t="s">
        <v>27</v>
      </c>
      <c r="F204" t="s">
        <v>20</v>
      </c>
      <c r="G204">
        <v>1041</v>
      </c>
      <c r="H204">
        <v>1281</v>
      </c>
      <c r="I204">
        <v>23.1</v>
      </c>
      <c r="J204" t="s">
        <v>55</v>
      </c>
    </row>
    <row r="205" spans="1:10" x14ac:dyDescent="0.35">
      <c r="A205" s="1">
        <v>45334</v>
      </c>
      <c r="B205" t="s">
        <v>36</v>
      </c>
      <c r="C205" t="s">
        <v>37</v>
      </c>
      <c r="D205" t="s">
        <v>28</v>
      </c>
      <c r="E205" t="s">
        <v>29</v>
      </c>
      <c r="F205" t="s">
        <v>23</v>
      </c>
      <c r="G205">
        <v>1132</v>
      </c>
      <c r="H205">
        <v>882</v>
      </c>
      <c r="I205">
        <v>22.1</v>
      </c>
      <c r="J205" t="s">
        <v>56</v>
      </c>
    </row>
    <row r="206" spans="1:10" x14ac:dyDescent="0.35">
      <c r="A206" s="1">
        <v>45334</v>
      </c>
      <c r="B206" t="s">
        <v>39</v>
      </c>
      <c r="C206" t="s">
        <v>40</v>
      </c>
      <c r="D206" t="s">
        <v>15</v>
      </c>
      <c r="E206" t="s">
        <v>16</v>
      </c>
      <c r="F206" t="s">
        <v>17</v>
      </c>
      <c r="G206">
        <v>1261</v>
      </c>
      <c r="H206">
        <v>796</v>
      </c>
      <c r="I206">
        <v>36.9</v>
      </c>
      <c r="J206" t="s">
        <v>56</v>
      </c>
    </row>
    <row r="207" spans="1:10" x14ac:dyDescent="0.35">
      <c r="A207" s="1">
        <v>45334</v>
      </c>
      <c r="B207" t="s">
        <v>39</v>
      </c>
      <c r="C207" t="s">
        <v>40</v>
      </c>
      <c r="D207" t="s">
        <v>18</v>
      </c>
      <c r="E207" t="s">
        <v>19</v>
      </c>
      <c r="F207" t="s">
        <v>20</v>
      </c>
      <c r="G207">
        <v>1544</v>
      </c>
      <c r="H207">
        <v>1679</v>
      </c>
      <c r="I207">
        <v>8.6999999999999993</v>
      </c>
      <c r="J207" t="s">
        <v>55</v>
      </c>
    </row>
    <row r="208" spans="1:10" x14ac:dyDescent="0.35">
      <c r="A208" s="1">
        <v>45334</v>
      </c>
      <c r="B208" t="s">
        <v>39</v>
      </c>
      <c r="C208" t="s">
        <v>40</v>
      </c>
      <c r="D208" t="s">
        <v>21</v>
      </c>
      <c r="E208" t="s">
        <v>22</v>
      </c>
      <c r="F208" t="s">
        <v>23</v>
      </c>
      <c r="G208">
        <v>581</v>
      </c>
      <c r="H208">
        <v>759</v>
      </c>
      <c r="I208">
        <v>30.6</v>
      </c>
      <c r="J208" t="s">
        <v>55</v>
      </c>
    </row>
    <row r="209" spans="1:10" x14ac:dyDescent="0.35">
      <c r="A209" s="1">
        <v>45334</v>
      </c>
      <c r="B209" t="s">
        <v>39</v>
      </c>
      <c r="C209" t="s">
        <v>40</v>
      </c>
      <c r="D209" t="s">
        <v>24</v>
      </c>
      <c r="E209" t="s">
        <v>25</v>
      </c>
      <c r="F209" t="s">
        <v>17</v>
      </c>
      <c r="G209">
        <v>1019</v>
      </c>
      <c r="H209">
        <v>1340</v>
      </c>
      <c r="I209">
        <v>31.5</v>
      </c>
      <c r="J209" t="s">
        <v>55</v>
      </c>
    </row>
    <row r="210" spans="1:10" x14ac:dyDescent="0.35">
      <c r="A210" s="1">
        <v>45334</v>
      </c>
      <c r="B210" t="s">
        <v>39</v>
      </c>
      <c r="C210" t="s">
        <v>40</v>
      </c>
      <c r="D210" t="s">
        <v>26</v>
      </c>
      <c r="E210" t="s">
        <v>27</v>
      </c>
      <c r="F210" t="s">
        <v>20</v>
      </c>
      <c r="G210">
        <v>1164</v>
      </c>
      <c r="H210">
        <v>1301</v>
      </c>
      <c r="I210">
        <v>11.8</v>
      </c>
      <c r="J210" t="s">
        <v>55</v>
      </c>
    </row>
    <row r="211" spans="1:10" x14ac:dyDescent="0.35">
      <c r="A211" s="1">
        <v>45334</v>
      </c>
      <c r="B211" t="s">
        <v>39</v>
      </c>
      <c r="C211" t="s">
        <v>40</v>
      </c>
      <c r="D211" t="s">
        <v>28</v>
      </c>
      <c r="E211" t="s">
        <v>29</v>
      </c>
      <c r="F211" t="s">
        <v>23</v>
      </c>
      <c r="G211">
        <v>1558</v>
      </c>
      <c r="H211">
        <v>1023</v>
      </c>
      <c r="I211">
        <v>34.299999999999997</v>
      </c>
      <c r="J211" t="s">
        <v>56</v>
      </c>
    </row>
    <row r="212" spans="1:10" x14ac:dyDescent="0.35">
      <c r="A212" s="1">
        <v>45341</v>
      </c>
      <c r="B212" t="s">
        <v>12</v>
      </c>
      <c r="C212" t="s">
        <v>13</v>
      </c>
      <c r="D212" t="s">
        <v>15</v>
      </c>
      <c r="E212" t="s">
        <v>16</v>
      </c>
      <c r="F212" t="s">
        <v>17</v>
      </c>
      <c r="G212">
        <v>1204</v>
      </c>
      <c r="H212">
        <v>1345</v>
      </c>
      <c r="I212">
        <v>11.7</v>
      </c>
      <c r="J212" t="s">
        <v>55</v>
      </c>
    </row>
    <row r="213" spans="1:10" x14ac:dyDescent="0.35">
      <c r="A213" s="1">
        <v>45341</v>
      </c>
      <c r="B213" t="s">
        <v>12</v>
      </c>
      <c r="C213" t="s">
        <v>13</v>
      </c>
      <c r="D213" t="s">
        <v>18</v>
      </c>
      <c r="E213" t="s">
        <v>19</v>
      </c>
      <c r="F213" t="s">
        <v>20</v>
      </c>
      <c r="G213">
        <v>1347</v>
      </c>
      <c r="H213">
        <v>1781</v>
      </c>
      <c r="I213">
        <v>32.200000000000003</v>
      </c>
      <c r="J213" t="s">
        <v>55</v>
      </c>
    </row>
    <row r="214" spans="1:10" x14ac:dyDescent="0.35">
      <c r="A214" s="1">
        <v>45341</v>
      </c>
      <c r="B214" t="s">
        <v>12</v>
      </c>
      <c r="C214" t="s">
        <v>13</v>
      </c>
      <c r="D214" t="s">
        <v>21</v>
      </c>
      <c r="E214" t="s">
        <v>22</v>
      </c>
      <c r="F214" t="s">
        <v>23</v>
      </c>
      <c r="G214">
        <v>1342</v>
      </c>
      <c r="H214">
        <v>896</v>
      </c>
      <c r="I214">
        <v>33.200000000000003</v>
      </c>
      <c r="J214" t="s">
        <v>56</v>
      </c>
    </row>
    <row r="215" spans="1:10" x14ac:dyDescent="0.35">
      <c r="A215" s="1">
        <v>45341</v>
      </c>
      <c r="B215" t="s">
        <v>12</v>
      </c>
      <c r="C215" t="s">
        <v>13</v>
      </c>
      <c r="D215" t="s">
        <v>24</v>
      </c>
      <c r="E215" t="s">
        <v>25</v>
      </c>
      <c r="F215" t="s">
        <v>17</v>
      </c>
      <c r="G215">
        <v>953</v>
      </c>
      <c r="H215">
        <v>1266</v>
      </c>
      <c r="I215">
        <v>32.799999999999997</v>
      </c>
      <c r="J215" t="s">
        <v>55</v>
      </c>
    </row>
    <row r="216" spans="1:10" x14ac:dyDescent="0.35">
      <c r="A216" s="1">
        <v>45341</v>
      </c>
      <c r="B216" t="s">
        <v>12</v>
      </c>
      <c r="C216" t="s">
        <v>13</v>
      </c>
      <c r="D216" t="s">
        <v>26</v>
      </c>
      <c r="E216" t="s">
        <v>27</v>
      </c>
      <c r="F216" t="s">
        <v>20</v>
      </c>
      <c r="G216">
        <v>1082</v>
      </c>
      <c r="H216">
        <v>1361</v>
      </c>
      <c r="I216">
        <v>25.8</v>
      </c>
      <c r="J216" t="s">
        <v>55</v>
      </c>
    </row>
    <row r="217" spans="1:10" x14ac:dyDescent="0.35">
      <c r="A217" s="1">
        <v>45341</v>
      </c>
      <c r="B217" t="s">
        <v>12</v>
      </c>
      <c r="C217" t="s">
        <v>13</v>
      </c>
      <c r="D217" t="s">
        <v>28</v>
      </c>
      <c r="E217" t="s">
        <v>29</v>
      </c>
      <c r="F217" t="s">
        <v>23</v>
      </c>
      <c r="G217">
        <v>1558</v>
      </c>
      <c r="H217">
        <v>1208</v>
      </c>
      <c r="I217">
        <v>22.5</v>
      </c>
      <c r="J217" t="s">
        <v>56</v>
      </c>
    </row>
    <row r="218" spans="1:10" x14ac:dyDescent="0.35">
      <c r="A218" s="1">
        <v>45341</v>
      </c>
      <c r="B218" t="s">
        <v>30</v>
      </c>
      <c r="C218" t="s">
        <v>31</v>
      </c>
      <c r="D218" t="s">
        <v>15</v>
      </c>
      <c r="E218" t="s">
        <v>16</v>
      </c>
      <c r="F218" t="s">
        <v>17</v>
      </c>
      <c r="G218">
        <v>524</v>
      </c>
      <c r="H218">
        <v>585</v>
      </c>
      <c r="I218">
        <v>11.6</v>
      </c>
      <c r="J218" t="s">
        <v>55</v>
      </c>
    </row>
    <row r="219" spans="1:10" x14ac:dyDescent="0.35">
      <c r="A219" s="1">
        <v>45341</v>
      </c>
      <c r="B219" t="s">
        <v>30</v>
      </c>
      <c r="C219" t="s">
        <v>31</v>
      </c>
      <c r="D219" t="s">
        <v>18</v>
      </c>
      <c r="E219" t="s">
        <v>19</v>
      </c>
      <c r="F219" t="s">
        <v>20</v>
      </c>
      <c r="G219">
        <v>1446</v>
      </c>
      <c r="H219">
        <v>1009</v>
      </c>
      <c r="I219">
        <v>30.2</v>
      </c>
      <c r="J219" t="s">
        <v>56</v>
      </c>
    </row>
    <row r="220" spans="1:10" x14ac:dyDescent="0.35">
      <c r="A220" s="1">
        <v>45341</v>
      </c>
      <c r="B220" t="s">
        <v>30</v>
      </c>
      <c r="C220" t="s">
        <v>31</v>
      </c>
      <c r="D220" t="s">
        <v>21</v>
      </c>
      <c r="E220" t="s">
        <v>22</v>
      </c>
      <c r="F220" t="s">
        <v>23</v>
      </c>
      <c r="G220">
        <v>819</v>
      </c>
      <c r="H220">
        <v>1011</v>
      </c>
      <c r="I220">
        <v>23.4</v>
      </c>
      <c r="J220" t="s">
        <v>55</v>
      </c>
    </row>
    <row r="221" spans="1:10" x14ac:dyDescent="0.35">
      <c r="A221" s="1">
        <v>45341</v>
      </c>
      <c r="B221" t="s">
        <v>30</v>
      </c>
      <c r="C221" t="s">
        <v>31</v>
      </c>
      <c r="D221" t="s">
        <v>24</v>
      </c>
      <c r="E221" t="s">
        <v>25</v>
      </c>
      <c r="F221" t="s">
        <v>17</v>
      </c>
      <c r="G221">
        <v>1414</v>
      </c>
      <c r="H221">
        <v>1584</v>
      </c>
      <c r="I221">
        <v>12</v>
      </c>
      <c r="J221" t="s">
        <v>55</v>
      </c>
    </row>
    <row r="222" spans="1:10" x14ac:dyDescent="0.35">
      <c r="A222" s="1">
        <v>45341</v>
      </c>
      <c r="B222" t="s">
        <v>30</v>
      </c>
      <c r="C222" t="s">
        <v>31</v>
      </c>
      <c r="D222" t="s">
        <v>26</v>
      </c>
      <c r="E222" t="s">
        <v>27</v>
      </c>
      <c r="F222" t="s">
        <v>20</v>
      </c>
      <c r="G222">
        <v>716</v>
      </c>
      <c r="H222">
        <v>594</v>
      </c>
      <c r="I222">
        <v>17</v>
      </c>
      <c r="J222" t="s">
        <v>56</v>
      </c>
    </row>
    <row r="223" spans="1:10" x14ac:dyDescent="0.35">
      <c r="A223" s="1">
        <v>45341</v>
      </c>
      <c r="B223" t="s">
        <v>30</v>
      </c>
      <c r="C223" t="s">
        <v>31</v>
      </c>
      <c r="D223" t="s">
        <v>28</v>
      </c>
      <c r="E223" t="s">
        <v>29</v>
      </c>
      <c r="F223" t="s">
        <v>23</v>
      </c>
      <c r="G223">
        <v>413</v>
      </c>
      <c r="H223">
        <v>545</v>
      </c>
      <c r="I223">
        <v>32</v>
      </c>
      <c r="J223" t="s">
        <v>55</v>
      </c>
    </row>
    <row r="224" spans="1:10" x14ac:dyDescent="0.35">
      <c r="A224" s="1">
        <v>45341</v>
      </c>
      <c r="B224" t="s">
        <v>33</v>
      </c>
      <c r="C224" t="s">
        <v>34</v>
      </c>
      <c r="D224" t="s">
        <v>15</v>
      </c>
      <c r="E224" t="s">
        <v>16</v>
      </c>
      <c r="F224" t="s">
        <v>17</v>
      </c>
      <c r="G224">
        <v>811</v>
      </c>
      <c r="H224">
        <v>718</v>
      </c>
      <c r="I224">
        <v>11.5</v>
      </c>
      <c r="J224" t="s">
        <v>56</v>
      </c>
    </row>
    <row r="225" spans="1:10" x14ac:dyDescent="0.35">
      <c r="A225" s="1">
        <v>45341</v>
      </c>
      <c r="B225" t="s">
        <v>33</v>
      </c>
      <c r="C225" t="s">
        <v>34</v>
      </c>
      <c r="D225" t="s">
        <v>18</v>
      </c>
      <c r="E225" t="s">
        <v>19</v>
      </c>
      <c r="F225" t="s">
        <v>20</v>
      </c>
      <c r="G225">
        <v>647</v>
      </c>
      <c r="H225">
        <v>494</v>
      </c>
      <c r="I225">
        <v>23.6</v>
      </c>
      <c r="J225" t="s">
        <v>56</v>
      </c>
    </row>
    <row r="226" spans="1:10" x14ac:dyDescent="0.35">
      <c r="A226" s="1">
        <v>45341</v>
      </c>
      <c r="B226" t="s">
        <v>33</v>
      </c>
      <c r="C226" t="s">
        <v>34</v>
      </c>
      <c r="D226" t="s">
        <v>21</v>
      </c>
      <c r="E226" t="s">
        <v>22</v>
      </c>
      <c r="F226" t="s">
        <v>23</v>
      </c>
      <c r="G226">
        <v>612</v>
      </c>
      <c r="H226">
        <v>747</v>
      </c>
      <c r="I226">
        <v>22.1</v>
      </c>
      <c r="J226" t="s">
        <v>55</v>
      </c>
    </row>
    <row r="227" spans="1:10" x14ac:dyDescent="0.35">
      <c r="A227" s="1">
        <v>45341</v>
      </c>
      <c r="B227" t="s">
        <v>33</v>
      </c>
      <c r="C227" t="s">
        <v>34</v>
      </c>
      <c r="D227" t="s">
        <v>24</v>
      </c>
      <c r="E227" t="s">
        <v>25</v>
      </c>
      <c r="F227" t="s">
        <v>17</v>
      </c>
      <c r="G227">
        <v>1308</v>
      </c>
      <c r="H227">
        <v>1565</v>
      </c>
      <c r="I227">
        <v>19.600000000000001</v>
      </c>
      <c r="J227" t="s">
        <v>55</v>
      </c>
    </row>
    <row r="228" spans="1:10" x14ac:dyDescent="0.35">
      <c r="A228" s="1">
        <v>45341</v>
      </c>
      <c r="B228" t="s">
        <v>33</v>
      </c>
      <c r="C228" t="s">
        <v>34</v>
      </c>
      <c r="D228" t="s">
        <v>26</v>
      </c>
      <c r="E228" t="s">
        <v>27</v>
      </c>
      <c r="F228" t="s">
        <v>20</v>
      </c>
      <c r="G228">
        <v>1014</v>
      </c>
      <c r="H228">
        <v>1218</v>
      </c>
      <c r="I228">
        <v>20.100000000000001</v>
      </c>
      <c r="J228" t="s">
        <v>55</v>
      </c>
    </row>
    <row r="229" spans="1:10" x14ac:dyDescent="0.35">
      <c r="A229" s="1">
        <v>45341</v>
      </c>
      <c r="B229" t="s">
        <v>33</v>
      </c>
      <c r="C229" t="s">
        <v>34</v>
      </c>
      <c r="D229" t="s">
        <v>28</v>
      </c>
      <c r="E229" t="s">
        <v>29</v>
      </c>
      <c r="F229" t="s">
        <v>23</v>
      </c>
      <c r="G229">
        <v>881</v>
      </c>
      <c r="H229">
        <v>1173</v>
      </c>
      <c r="I229">
        <v>33.1</v>
      </c>
      <c r="J229" t="s">
        <v>55</v>
      </c>
    </row>
    <row r="230" spans="1:10" x14ac:dyDescent="0.35">
      <c r="A230" s="1">
        <v>45341</v>
      </c>
      <c r="B230" t="s">
        <v>36</v>
      </c>
      <c r="C230" t="s">
        <v>37</v>
      </c>
      <c r="D230" t="s">
        <v>15</v>
      </c>
      <c r="E230" t="s">
        <v>16</v>
      </c>
      <c r="F230" t="s">
        <v>17</v>
      </c>
      <c r="G230">
        <v>1299</v>
      </c>
      <c r="H230">
        <v>1737</v>
      </c>
      <c r="I230">
        <v>33.700000000000003</v>
      </c>
      <c r="J230" t="s">
        <v>55</v>
      </c>
    </row>
    <row r="231" spans="1:10" x14ac:dyDescent="0.35">
      <c r="A231" s="1">
        <v>45341</v>
      </c>
      <c r="B231" t="s">
        <v>36</v>
      </c>
      <c r="C231" t="s">
        <v>37</v>
      </c>
      <c r="D231" t="s">
        <v>18</v>
      </c>
      <c r="E231" t="s">
        <v>19</v>
      </c>
      <c r="F231" t="s">
        <v>20</v>
      </c>
      <c r="G231">
        <v>1285</v>
      </c>
      <c r="H231">
        <v>1125</v>
      </c>
      <c r="I231">
        <v>12.5</v>
      </c>
      <c r="J231" t="s">
        <v>56</v>
      </c>
    </row>
    <row r="232" spans="1:10" x14ac:dyDescent="0.35">
      <c r="A232" s="1">
        <v>45341</v>
      </c>
      <c r="B232" t="s">
        <v>36</v>
      </c>
      <c r="C232" t="s">
        <v>37</v>
      </c>
      <c r="D232" t="s">
        <v>21</v>
      </c>
      <c r="E232" t="s">
        <v>22</v>
      </c>
      <c r="F232" t="s">
        <v>23</v>
      </c>
      <c r="G232">
        <v>690</v>
      </c>
      <c r="H232">
        <v>914</v>
      </c>
      <c r="I232">
        <v>32.5</v>
      </c>
      <c r="J232" t="s">
        <v>55</v>
      </c>
    </row>
    <row r="233" spans="1:10" x14ac:dyDescent="0.35">
      <c r="A233" s="1">
        <v>45341</v>
      </c>
      <c r="B233" t="s">
        <v>36</v>
      </c>
      <c r="C233" t="s">
        <v>37</v>
      </c>
      <c r="D233" t="s">
        <v>24</v>
      </c>
      <c r="E233" t="s">
        <v>25</v>
      </c>
      <c r="F233" t="s">
        <v>17</v>
      </c>
      <c r="G233">
        <v>749</v>
      </c>
      <c r="H233">
        <v>923</v>
      </c>
      <c r="I233">
        <v>23.2</v>
      </c>
      <c r="J233" t="s">
        <v>55</v>
      </c>
    </row>
    <row r="234" spans="1:10" x14ac:dyDescent="0.35">
      <c r="A234" s="1">
        <v>45341</v>
      </c>
      <c r="B234" t="s">
        <v>36</v>
      </c>
      <c r="C234" t="s">
        <v>37</v>
      </c>
      <c r="D234" t="s">
        <v>26</v>
      </c>
      <c r="E234" t="s">
        <v>27</v>
      </c>
      <c r="F234" t="s">
        <v>20</v>
      </c>
      <c r="G234">
        <v>810</v>
      </c>
      <c r="H234">
        <v>629</v>
      </c>
      <c r="I234">
        <v>22.3</v>
      </c>
      <c r="J234" t="s">
        <v>56</v>
      </c>
    </row>
    <row r="235" spans="1:10" x14ac:dyDescent="0.35">
      <c r="A235" s="1">
        <v>45341</v>
      </c>
      <c r="B235" t="s">
        <v>36</v>
      </c>
      <c r="C235" t="s">
        <v>37</v>
      </c>
      <c r="D235" t="s">
        <v>28</v>
      </c>
      <c r="E235" t="s">
        <v>29</v>
      </c>
      <c r="F235" t="s">
        <v>23</v>
      </c>
      <c r="G235">
        <v>604</v>
      </c>
      <c r="H235">
        <v>381</v>
      </c>
      <c r="I235">
        <v>36.9</v>
      </c>
      <c r="J235" t="s">
        <v>56</v>
      </c>
    </row>
    <row r="236" spans="1:10" x14ac:dyDescent="0.35">
      <c r="A236" s="1">
        <v>45341</v>
      </c>
      <c r="B236" t="s">
        <v>39</v>
      </c>
      <c r="C236" t="s">
        <v>40</v>
      </c>
      <c r="D236" t="s">
        <v>15</v>
      </c>
      <c r="E236" t="s">
        <v>16</v>
      </c>
      <c r="F236" t="s">
        <v>17</v>
      </c>
      <c r="G236">
        <v>963</v>
      </c>
      <c r="H236">
        <v>1153</v>
      </c>
      <c r="I236">
        <v>19.7</v>
      </c>
      <c r="J236" t="s">
        <v>55</v>
      </c>
    </row>
    <row r="237" spans="1:10" x14ac:dyDescent="0.35">
      <c r="A237" s="1">
        <v>45341</v>
      </c>
      <c r="B237" t="s">
        <v>39</v>
      </c>
      <c r="C237" t="s">
        <v>40</v>
      </c>
      <c r="D237" t="s">
        <v>18</v>
      </c>
      <c r="E237" t="s">
        <v>19</v>
      </c>
      <c r="F237" t="s">
        <v>20</v>
      </c>
      <c r="G237">
        <v>619</v>
      </c>
      <c r="H237">
        <v>754</v>
      </c>
      <c r="I237">
        <v>21.8</v>
      </c>
      <c r="J237" t="s">
        <v>55</v>
      </c>
    </row>
    <row r="238" spans="1:10" x14ac:dyDescent="0.35">
      <c r="A238" s="1">
        <v>45341</v>
      </c>
      <c r="B238" t="s">
        <v>39</v>
      </c>
      <c r="C238" t="s">
        <v>40</v>
      </c>
      <c r="D238" t="s">
        <v>21</v>
      </c>
      <c r="E238" t="s">
        <v>22</v>
      </c>
      <c r="F238" t="s">
        <v>23</v>
      </c>
      <c r="G238">
        <v>703</v>
      </c>
      <c r="H238">
        <v>640</v>
      </c>
      <c r="I238">
        <v>9</v>
      </c>
      <c r="J238" t="s">
        <v>56</v>
      </c>
    </row>
    <row r="239" spans="1:10" x14ac:dyDescent="0.35">
      <c r="A239" s="1">
        <v>45341</v>
      </c>
      <c r="B239" t="s">
        <v>39</v>
      </c>
      <c r="C239" t="s">
        <v>40</v>
      </c>
      <c r="D239" t="s">
        <v>24</v>
      </c>
      <c r="E239" t="s">
        <v>25</v>
      </c>
      <c r="F239" t="s">
        <v>17</v>
      </c>
      <c r="G239">
        <v>1555</v>
      </c>
      <c r="H239">
        <v>1861</v>
      </c>
      <c r="I239">
        <v>19.7</v>
      </c>
      <c r="J239" t="s">
        <v>55</v>
      </c>
    </row>
    <row r="240" spans="1:10" x14ac:dyDescent="0.35">
      <c r="A240" s="1">
        <v>45341</v>
      </c>
      <c r="B240" t="s">
        <v>39</v>
      </c>
      <c r="C240" t="s">
        <v>40</v>
      </c>
      <c r="D240" t="s">
        <v>26</v>
      </c>
      <c r="E240" t="s">
        <v>27</v>
      </c>
      <c r="F240" t="s">
        <v>20</v>
      </c>
      <c r="G240">
        <v>469</v>
      </c>
      <c r="H240">
        <v>597</v>
      </c>
      <c r="I240">
        <v>27.3</v>
      </c>
      <c r="J240" t="s">
        <v>55</v>
      </c>
    </row>
    <row r="241" spans="1:10" x14ac:dyDescent="0.35">
      <c r="A241" s="1">
        <v>45341</v>
      </c>
      <c r="B241" t="s">
        <v>39</v>
      </c>
      <c r="C241" t="s">
        <v>40</v>
      </c>
      <c r="D241" t="s">
        <v>28</v>
      </c>
      <c r="E241" t="s">
        <v>29</v>
      </c>
      <c r="F241" t="s">
        <v>23</v>
      </c>
      <c r="G241">
        <v>1310</v>
      </c>
      <c r="H241">
        <v>1431</v>
      </c>
      <c r="I241">
        <v>9.1999999999999993</v>
      </c>
      <c r="J241" t="s">
        <v>55</v>
      </c>
    </row>
    <row r="242" spans="1:10" x14ac:dyDescent="0.35">
      <c r="A242" s="1">
        <v>45348</v>
      </c>
      <c r="B242" t="s">
        <v>12</v>
      </c>
      <c r="C242" t="s">
        <v>13</v>
      </c>
      <c r="D242" t="s">
        <v>15</v>
      </c>
      <c r="E242" t="s">
        <v>16</v>
      </c>
      <c r="F242" t="s">
        <v>17</v>
      </c>
      <c r="G242">
        <v>685</v>
      </c>
      <c r="H242">
        <v>835</v>
      </c>
      <c r="I242">
        <v>21.9</v>
      </c>
      <c r="J242" t="s">
        <v>55</v>
      </c>
    </row>
    <row r="243" spans="1:10" x14ac:dyDescent="0.35">
      <c r="A243" s="1">
        <v>45348</v>
      </c>
      <c r="B243" t="s">
        <v>12</v>
      </c>
      <c r="C243" t="s">
        <v>13</v>
      </c>
      <c r="D243" t="s">
        <v>18</v>
      </c>
      <c r="E243" t="s">
        <v>19</v>
      </c>
      <c r="F243" t="s">
        <v>20</v>
      </c>
      <c r="G243">
        <v>967</v>
      </c>
      <c r="H243">
        <v>886</v>
      </c>
      <c r="I243">
        <v>8.4</v>
      </c>
      <c r="J243" t="s">
        <v>56</v>
      </c>
    </row>
    <row r="244" spans="1:10" x14ac:dyDescent="0.35">
      <c r="A244" s="1">
        <v>45348</v>
      </c>
      <c r="B244" t="s">
        <v>12</v>
      </c>
      <c r="C244" t="s">
        <v>13</v>
      </c>
      <c r="D244" t="s">
        <v>21</v>
      </c>
      <c r="E244" t="s">
        <v>22</v>
      </c>
      <c r="F244" t="s">
        <v>23</v>
      </c>
      <c r="G244">
        <v>1425</v>
      </c>
      <c r="H244">
        <v>1904</v>
      </c>
      <c r="I244">
        <v>33.6</v>
      </c>
      <c r="J244" t="s">
        <v>55</v>
      </c>
    </row>
    <row r="245" spans="1:10" x14ac:dyDescent="0.35">
      <c r="A245" s="1">
        <v>45348</v>
      </c>
      <c r="B245" t="s">
        <v>12</v>
      </c>
      <c r="C245" t="s">
        <v>13</v>
      </c>
      <c r="D245" t="s">
        <v>24</v>
      </c>
      <c r="E245" t="s">
        <v>25</v>
      </c>
      <c r="F245" t="s">
        <v>17</v>
      </c>
      <c r="G245">
        <v>1114</v>
      </c>
      <c r="H245">
        <v>1504</v>
      </c>
      <c r="I245">
        <v>35</v>
      </c>
      <c r="J245" t="s">
        <v>55</v>
      </c>
    </row>
    <row r="246" spans="1:10" x14ac:dyDescent="0.35">
      <c r="A246" s="1">
        <v>45348</v>
      </c>
      <c r="B246" t="s">
        <v>12</v>
      </c>
      <c r="C246" t="s">
        <v>13</v>
      </c>
      <c r="D246" t="s">
        <v>26</v>
      </c>
      <c r="E246" t="s">
        <v>27</v>
      </c>
      <c r="F246" t="s">
        <v>20</v>
      </c>
      <c r="G246">
        <v>1450</v>
      </c>
      <c r="H246">
        <v>1593</v>
      </c>
      <c r="I246">
        <v>9.9</v>
      </c>
      <c r="J246" t="s">
        <v>55</v>
      </c>
    </row>
    <row r="247" spans="1:10" x14ac:dyDescent="0.35">
      <c r="A247" s="1">
        <v>45348</v>
      </c>
      <c r="B247" t="s">
        <v>12</v>
      </c>
      <c r="C247" t="s">
        <v>13</v>
      </c>
      <c r="D247" t="s">
        <v>28</v>
      </c>
      <c r="E247" t="s">
        <v>29</v>
      </c>
      <c r="F247" t="s">
        <v>23</v>
      </c>
      <c r="G247">
        <v>1120</v>
      </c>
      <c r="H247">
        <v>1429</v>
      </c>
      <c r="I247">
        <v>27.6</v>
      </c>
      <c r="J247" t="s">
        <v>55</v>
      </c>
    </row>
    <row r="248" spans="1:10" x14ac:dyDescent="0.35">
      <c r="A248" s="1">
        <v>45348</v>
      </c>
      <c r="B248" t="s">
        <v>30</v>
      </c>
      <c r="C248" t="s">
        <v>31</v>
      </c>
      <c r="D248" t="s">
        <v>15</v>
      </c>
      <c r="E248" t="s">
        <v>16</v>
      </c>
      <c r="F248" t="s">
        <v>17</v>
      </c>
      <c r="G248">
        <v>1341</v>
      </c>
      <c r="H248">
        <v>1735</v>
      </c>
      <c r="I248">
        <v>29.4</v>
      </c>
      <c r="J248" t="s">
        <v>55</v>
      </c>
    </row>
    <row r="249" spans="1:10" x14ac:dyDescent="0.35">
      <c r="A249" s="1">
        <v>45348</v>
      </c>
      <c r="B249" t="s">
        <v>30</v>
      </c>
      <c r="C249" t="s">
        <v>31</v>
      </c>
      <c r="D249" t="s">
        <v>18</v>
      </c>
      <c r="E249" t="s">
        <v>19</v>
      </c>
      <c r="F249" t="s">
        <v>20</v>
      </c>
      <c r="G249">
        <v>970</v>
      </c>
      <c r="H249">
        <v>1276</v>
      </c>
      <c r="I249">
        <v>31.5</v>
      </c>
      <c r="J249" t="s">
        <v>55</v>
      </c>
    </row>
    <row r="250" spans="1:10" x14ac:dyDescent="0.35">
      <c r="A250" s="1">
        <v>45348</v>
      </c>
      <c r="B250" t="s">
        <v>30</v>
      </c>
      <c r="C250" t="s">
        <v>31</v>
      </c>
      <c r="D250" t="s">
        <v>21</v>
      </c>
      <c r="E250" t="s">
        <v>22</v>
      </c>
      <c r="F250" t="s">
        <v>23</v>
      </c>
      <c r="G250">
        <v>1206</v>
      </c>
      <c r="H250">
        <v>1327</v>
      </c>
      <c r="I250">
        <v>10</v>
      </c>
      <c r="J250" t="s">
        <v>55</v>
      </c>
    </row>
    <row r="251" spans="1:10" x14ac:dyDescent="0.35">
      <c r="A251" s="1">
        <v>45348</v>
      </c>
      <c r="B251" t="s">
        <v>30</v>
      </c>
      <c r="C251" t="s">
        <v>31</v>
      </c>
      <c r="D251" t="s">
        <v>24</v>
      </c>
      <c r="E251" t="s">
        <v>25</v>
      </c>
      <c r="F251" t="s">
        <v>17</v>
      </c>
      <c r="G251">
        <v>1390</v>
      </c>
      <c r="H251">
        <v>1121</v>
      </c>
      <c r="I251">
        <v>19.399999999999999</v>
      </c>
      <c r="J251" t="s">
        <v>56</v>
      </c>
    </row>
    <row r="252" spans="1:10" x14ac:dyDescent="0.35">
      <c r="A252" s="1">
        <v>45348</v>
      </c>
      <c r="B252" t="s">
        <v>30</v>
      </c>
      <c r="C252" t="s">
        <v>31</v>
      </c>
      <c r="D252" t="s">
        <v>26</v>
      </c>
      <c r="E252" t="s">
        <v>27</v>
      </c>
      <c r="F252" t="s">
        <v>20</v>
      </c>
      <c r="G252">
        <v>769</v>
      </c>
      <c r="H252">
        <v>963</v>
      </c>
      <c r="I252">
        <v>25.2</v>
      </c>
      <c r="J252" t="s">
        <v>55</v>
      </c>
    </row>
    <row r="253" spans="1:10" x14ac:dyDescent="0.35">
      <c r="A253" s="1">
        <v>45348</v>
      </c>
      <c r="B253" t="s">
        <v>30</v>
      </c>
      <c r="C253" t="s">
        <v>31</v>
      </c>
      <c r="D253" t="s">
        <v>28</v>
      </c>
      <c r="E253" t="s">
        <v>29</v>
      </c>
      <c r="F253" t="s">
        <v>23</v>
      </c>
      <c r="G253">
        <v>1476</v>
      </c>
      <c r="H253">
        <v>1708</v>
      </c>
      <c r="I253">
        <v>15.7</v>
      </c>
      <c r="J253" t="s">
        <v>55</v>
      </c>
    </row>
    <row r="254" spans="1:10" x14ac:dyDescent="0.35">
      <c r="A254" s="1">
        <v>45348</v>
      </c>
      <c r="B254" t="s">
        <v>33</v>
      </c>
      <c r="C254" t="s">
        <v>34</v>
      </c>
      <c r="D254" t="s">
        <v>15</v>
      </c>
      <c r="E254" t="s">
        <v>16</v>
      </c>
      <c r="F254" t="s">
        <v>17</v>
      </c>
      <c r="G254">
        <v>1589</v>
      </c>
      <c r="H254">
        <v>1882</v>
      </c>
      <c r="I254">
        <v>18.399999999999999</v>
      </c>
      <c r="J254" t="s">
        <v>55</v>
      </c>
    </row>
    <row r="255" spans="1:10" x14ac:dyDescent="0.35">
      <c r="A255" s="1">
        <v>45348</v>
      </c>
      <c r="B255" t="s">
        <v>33</v>
      </c>
      <c r="C255" t="s">
        <v>34</v>
      </c>
      <c r="D255" t="s">
        <v>18</v>
      </c>
      <c r="E255" t="s">
        <v>19</v>
      </c>
      <c r="F255" t="s">
        <v>20</v>
      </c>
      <c r="G255">
        <v>1226</v>
      </c>
      <c r="H255">
        <v>1103</v>
      </c>
      <c r="I255">
        <v>10</v>
      </c>
      <c r="J255" t="s">
        <v>56</v>
      </c>
    </row>
    <row r="256" spans="1:10" x14ac:dyDescent="0.35">
      <c r="A256" s="1">
        <v>45348</v>
      </c>
      <c r="B256" t="s">
        <v>33</v>
      </c>
      <c r="C256" t="s">
        <v>34</v>
      </c>
      <c r="D256" t="s">
        <v>21</v>
      </c>
      <c r="E256" t="s">
        <v>22</v>
      </c>
      <c r="F256" t="s">
        <v>23</v>
      </c>
      <c r="G256">
        <v>725</v>
      </c>
      <c r="H256">
        <v>833</v>
      </c>
      <c r="I256">
        <v>14.9</v>
      </c>
      <c r="J256" t="s">
        <v>55</v>
      </c>
    </row>
    <row r="257" spans="1:10" x14ac:dyDescent="0.35">
      <c r="A257" s="1">
        <v>45348</v>
      </c>
      <c r="B257" t="s">
        <v>33</v>
      </c>
      <c r="C257" t="s">
        <v>34</v>
      </c>
      <c r="D257" t="s">
        <v>24</v>
      </c>
      <c r="E257" t="s">
        <v>25</v>
      </c>
      <c r="F257" t="s">
        <v>17</v>
      </c>
      <c r="G257">
        <v>1422</v>
      </c>
      <c r="H257">
        <v>909</v>
      </c>
      <c r="I257">
        <v>36.1</v>
      </c>
      <c r="J257" t="s">
        <v>56</v>
      </c>
    </row>
    <row r="258" spans="1:10" x14ac:dyDescent="0.35">
      <c r="A258" s="1">
        <v>45348</v>
      </c>
      <c r="B258" t="s">
        <v>33</v>
      </c>
      <c r="C258" t="s">
        <v>34</v>
      </c>
      <c r="D258" t="s">
        <v>26</v>
      </c>
      <c r="E258" t="s">
        <v>27</v>
      </c>
      <c r="F258" t="s">
        <v>20</v>
      </c>
      <c r="G258">
        <v>874</v>
      </c>
      <c r="H258">
        <v>1201</v>
      </c>
      <c r="I258">
        <v>37.4</v>
      </c>
      <c r="J258" t="s">
        <v>55</v>
      </c>
    </row>
    <row r="259" spans="1:10" x14ac:dyDescent="0.35">
      <c r="A259" s="1">
        <v>45348</v>
      </c>
      <c r="B259" t="s">
        <v>33</v>
      </c>
      <c r="C259" t="s">
        <v>34</v>
      </c>
      <c r="D259" t="s">
        <v>28</v>
      </c>
      <c r="E259" t="s">
        <v>29</v>
      </c>
      <c r="F259" t="s">
        <v>23</v>
      </c>
      <c r="G259">
        <v>884</v>
      </c>
      <c r="H259">
        <v>982</v>
      </c>
      <c r="I259">
        <v>11.1</v>
      </c>
      <c r="J259" t="s">
        <v>55</v>
      </c>
    </row>
    <row r="260" spans="1:10" x14ac:dyDescent="0.35">
      <c r="A260" s="1">
        <v>45348</v>
      </c>
      <c r="B260" t="s">
        <v>36</v>
      </c>
      <c r="C260" t="s">
        <v>37</v>
      </c>
      <c r="D260" t="s">
        <v>15</v>
      </c>
      <c r="E260" t="s">
        <v>16</v>
      </c>
      <c r="F260" t="s">
        <v>17</v>
      </c>
      <c r="G260">
        <v>1186</v>
      </c>
      <c r="H260">
        <v>822</v>
      </c>
      <c r="I260">
        <v>30.7</v>
      </c>
      <c r="J260" t="s">
        <v>56</v>
      </c>
    </row>
    <row r="261" spans="1:10" x14ac:dyDescent="0.35">
      <c r="A261" s="1">
        <v>45348</v>
      </c>
      <c r="B261" t="s">
        <v>36</v>
      </c>
      <c r="C261" t="s">
        <v>37</v>
      </c>
      <c r="D261" t="s">
        <v>18</v>
      </c>
      <c r="E261" t="s">
        <v>19</v>
      </c>
      <c r="F261" t="s">
        <v>20</v>
      </c>
      <c r="G261">
        <v>531</v>
      </c>
      <c r="H261">
        <v>478</v>
      </c>
      <c r="I261">
        <v>10</v>
      </c>
      <c r="J261" t="s">
        <v>56</v>
      </c>
    </row>
    <row r="262" spans="1:10" x14ac:dyDescent="0.35">
      <c r="A262" s="1">
        <v>45348</v>
      </c>
      <c r="B262" t="s">
        <v>36</v>
      </c>
      <c r="C262" t="s">
        <v>37</v>
      </c>
      <c r="D262" t="s">
        <v>21</v>
      </c>
      <c r="E262" t="s">
        <v>22</v>
      </c>
      <c r="F262" t="s">
        <v>23</v>
      </c>
      <c r="G262">
        <v>476</v>
      </c>
      <c r="H262">
        <v>316</v>
      </c>
      <c r="I262">
        <v>33.6</v>
      </c>
      <c r="J262" t="s">
        <v>56</v>
      </c>
    </row>
    <row r="263" spans="1:10" x14ac:dyDescent="0.35">
      <c r="A263" s="1">
        <v>45348</v>
      </c>
      <c r="B263" t="s">
        <v>36</v>
      </c>
      <c r="C263" t="s">
        <v>37</v>
      </c>
      <c r="D263" t="s">
        <v>24</v>
      </c>
      <c r="E263" t="s">
        <v>25</v>
      </c>
      <c r="F263" t="s">
        <v>17</v>
      </c>
      <c r="G263">
        <v>1166</v>
      </c>
      <c r="H263">
        <v>1471</v>
      </c>
      <c r="I263">
        <v>26.2</v>
      </c>
      <c r="J263" t="s">
        <v>55</v>
      </c>
    </row>
    <row r="264" spans="1:10" x14ac:dyDescent="0.35">
      <c r="A264" s="1">
        <v>45348</v>
      </c>
      <c r="B264" t="s">
        <v>36</v>
      </c>
      <c r="C264" t="s">
        <v>37</v>
      </c>
      <c r="D264" t="s">
        <v>26</v>
      </c>
      <c r="E264" t="s">
        <v>27</v>
      </c>
      <c r="F264" t="s">
        <v>20</v>
      </c>
      <c r="G264">
        <v>756</v>
      </c>
      <c r="H264">
        <v>889</v>
      </c>
      <c r="I264">
        <v>17.600000000000001</v>
      </c>
      <c r="J264" t="s">
        <v>55</v>
      </c>
    </row>
    <row r="265" spans="1:10" x14ac:dyDescent="0.35">
      <c r="A265" s="1">
        <v>45348</v>
      </c>
      <c r="B265" t="s">
        <v>36</v>
      </c>
      <c r="C265" t="s">
        <v>37</v>
      </c>
      <c r="D265" t="s">
        <v>28</v>
      </c>
      <c r="E265" t="s">
        <v>29</v>
      </c>
      <c r="F265" t="s">
        <v>23</v>
      </c>
      <c r="G265">
        <v>1173</v>
      </c>
      <c r="H265">
        <v>1313</v>
      </c>
      <c r="I265">
        <v>11.9</v>
      </c>
      <c r="J265" t="s">
        <v>55</v>
      </c>
    </row>
    <row r="266" spans="1:10" x14ac:dyDescent="0.35">
      <c r="A266" s="1">
        <v>45348</v>
      </c>
      <c r="B266" t="s">
        <v>39</v>
      </c>
      <c r="C266" t="s">
        <v>40</v>
      </c>
      <c r="D266" t="s">
        <v>15</v>
      </c>
      <c r="E266" t="s">
        <v>16</v>
      </c>
      <c r="F266" t="s">
        <v>17</v>
      </c>
      <c r="G266">
        <v>1539</v>
      </c>
      <c r="H266">
        <v>1323</v>
      </c>
      <c r="I266">
        <v>14</v>
      </c>
      <c r="J266" t="s">
        <v>56</v>
      </c>
    </row>
    <row r="267" spans="1:10" x14ac:dyDescent="0.35">
      <c r="A267" s="1">
        <v>45348</v>
      </c>
      <c r="B267" t="s">
        <v>39</v>
      </c>
      <c r="C267" t="s">
        <v>40</v>
      </c>
      <c r="D267" t="s">
        <v>18</v>
      </c>
      <c r="E267" t="s">
        <v>19</v>
      </c>
      <c r="F267" t="s">
        <v>20</v>
      </c>
      <c r="G267">
        <v>1296</v>
      </c>
      <c r="H267">
        <v>928</v>
      </c>
      <c r="I267">
        <v>28.4</v>
      </c>
      <c r="J267" t="s">
        <v>56</v>
      </c>
    </row>
    <row r="268" spans="1:10" x14ac:dyDescent="0.35">
      <c r="A268" s="1">
        <v>45348</v>
      </c>
      <c r="B268" t="s">
        <v>39</v>
      </c>
      <c r="C268" t="s">
        <v>40</v>
      </c>
      <c r="D268" t="s">
        <v>21</v>
      </c>
      <c r="E268" t="s">
        <v>22</v>
      </c>
      <c r="F268" t="s">
        <v>23</v>
      </c>
      <c r="G268">
        <v>731</v>
      </c>
      <c r="H268">
        <v>884</v>
      </c>
      <c r="I268">
        <v>20.9</v>
      </c>
      <c r="J268" t="s">
        <v>55</v>
      </c>
    </row>
    <row r="269" spans="1:10" x14ac:dyDescent="0.35">
      <c r="A269" s="1">
        <v>45348</v>
      </c>
      <c r="B269" t="s">
        <v>39</v>
      </c>
      <c r="C269" t="s">
        <v>40</v>
      </c>
      <c r="D269" t="s">
        <v>24</v>
      </c>
      <c r="E269" t="s">
        <v>25</v>
      </c>
      <c r="F269" t="s">
        <v>17</v>
      </c>
      <c r="G269">
        <v>793</v>
      </c>
      <c r="H269">
        <v>709</v>
      </c>
      <c r="I269">
        <v>10.6</v>
      </c>
      <c r="J269" t="s">
        <v>56</v>
      </c>
    </row>
    <row r="270" spans="1:10" x14ac:dyDescent="0.35">
      <c r="A270" s="1">
        <v>45348</v>
      </c>
      <c r="B270" t="s">
        <v>39</v>
      </c>
      <c r="C270" t="s">
        <v>40</v>
      </c>
      <c r="D270" t="s">
        <v>26</v>
      </c>
      <c r="E270" t="s">
        <v>27</v>
      </c>
      <c r="F270" t="s">
        <v>20</v>
      </c>
      <c r="G270">
        <v>597</v>
      </c>
      <c r="H270">
        <v>681</v>
      </c>
      <c r="I270">
        <v>14.1</v>
      </c>
      <c r="J270" t="s">
        <v>55</v>
      </c>
    </row>
    <row r="271" spans="1:10" x14ac:dyDescent="0.35">
      <c r="A271" s="1">
        <v>45348</v>
      </c>
      <c r="B271" t="s">
        <v>39</v>
      </c>
      <c r="C271" t="s">
        <v>40</v>
      </c>
      <c r="D271" t="s">
        <v>28</v>
      </c>
      <c r="E271" t="s">
        <v>29</v>
      </c>
      <c r="F271" t="s">
        <v>23</v>
      </c>
      <c r="G271">
        <v>410</v>
      </c>
      <c r="H271">
        <v>332</v>
      </c>
      <c r="I271">
        <v>19</v>
      </c>
      <c r="J271" t="s">
        <v>56</v>
      </c>
    </row>
    <row r="272" spans="1:10" x14ac:dyDescent="0.35">
      <c r="A272" s="1">
        <v>45355</v>
      </c>
      <c r="B272" t="s">
        <v>12</v>
      </c>
      <c r="C272" t="s">
        <v>13</v>
      </c>
      <c r="D272" t="s">
        <v>15</v>
      </c>
      <c r="E272" t="s">
        <v>16</v>
      </c>
      <c r="F272" t="s">
        <v>17</v>
      </c>
      <c r="G272">
        <v>1519</v>
      </c>
      <c r="H272">
        <v>1003</v>
      </c>
      <c r="I272">
        <v>34</v>
      </c>
      <c r="J272" t="s">
        <v>56</v>
      </c>
    </row>
    <row r="273" spans="1:10" x14ac:dyDescent="0.35">
      <c r="A273" s="1">
        <v>45355</v>
      </c>
      <c r="B273" t="s">
        <v>12</v>
      </c>
      <c r="C273" t="s">
        <v>13</v>
      </c>
      <c r="D273" t="s">
        <v>18</v>
      </c>
      <c r="E273" t="s">
        <v>19</v>
      </c>
      <c r="F273" t="s">
        <v>20</v>
      </c>
      <c r="G273">
        <v>1481</v>
      </c>
      <c r="H273">
        <v>1819</v>
      </c>
      <c r="I273">
        <v>22.8</v>
      </c>
      <c r="J273" t="s">
        <v>55</v>
      </c>
    </row>
    <row r="274" spans="1:10" x14ac:dyDescent="0.35">
      <c r="A274" s="1">
        <v>45355</v>
      </c>
      <c r="B274" t="s">
        <v>12</v>
      </c>
      <c r="C274" t="s">
        <v>13</v>
      </c>
      <c r="D274" t="s">
        <v>21</v>
      </c>
      <c r="E274" t="s">
        <v>22</v>
      </c>
      <c r="F274" t="s">
        <v>23</v>
      </c>
      <c r="G274">
        <v>1568</v>
      </c>
      <c r="H274">
        <v>2082</v>
      </c>
      <c r="I274">
        <v>32.799999999999997</v>
      </c>
      <c r="J274" t="s">
        <v>55</v>
      </c>
    </row>
    <row r="275" spans="1:10" x14ac:dyDescent="0.35">
      <c r="A275" s="1">
        <v>45355</v>
      </c>
      <c r="B275" t="s">
        <v>12</v>
      </c>
      <c r="C275" t="s">
        <v>13</v>
      </c>
      <c r="D275" t="s">
        <v>24</v>
      </c>
      <c r="E275" t="s">
        <v>25</v>
      </c>
      <c r="F275" t="s">
        <v>17</v>
      </c>
      <c r="G275">
        <v>1130</v>
      </c>
      <c r="H275">
        <v>1430</v>
      </c>
      <c r="I275">
        <v>26.5</v>
      </c>
      <c r="J275" t="s">
        <v>55</v>
      </c>
    </row>
    <row r="276" spans="1:10" x14ac:dyDescent="0.35">
      <c r="A276" s="1">
        <v>45355</v>
      </c>
      <c r="B276" t="s">
        <v>12</v>
      </c>
      <c r="C276" t="s">
        <v>13</v>
      </c>
      <c r="D276" t="s">
        <v>26</v>
      </c>
      <c r="E276" t="s">
        <v>27</v>
      </c>
      <c r="F276" t="s">
        <v>20</v>
      </c>
      <c r="G276">
        <v>682</v>
      </c>
      <c r="H276">
        <v>463</v>
      </c>
      <c r="I276">
        <v>32.1</v>
      </c>
      <c r="J276" t="s">
        <v>56</v>
      </c>
    </row>
    <row r="277" spans="1:10" x14ac:dyDescent="0.35">
      <c r="A277" s="1">
        <v>45355</v>
      </c>
      <c r="B277" t="s">
        <v>12</v>
      </c>
      <c r="C277" t="s">
        <v>13</v>
      </c>
      <c r="D277" t="s">
        <v>28</v>
      </c>
      <c r="E277" t="s">
        <v>29</v>
      </c>
      <c r="F277" t="s">
        <v>23</v>
      </c>
      <c r="G277">
        <v>1170</v>
      </c>
      <c r="H277">
        <v>1570</v>
      </c>
      <c r="I277">
        <v>34.200000000000003</v>
      </c>
      <c r="J277" t="s">
        <v>55</v>
      </c>
    </row>
    <row r="278" spans="1:10" x14ac:dyDescent="0.35">
      <c r="A278" s="1">
        <v>45355</v>
      </c>
      <c r="B278" t="s">
        <v>30</v>
      </c>
      <c r="C278" t="s">
        <v>31</v>
      </c>
      <c r="D278" t="s">
        <v>15</v>
      </c>
      <c r="E278" t="s">
        <v>16</v>
      </c>
      <c r="F278" t="s">
        <v>17</v>
      </c>
      <c r="G278">
        <v>660</v>
      </c>
      <c r="H278">
        <v>452</v>
      </c>
      <c r="I278">
        <v>31.5</v>
      </c>
      <c r="J278" t="s">
        <v>56</v>
      </c>
    </row>
    <row r="279" spans="1:10" x14ac:dyDescent="0.35">
      <c r="A279" s="1">
        <v>45355</v>
      </c>
      <c r="B279" t="s">
        <v>30</v>
      </c>
      <c r="C279" t="s">
        <v>31</v>
      </c>
      <c r="D279" t="s">
        <v>18</v>
      </c>
      <c r="E279" t="s">
        <v>19</v>
      </c>
      <c r="F279" t="s">
        <v>20</v>
      </c>
      <c r="G279">
        <v>641</v>
      </c>
      <c r="H279">
        <v>493</v>
      </c>
      <c r="I279">
        <v>23.1</v>
      </c>
      <c r="J279" t="s">
        <v>56</v>
      </c>
    </row>
    <row r="280" spans="1:10" x14ac:dyDescent="0.35">
      <c r="A280" s="1">
        <v>45355</v>
      </c>
      <c r="B280" t="s">
        <v>30</v>
      </c>
      <c r="C280" t="s">
        <v>31</v>
      </c>
      <c r="D280" t="s">
        <v>21</v>
      </c>
      <c r="E280" t="s">
        <v>22</v>
      </c>
      <c r="F280" t="s">
        <v>23</v>
      </c>
      <c r="G280">
        <v>1507</v>
      </c>
      <c r="H280">
        <v>1236</v>
      </c>
      <c r="I280">
        <v>18</v>
      </c>
      <c r="J280" t="s">
        <v>56</v>
      </c>
    </row>
    <row r="281" spans="1:10" x14ac:dyDescent="0.35">
      <c r="A281" s="1">
        <v>45355</v>
      </c>
      <c r="B281" t="s">
        <v>30</v>
      </c>
      <c r="C281" t="s">
        <v>31</v>
      </c>
      <c r="D281" t="s">
        <v>24</v>
      </c>
      <c r="E281" t="s">
        <v>25</v>
      </c>
      <c r="F281" t="s">
        <v>17</v>
      </c>
      <c r="G281">
        <v>993</v>
      </c>
      <c r="H281">
        <v>638</v>
      </c>
      <c r="I281">
        <v>35.799999999999997</v>
      </c>
      <c r="J281" t="s">
        <v>56</v>
      </c>
    </row>
    <row r="282" spans="1:10" x14ac:dyDescent="0.35">
      <c r="A282" s="1">
        <v>45355</v>
      </c>
      <c r="B282" t="s">
        <v>30</v>
      </c>
      <c r="C282" t="s">
        <v>31</v>
      </c>
      <c r="D282" t="s">
        <v>26</v>
      </c>
      <c r="E282" t="s">
        <v>27</v>
      </c>
      <c r="F282" t="s">
        <v>20</v>
      </c>
      <c r="G282">
        <v>1132</v>
      </c>
      <c r="H282">
        <v>1245</v>
      </c>
      <c r="I282">
        <v>10</v>
      </c>
      <c r="J282" t="s">
        <v>55</v>
      </c>
    </row>
    <row r="283" spans="1:10" x14ac:dyDescent="0.35">
      <c r="A283" s="1">
        <v>45355</v>
      </c>
      <c r="B283" t="s">
        <v>30</v>
      </c>
      <c r="C283" t="s">
        <v>31</v>
      </c>
      <c r="D283" t="s">
        <v>28</v>
      </c>
      <c r="E283" t="s">
        <v>29</v>
      </c>
      <c r="F283" t="s">
        <v>23</v>
      </c>
      <c r="G283">
        <v>989</v>
      </c>
      <c r="H283">
        <v>1090</v>
      </c>
      <c r="I283">
        <v>10.199999999999999</v>
      </c>
      <c r="J283" t="s">
        <v>55</v>
      </c>
    </row>
    <row r="284" spans="1:10" x14ac:dyDescent="0.35">
      <c r="A284" s="1">
        <v>45355</v>
      </c>
      <c r="B284" t="s">
        <v>33</v>
      </c>
      <c r="C284" t="s">
        <v>34</v>
      </c>
      <c r="D284" t="s">
        <v>15</v>
      </c>
      <c r="E284" t="s">
        <v>16</v>
      </c>
      <c r="F284" t="s">
        <v>17</v>
      </c>
      <c r="G284">
        <v>1460</v>
      </c>
      <c r="H284">
        <v>1984</v>
      </c>
      <c r="I284">
        <v>35.9</v>
      </c>
      <c r="J284" t="s">
        <v>55</v>
      </c>
    </row>
    <row r="285" spans="1:10" x14ac:dyDescent="0.35">
      <c r="A285" s="1">
        <v>45355</v>
      </c>
      <c r="B285" t="s">
        <v>33</v>
      </c>
      <c r="C285" t="s">
        <v>34</v>
      </c>
      <c r="D285" t="s">
        <v>18</v>
      </c>
      <c r="E285" t="s">
        <v>19</v>
      </c>
      <c r="F285" t="s">
        <v>20</v>
      </c>
      <c r="G285">
        <v>1217</v>
      </c>
      <c r="H285">
        <v>1540</v>
      </c>
      <c r="I285">
        <v>26.5</v>
      </c>
      <c r="J285" t="s">
        <v>55</v>
      </c>
    </row>
    <row r="286" spans="1:10" x14ac:dyDescent="0.35">
      <c r="A286" s="1">
        <v>45355</v>
      </c>
      <c r="B286" t="s">
        <v>33</v>
      </c>
      <c r="C286" t="s">
        <v>34</v>
      </c>
      <c r="D286" t="s">
        <v>21</v>
      </c>
      <c r="E286" t="s">
        <v>22</v>
      </c>
      <c r="F286" t="s">
        <v>23</v>
      </c>
      <c r="G286">
        <v>627</v>
      </c>
      <c r="H286">
        <v>786</v>
      </c>
      <c r="I286">
        <v>25.4</v>
      </c>
      <c r="J286" t="s">
        <v>55</v>
      </c>
    </row>
    <row r="287" spans="1:10" x14ac:dyDescent="0.35">
      <c r="A287" s="1">
        <v>45355</v>
      </c>
      <c r="B287" t="s">
        <v>33</v>
      </c>
      <c r="C287" t="s">
        <v>34</v>
      </c>
      <c r="D287" t="s">
        <v>24</v>
      </c>
      <c r="E287" t="s">
        <v>25</v>
      </c>
      <c r="F287" t="s">
        <v>17</v>
      </c>
      <c r="G287">
        <v>938</v>
      </c>
      <c r="H287">
        <v>679</v>
      </c>
      <c r="I287">
        <v>27.6</v>
      </c>
      <c r="J287" t="s">
        <v>56</v>
      </c>
    </row>
    <row r="288" spans="1:10" x14ac:dyDescent="0.35">
      <c r="A288" s="1">
        <v>45355</v>
      </c>
      <c r="B288" t="s">
        <v>33</v>
      </c>
      <c r="C288" t="s">
        <v>34</v>
      </c>
      <c r="D288" t="s">
        <v>26</v>
      </c>
      <c r="E288" t="s">
        <v>27</v>
      </c>
      <c r="F288" t="s">
        <v>20</v>
      </c>
      <c r="G288">
        <v>1263</v>
      </c>
      <c r="H288">
        <v>1063</v>
      </c>
      <c r="I288">
        <v>15.8</v>
      </c>
      <c r="J288" t="s">
        <v>56</v>
      </c>
    </row>
    <row r="289" spans="1:10" x14ac:dyDescent="0.35">
      <c r="A289" s="1">
        <v>45355</v>
      </c>
      <c r="B289" t="s">
        <v>33</v>
      </c>
      <c r="C289" t="s">
        <v>34</v>
      </c>
      <c r="D289" t="s">
        <v>28</v>
      </c>
      <c r="E289" t="s">
        <v>29</v>
      </c>
      <c r="F289" t="s">
        <v>23</v>
      </c>
      <c r="G289">
        <v>521</v>
      </c>
      <c r="H289">
        <v>584</v>
      </c>
      <c r="I289">
        <v>12.1</v>
      </c>
      <c r="J289" t="s">
        <v>55</v>
      </c>
    </row>
    <row r="290" spans="1:10" x14ac:dyDescent="0.35">
      <c r="A290" s="1">
        <v>45355</v>
      </c>
      <c r="B290" t="s">
        <v>36</v>
      </c>
      <c r="C290" t="s">
        <v>37</v>
      </c>
      <c r="D290" t="s">
        <v>15</v>
      </c>
      <c r="E290" t="s">
        <v>16</v>
      </c>
      <c r="F290" t="s">
        <v>17</v>
      </c>
      <c r="G290">
        <v>1075</v>
      </c>
      <c r="H290">
        <v>1459</v>
      </c>
      <c r="I290">
        <v>35.700000000000003</v>
      </c>
      <c r="J290" t="s">
        <v>55</v>
      </c>
    </row>
    <row r="291" spans="1:10" x14ac:dyDescent="0.35">
      <c r="A291" s="1">
        <v>45355</v>
      </c>
      <c r="B291" t="s">
        <v>36</v>
      </c>
      <c r="C291" t="s">
        <v>37</v>
      </c>
      <c r="D291" t="s">
        <v>18</v>
      </c>
      <c r="E291" t="s">
        <v>19</v>
      </c>
      <c r="F291" t="s">
        <v>20</v>
      </c>
      <c r="G291">
        <v>527</v>
      </c>
      <c r="H291">
        <v>447</v>
      </c>
      <c r="I291">
        <v>15.2</v>
      </c>
      <c r="J291" t="s">
        <v>56</v>
      </c>
    </row>
    <row r="292" spans="1:10" x14ac:dyDescent="0.35">
      <c r="A292" s="1">
        <v>45355</v>
      </c>
      <c r="B292" t="s">
        <v>36</v>
      </c>
      <c r="C292" t="s">
        <v>37</v>
      </c>
      <c r="D292" t="s">
        <v>21</v>
      </c>
      <c r="E292" t="s">
        <v>22</v>
      </c>
      <c r="F292" t="s">
        <v>23</v>
      </c>
      <c r="G292">
        <v>1554</v>
      </c>
      <c r="H292">
        <v>2099</v>
      </c>
      <c r="I292">
        <v>35.1</v>
      </c>
      <c r="J292" t="s">
        <v>55</v>
      </c>
    </row>
    <row r="293" spans="1:10" x14ac:dyDescent="0.35">
      <c r="A293" s="1">
        <v>45355</v>
      </c>
      <c r="B293" t="s">
        <v>36</v>
      </c>
      <c r="C293" t="s">
        <v>37</v>
      </c>
      <c r="D293" t="s">
        <v>24</v>
      </c>
      <c r="E293" t="s">
        <v>25</v>
      </c>
      <c r="F293" t="s">
        <v>17</v>
      </c>
      <c r="G293">
        <v>472</v>
      </c>
      <c r="H293">
        <v>385</v>
      </c>
      <c r="I293">
        <v>18.399999999999999</v>
      </c>
      <c r="J293" t="s">
        <v>56</v>
      </c>
    </row>
    <row r="294" spans="1:10" x14ac:dyDescent="0.35">
      <c r="A294" s="1">
        <v>45355</v>
      </c>
      <c r="B294" t="s">
        <v>36</v>
      </c>
      <c r="C294" t="s">
        <v>37</v>
      </c>
      <c r="D294" t="s">
        <v>26</v>
      </c>
      <c r="E294" t="s">
        <v>27</v>
      </c>
      <c r="F294" t="s">
        <v>20</v>
      </c>
      <c r="G294">
        <v>1252</v>
      </c>
      <c r="H294">
        <v>1576</v>
      </c>
      <c r="I294">
        <v>25.9</v>
      </c>
      <c r="J294" t="s">
        <v>55</v>
      </c>
    </row>
    <row r="295" spans="1:10" x14ac:dyDescent="0.35">
      <c r="A295" s="1">
        <v>45355</v>
      </c>
      <c r="B295" t="s">
        <v>36</v>
      </c>
      <c r="C295" t="s">
        <v>37</v>
      </c>
      <c r="D295" t="s">
        <v>28</v>
      </c>
      <c r="E295" t="s">
        <v>29</v>
      </c>
      <c r="F295" t="s">
        <v>23</v>
      </c>
      <c r="G295">
        <v>565</v>
      </c>
      <c r="H295">
        <v>369</v>
      </c>
      <c r="I295">
        <v>34.700000000000003</v>
      </c>
      <c r="J295" t="s">
        <v>56</v>
      </c>
    </row>
    <row r="296" spans="1:10" x14ac:dyDescent="0.35">
      <c r="A296" s="1">
        <v>45355</v>
      </c>
      <c r="B296" t="s">
        <v>39</v>
      </c>
      <c r="C296" t="s">
        <v>40</v>
      </c>
      <c r="D296" t="s">
        <v>15</v>
      </c>
      <c r="E296" t="s">
        <v>16</v>
      </c>
      <c r="F296" t="s">
        <v>17</v>
      </c>
      <c r="G296">
        <v>665</v>
      </c>
      <c r="H296">
        <v>557</v>
      </c>
      <c r="I296">
        <v>16.2</v>
      </c>
      <c r="J296" t="s">
        <v>56</v>
      </c>
    </row>
    <row r="297" spans="1:10" x14ac:dyDescent="0.35">
      <c r="A297" s="1">
        <v>45355</v>
      </c>
      <c r="B297" t="s">
        <v>39</v>
      </c>
      <c r="C297" t="s">
        <v>40</v>
      </c>
      <c r="D297" t="s">
        <v>18</v>
      </c>
      <c r="E297" t="s">
        <v>19</v>
      </c>
      <c r="F297" t="s">
        <v>20</v>
      </c>
      <c r="G297">
        <v>472</v>
      </c>
      <c r="H297">
        <v>363</v>
      </c>
      <c r="I297">
        <v>23.1</v>
      </c>
      <c r="J297" t="s">
        <v>56</v>
      </c>
    </row>
    <row r="298" spans="1:10" x14ac:dyDescent="0.35">
      <c r="A298" s="1">
        <v>45355</v>
      </c>
      <c r="B298" t="s">
        <v>39</v>
      </c>
      <c r="C298" t="s">
        <v>40</v>
      </c>
      <c r="D298" t="s">
        <v>21</v>
      </c>
      <c r="E298" t="s">
        <v>22</v>
      </c>
      <c r="F298" t="s">
        <v>23</v>
      </c>
      <c r="G298">
        <v>1117</v>
      </c>
      <c r="H298">
        <v>883</v>
      </c>
      <c r="I298">
        <v>20.9</v>
      </c>
      <c r="J298" t="s">
        <v>56</v>
      </c>
    </row>
    <row r="299" spans="1:10" x14ac:dyDescent="0.35">
      <c r="A299" s="1">
        <v>45355</v>
      </c>
      <c r="B299" t="s">
        <v>39</v>
      </c>
      <c r="C299" t="s">
        <v>40</v>
      </c>
      <c r="D299" t="s">
        <v>24</v>
      </c>
      <c r="E299" t="s">
        <v>25</v>
      </c>
      <c r="F299" t="s">
        <v>17</v>
      </c>
      <c r="G299">
        <v>866</v>
      </c>
      <c r="H299">
        <v>791</v>
      </c>
      <c r="I299">
        <v>8.6999999999999993</v>
      </c>
      <c r="J299" t="s">
        <v>56</v>
      </c>
    </row>
    <row r="300" spans="1:10" x14ac:dyDescent="0.35">
      <c r="A300" s="1">
        <v>45355</v>
      </c>
      <c r="B300" t="s">
        <v>39</v>
      </c>
      <c r="C300" t="s">
        <v>40</v>
      </c>
      <c r="D300" t="s">
        <v>26</v>
      </c>
      <c r="E300" t="s">
        <v>27</v>
      </c>
      <c r="F300" t="s">
        <v>20</v>
      </c>
      <c r="G300">
        <v>801</v>
      </c>
      <c r="H300">
        <v>993</v>
      </c>
      <c r="I300">
        <v>24</v>
      </c>
      <c r="J300" t="s">
        <v>55</v>
      </c>
    </row>
    <row r="301" spans="1:10" x14ac:dyDescent="0.35">
      <c r="A301" s="1">
        <v>45355</v>
      </c>
      <c r="B301" t="s">
        <v>39</v>
      </c>
      <c r="C301" t="s">
        <v>40</v>
      </c>
      <c r="D301" t="s">
        <v>28</v>
      </c>
      <c r="E301" t="s">
        <v>29</v>
      </c>
      <c r="F301" t="s">
        <v>23</v>
      </c>
      <c r="G301">
        <v>437</v>
      </c>
      <c r="H301">
        <v>329</v>
      </c>
      <c r="I301">
        <v>24.7</v>
      </c>
      <c r="J301" t="s">
        <v>56</v>
      </c>
    </row>
    <row r="302" spans="1:10" x14ac:dyDescent="0.35">
      <c r="A302" s="1">
        <v>45362</v>
      </c>
      <c r="B302" t="s">
        <v>12</v>
      </c>
      <c r="C302" t="s">
        <v>13</v>
      </c>
      <c r="D302" t="s">
        <v>15</v>
      </c>
      <c r="E302" t="s">
        <v>16</v>
      </c>
      <c r="F302" t="s">
        <v>17</v>
      </c>
      <c r="G302">
        <v>1172</v>
      </c>
      <c r="H302">
        <v>833</v>
      </c>
      <c r="I302">
        <v>28.9</v>
      </c>
      <c r="J302" t="s">
        <v>56</v>
      </c>
    </row>
    <row r="303" spans="1:10" x14ac:dyDescent="0.35">
      <c r="A303" s="1">
        <v>45362</v>
      </c>
      <c r="B303" t="s">
        <v>12</v>
      </c>
      <c r="C303" t="s">
        <v>13</v>
      </c>
      <c r="D303" t="s">
        <v>18</v>
      </c>
      <c r="E303" t="s">
        <v>19</v>
      </c>
      <c r="F303" t="s">
        <v>20</v>
      </c>
      <c r="G303">
        <v>1274</v>
      </c>
      <c r="H303">
        <v>962</v>
      </c>
      <c r="I303">
        <v>24.5</v>
      </c>
      <c r="J303" t="s">
        <v>56</v>
      </c>
    </row>
    <row r="304" spans="1:10" x14ac:dyDescent="0.35">
      <c r="A304" s="1">
        <v>45362</v>
      </c>
      <c r="B304" t="s">
        <v>12</v>
      </c>
      <c r="C304" t="s">
        <v>13</v>
      </c>
      <c r="D304" t="s">
        <v>21</v>
      </c>
      <c r="E304" t="s">
        <v>22</v>
      </c>
      <c r="F304" t="s">
        <v>23</v>
      </c>
      <c r="G304">
        <v>641</v>
      </c>
      <c r="H304">
        <v>864</v>
      </c>
      <c r="I304">
        <v>34.799999999999997</v>
      </c>
      <c r="J304" t="s">
        <v>55</v>
      </c>
    </row>
    <row r="305" spans="1:10" x14ac:dyDescent="0.35">
      <c r="A305" s="1">
        <v>45362</v>
      </c>
      <c r="B305" t="s">
        <v>12</v>
      </c>
      <c r="C305" t="s">
        <v>13</v>
      </c>
      <c r="D305" t="s">
        <v>24</v>
      </c>
      <c r="E305" t="s">
        <v>25</v>
      </c>
      <c r="F305" t="s">
        <v>17</v>
      </c>
      <c r="G305">
        <v>1153</v>
      </c>
      <c r="H305">
        <v>939</v>
      </c>
      <c r="I305">
        <v>18.600000000000001</v>
      </c>
      <c r="J305" t="s">
        <v>56</v>
      </c>
    </row>
    <row r="306" spans="1:10" x14ac:dyDescent="0.35">
      <c r="A306" s="1">
        <v>45362</v>
      </c>
      <c r="B306" t="s">
        <v>12</v>
      </c>
      <c r="C306" t="s">
        <v>13</v>
      </c>
      <c r="D306" t="s">
        <v>26</v>
      </c>
      <c r="E306" t="s">
        <v>27</v>
      </c>
      <c r="F306" t="s">
        <v>20</v>
      </c>
      <c r="G306">
        <v>518</v>
      </c>
      <c r="H306">
        <v>439</v>
      </c>
      <c r="I306">
        <v>15.3</v>
      </c>
      <c r="J306" t="s">
        <v>56</v>
      </c>
    </row>
    <row r="307" spans="1:10" x14ac:dyDescent="0.35">
      <c r="A307" s="1">
        <v>45362</v>
      </c>
      <c r="B307" t="s">
        <v>12</v>
      </c>
      <c r="C307" t="s">
        <v>13</v>
      </c>
      <c r="D307" t="s">
        <v>28</v>
      </c>
      <c r="E307" t="s">
        <v>29</v>
      </c>
      <c r="F307" t="s">
        <v>23</v>
      </c>
      <c r="G307">
        <v>420</v>
      </c>
      <c r="H307">
        <v>482</v>
      </c>
      <c r="I307">
        <v>14.8</v>
      </c>
      <c r="J307" t="s">
        <v>55</v>
      </c>
    </row>
    <row r="308" spans="1:10" x14ac:dyDescent="0.35">
      <c r="A308" s="1">
        <v>45362</v>
      </c>
      <c r="B308" t="s">
        <v>30</v>
      </c>
      <c r="C308" t="s">
        <v>31</v>
      </c>
      <c r="D308" t="s">
        <v>15</v>
      </c>
      <c r="E308" t="s">
        <v>16</v>
      </c>
      <c r="F308" t="s">
        <v>17</v>
      </c>
      <c r="G308">
        <v>1498</v>
      </c>
      <c r="H308">
        <v>1873</v>
      </c>
      <c r="I308">
        <v>25</v>
      </c>
      <c r="J308" t="s">
        <v>55</v>
      </c>
    </row>
    <row r="309" spans="1:10" x14ac:dyDescent="0.35">
      <c r="A309" s="1">
        <v>45362</v>
      </c>
      <c r="B309" t="s">
        <v>30</v>
      </c>
      <c r="C309" t="s">
        <v>31</v>
      </c>
      <c r="D309" t="s">
        <v>18</v>
      </c>
      <c r="E309" t="s">
        <v>19</v>
      </c>
      <c r="F309" t="s">
        <v>20</v>
      </c>
      <c r="G309">
        <v>430</v>
      </c>
      <c r="H309">
        <v>282</v>
      </c>
      <c r="I309">
        <v>34.4</v>
      </c>
      <c r="J309" t="s">
        <v>56</v>
      </c>
    </row>
    <row r="310" spans="1:10" x14ac:dyDescent="0.35">
      <c r="A310" s="1">
        <v>45362</v>
      </c>
      <c r="B310" t="s">
        <v>30</v>
      </c>
      <c r="C310" t="s">
        <v>31</v>
      </c>
      <c r="D310" t="s">
        <v>21</v>
      </c>
      <c r="E310" t="s">
        <v>22</v>
      </c>
      <c r="F310" t="s">
        <v>23</v>
      </c>
      <c r="G310">
        <v>516</v>
      </c>
      <c r="H310">
        <v>462</v>
      </c>
      <c r="I310">
        <v>10.5</v>
      </c>
      <c r="J310" t="s">
        <v>56</v>
      </c>
    </row>
    <row r="311" spans="1:10" x14ac:dyDescent="0.35">
      <c r="A311" s="1">
        <v>45362</v>
      </c>
      <c r="B311" t="s">
        <v>30</v>
      </c>
      <c r="C311" t="s">
        <v>31</v>
      </c>
      <c r="D311" t="s">
        <v>24</v>
      </c>
      <c r="E311" t="s">
        <v>25</v>
      </c>
      <c r="F311" t="s">
        <v>17</v>
      </c>
      <c r="G311">
        <v>769</v>
      </c>
      <c r="H311">
        <v>642</v>
      </c>
      <c r="I311">
        <v>16.5</v>
      </c>
      <c r="J311" t="s">
        <v>56</v>
      </c>
    </row>
    <row r="312" spans="1:10" x14ac:dyDescent="0.35">
      <c r="A312" s="1">
        <v>45362</v>
      </c>
      <c r="B312" t="s">
        <v>30</v>
      </c>
      <c r="C312" t="s">
        <v>31</v>
      </c>
      <c r="D312" t="s">
        <v>26</v>
      </c>
      <c r="E312" t="s">
        <v>27</v>
      </c>
      <c r="F312" t="s">
        <v>20</v>
      </c>
      <c r="G312">
        <v>900</v>
      </c>
      <c r="H312">
        <v>558</v>
      </c>
      <c r="I312">
        <v>38</v>
      </c>
      <c r="J312" t="s">
        <v>56</v>
      </c>
    </row>
    <row r="313" spans="1:10" x14ac:dyDescent="0.35">
      <c r="A313" s="1">
        <v>45362</v>
      </c>
      <c r="B313" t="s">
        <v>30</v>
      </c>
      <c r="C313" t="s">
        <v>31</v>
      </c>
      <c r="D313" t="s">
        <v>28</v>
      </c>
      <c r="E313" t="s">
        <v>29</v>
      </c>
      <c r="F313" t="s">
        <v>23</v>
      </c>
      <c r="G313">
        <v>1214</v>
      </c>
      <c r="H313">
        <v>942</v>
      </c>
      <c r="I313">
        <v>22.4</v>
      </c>
      <c r="J313" t="s">
        <v>56</v>
      </c>
    </row>
    <row r="314" spans="1:10" x14ac:dyDescent="0.35">
      <c r="A314" s="1">
        <v>45362</v>
      </c>
      <c r="B314" t="s">
        <v>33</v>
      </c>
      <c r="C314" t="s">
        <v>34</v>
      </c>
      <c r="D314" t="s">
        <v>15</v>
      </c>
      <c r="E314" t="s">
        <v>16</v>
      </c>
      <c r="F314" t="s">
        <v>17</v>
      </c>
      <c r="G314">
        <v>557</v>
      </c>
      <c r="H314">
        <v>614</v>
      </c>
      <c r="I314">
        <v>10.199999999999999</v>
      </c>
      <c r="J314" t="s">
        <v>55</v>
      </c>
    </row>
    <row r="315" spans="1:10" x14ac:dyDescent="0.35">
      <c r="A315" s="1">
        <v>45362</v>
      </c>
      <c r="B315" t="s">
        <v>33</v>
      </c>
      <c r="C315" t="s">
        <v>34</v>
      </c>
      <c r="D315" t="s">
        <v>18</v>
      </c>
      <c r="E315" t="s">
        <v>19</v>
      </c>
      <c r="F315" t="s">
        <v>20</v>
      </c>
      <c r="G315">
        <v>821</v>
      </c>
      <c r="H315">
        <v>1008</v>
      </c>
      <c r="I315">
        <v>22.8</v>
      </c>
      <c r="J315" t="s">
        <v>55</v>
      </c>
    </row>
    <row r="316" spans="1:10" x14ac:dyDescent="0.35">
      <c r="A316" s="1">
        <v>45362</v>
      </c>
      <c r="B316" t="s">
        <v>33</v>
      </c>
      <c r="C316" t="s">
        <v>34</v>
      </c>
      <c r="D316" t="s">
        <v>21</v>
      </c>
      <c r="E316" t="s">
        <v>22</v>
      </c>
      <c r="F316" t="s">
        <v>23</v>
      </c>
      <c r="G316">
        <v>1131</v>
      </c>
      <c r="H316">
        <v>1526</v>
      </c>
      <c r="I316">
        <v>34.9</v>
      </c>
      <c r="J316" t="s">
        <v>55</v>
      </c>
    </row>
    <row r="317" spans="1:10" x14ac:dyDescent="0.35">
      <c r="A317" s="1">
        <v>45362</v>
      </c>
      <c r="B317" t="s">
        <v>33</v>
      </c>
      <c r="C317" t="s">
        <v>34</v>
      </c>
      <c r="D317" t="s">
        <v>24</v>
      </c>
      <c r="E317" t="s">
        <v>25</v>
      </c>
      <c r="F317" t="s">
        <v>17</v>
      </c>
      <c r="G317">
        <v>1308</v>
      </c>
      <c r="H317">
        <v>1692</v>
      </c>
      <c r="I317">
        <v>29.4</v>
      </c>
      <c r="J317" t="s">
        <v>55</v>
      </c>
    </row>
    <row r="318" spans="1:10" x14ac:dyDescent="0.35">
      <c r="A318" s="1">
        <v>45362</v>
      </c>
      <c r="B318" t="s">
        <v>33</v>
      </c>
      <c r="C318" t="s">
        <v>34</v>
      </c>
      <c r="D318" t="s">
        <v>26</v>
      </c>
      <c r="E318" t="s">
        <v>27</v>
      </c>
      <c r="F318" t="s">
        <v>20</v>
      </c>
      <c r="G318">
        <v>1529</v>
      </c>
      <c r="H318">
        <v>1785</v>
      </c>
      <c r="I318">
        <v>16.7</v>
      </c>
      <c r="J318" t="s">
        <v>55</v>
      </c>
    </row>
    <row r="319" spans="1:10" x14ac:dyDescent="0.35">
      <c r="A319" s="1">
        <v>45362</v>
      </c>
      <c r="B319" t="s">
        <v>33</v>
      </c>
      <c r="C319" t="s">
        <v>34</v>
      </c>
      <c r="D319" t="s">
        <v>28</v>
      </c>
      <c r="E319" t="s">
        <v>29</v>
      </c>
      <c r="F319" t="s">
        <v>23</v>
      </c>
      <c r="G319">
        <v>1478</v>
      </c>
      <c r="H319">
        <v>963</v>
      </c>
      <c r="I319">
        <v>34.799999999999997</v>
      </c>
      <c r="J319" t="s">
        <v>56</v>
      </c>
    </row>
    <row r="320" spans="1:10" x14ac:dyDescent="0.35">
      <c r="A320" s="1">
        <v>45362</v>
      </c>
      <c r="B320" t="s">
        <v>36</v>
      </c>
      <c r="C320" t="s">
        <v>37</v>
      </c>
      <c r="D320" t="s">
        <v>15</v>
      </c>
      <c r="E320" t="s">
        <v>16</v>
      </c>
      <c r="F320" t="s">
        <v>17</v>
      </c>
      <c r="G320">
        <v>1508</v>
      </c>
      <c r="H320">
        <v>1159</v>
      </c>
      <c r="I320">
        <v>23.1</v>
      </c>
      <c r="J320" t="s">
        <v>56</v>
      </c>
    </row>
    <row r="321" spans="1:10" x14ac:dyDescent="0.35">
      <c r="A321" s="1">
        <v>45362</v>
      </c>
      <c r="B321" t="s">
        <v>36</v>
      </c>
      <c r="C321" t="s">
        <v>37</v>
      </c>
      <c r="D321" t="s">
        <v>18</v>
      </c>
      <c r="E321" t="s">
        <v>19</v>
      </c>
      <c r="F321" t="s">
        <v>20</v>
      </c>
      <c r="G321">
        <v>1241</v>
      </c>
      <c r="H321">
        <v>1602</v>
      </c>
      <c r="I321">
        <v>29.1</v>
      </c>
      <c r="J321" t="s">
        <v>55</v>
      </c>
    </row>
    <row r="322" spans="1:10" x14ac:dyDescent="0.35">
      <c r="A322" s="1">
        <v>45362</v>
      </c>
      <c r="B322" t="s">
        <v>36</v>
      </c>
      <c r="C322" t="s">
        <v>37</v>
      </c>
      <c r="D322" t="s">
        <v>21</v>
      </c>
      <c r="E322" t="s">
        <v>22</v>
      </c>
      <c r="F322" t="s">
        <v>23</v>
      </c>
      <c r="G322">
        <v>972</v>
      </c>
      <c r="H322">
        <v>1072</v>
      </c>
      <c r="I322">
        <v>10.3</v>
      </c>
      <c r="J322" t="s">
        <v>55</v>
      </c>
    </row>
    <row r="323" spans="1:10" x14ac:dyDescent="0.35">
      <c r="A323" s="1">
        <v>45362</v>
      </c>
      <c r="B323" t="s">
        <v>36</v>
      </c>
      <c r="C323" t="s">
        <v>37</v>
      </c>
      <c r="D323" t="s">
        <v>24</v>
      </c>
      <c r="E323" t="s">
        <v>25</v>
      </c>
      <c r="F323" t="s">
        <v>17</v>
      </c>
      <c r="G323">
        <v>1466</v>
      </c>
      <c r="H323">
        <v>1684</v>
      </c>
      <c r="I323">
        <v>14.9</v>
      </c>
      <c r="J323" t="s">
        <v>55</v>
      </c>
    </row>
    <row r="324" spans="1:10" x14ac:dyDescent="0.35">
      <c r="A324" s="1">
        <v>45362</v>
      </c>
      <c r="B324" t="s">
        <v>36</v>
      </c>
      <c r="C324" t="s">
        <v>37</v>
      </c>
      <c r="D324" t="s">
        <v>26</v>
      </c>
      <c r="E324" t="s">
        <v>27</v>
      </c>
      <c r="F324" t="s">
        <v>20</v>
      </c>
      <c r="G324">
        <v>831</v>
      </c>
      <c r="H324">
        <v>928</v>
      </c>
      <c r="I324">
        <v>11.7</v>
      </c>
      <c r="J324" t="s">
        <v>55</v>
      </c>
    </row>
    <row r="325" spans="1:10" x14ac:dyDescent="0.35">
      <c r="A325" s="1">
        <v>45362</v>
      </c>
      <c r="B325" t="s">
        <v>36</v>
      </c>
      <c r="C325" t="s">
        <v>37</v>
      </c>
      <c r="D325" t="s">
        <v>28</v>
      </c>
      <c r="E325" t="s">
        <v>29</v>
      </c>
      <c r="F325" t="s">
        <v>23</v>
      </c>
      <c r="G325">
        <v>690</v>
      </c>
      <c r="H325">
        <v>627</v>
      </c>
      <c r="I325">
        <v>9.1</v>
      </c>
      <c r="J325" t="s">
        <v>56</v>
      </c>
    </row>
    <row r="326" spans="1:10" x14ac:dyDescent="0.35">
      <c r="A326" s="1">
        <v>45362</v>
      </c>
      <c r="B326" t="s">
        <v>39</v>
      </c>
      <c r="C326" t="s">
        <v>40</v>
      </c>
      <c r="D326" t="s">
        <v>15</v>
      </c>
      <c r="E326" t="s">
        <v>16</v>
      </c>
      <c r="F326" t="s">
        <v>17</v>
      </c>
      <c r="G326">
        <v>1301</v>
      </c>
      <c r="H326">
        <v>943</v>
      </c>
      <c r="I326">
        <v>27.5</v>
      </c>
      <c r="J326" t="s">
        <v>56</v>
      </c>
    </row>
    <row r="327" spans="1:10" x14ac:dyDescent="0.35">
      <c r="A327" s="1">
        <v>45362</v>
      </c>
      <c r="B327" t="s">
        <v>39</v>
      </c>
      <c r="C327" t="s">
        <v>40</v>
      </c>
      <c r="D327" t="s">
        <v>18</v>
      </c>
      <c r="E327" t="s">
        <v>19</v>
      </c>
      <c r="F327" t="s">
        <v>20</v>
      </c>
      <c r="G327">
        <v>633</v>
      </c>
      <c r="H327">
        <v>687</v>
      </c>
      <c r="I327">
        <v>8.5</v>
      </c>
      <c r="J327" t="s">
        <v>55</v>
      </c>
    </row>
    <row r="328" spans="1:10" x14ac:dyDescent="0.35">
      <c r="A328" s="1">
        <v>45362</v>
      </c>
      <c r="B328" t="s">
        <v>39</v>
      </c>
      <c r="C328" t="s">
        <v>40</v>
      </c>
      <c r="D328" t="s">
        <v>21</v>
      </c>
      <c r="E328" t="s">
        <v>22</v>
      </c>
      <c r="F328" t="s">
        <v>23</v>
      </c>
      <c r="G328">
        <v>953</v>
      </c>
      <c r="H328">
        <v>797</v>
      </c>
      <c r="I328">
        <v>16.399999999999999</v>
      </c>
      <c r="J328" t="s">
        <v>56</v>
      </c>
    </row>
    <row r="329" spans="1:10" x14ac:dyDescent="0.35">
      <c r="A329" s="1">
        <v>45362</v>
      </c>
      <c r="B329" t="s">
        <v>39</v>
      </c>
      <c r="C329" t="s">
        <v>40</v>
      </c>
      <c r="D329" t="s">
        <v>24</v>
      </c>
      <c r="E329" t="s">
        <v>25</v>
      </c>
      <c r="F329" t="s">
        <v>17</v>
      </c>
      <c r="G329">
        <v>573</v>
      </c>
      <c r="H329">
        <v>629</v>
      </c>
      <c r="I329">
        <v>9.8000000000000007</v>
      </c>
      <c r="J329" t="s">
        <v>55</v>
      </c>
    </row>
    <row r="330" spans="1:10" x14ac:dyDescent="0.35">
      <c r="A330" s="1">
        <v>45362</v>
      </c>
      <c r="B330" t="s">
        <v>39</v>
      </c>
      <c r="C330" t="s">
        <v>40</v>
      </c>
      <c r="D330" t="s">
        <v>26</v>
      </c>
      <c r="E330" t="s">
        <v>27</v>
      </c>
      <c r="F330" t="s">
        <v>20</v>
      </c>
      <c r="G330">
        <v>1186</v>
      </c>
      <c r="H330">
        <v>1457</v>
      </c>
      <c r="I330">
        <v>22.8</v>
      </c>
      <c r="J330" t="s">
        <v>55</v>
      </c>
    </row>
    <row r="331" spans="1:10" x14ac:dyDescent="0.35">
      <c r="A331" s="1">
        <v>45362</v>
      </c>
      <c r="B331" t="s">
        <v>39</v>
      </c>
      <c r="C331" t="s">
        <v>40</v>
      </c>
      <c r="D331" t="s">
        <v>28</v>
      </c>
      <c r="E331" t="s">
        <v>29</v>
      </c>
      <c r="F331" t="s">
        <v>23</v>
      </c>
      <c r="G331">
        <v>1187</v>
      </c>
      <c r="H331">
        <v>933</v>
      </c>
      <c r="I331">
        <v>21.4</v>
      </c>
      <c r="J331" t="s">
        <v>56</v>
      </c>
    </row>
    <row r="332" spans="1:10" x14ac:dyDescent="0.35">
      <c r="A332" s="1">
        <v>45369</v>
      </c>
      <c r="B332" t="s">
        <v>12</v>
      </c>
      <c r="C332" t="s">
        <v>13</v>
      </c>
      <c r="D332" t="s">
        <v>15</v>
      </c>
      <c r="E332" t="s">
        <v>16</v>
      </c>
      <c r="F332" t="s">
        <v>17</v>
      </c>
      <c r="G332">
        <v>1176</v>
      </c>
      <c r="H332">
        <v>1016</v>
      </c>
      <c r="I332">
        <v>13.6</v>
      </c>
      <c r="J332" t="s">
        <v>56</v>
      </c>
    </row>
    <row r="333" spans="1:10" x14ac:dyDescent="0.35">
      <c r="A333" s="1">
        <v>45369</v>
      </c>
      <c r="B333" t="s">
        <v>12</v>
      </c>
      <c r="C333" t="s">
        <v>13</v>
      </c>
      <c r="D333" t="s">
        <v>18</v>
      </c>
      <c r="E333" t="s">
        <v>19</v>
      </c>
      <c r="F333" t="s">
        <v>20</v>
      </c>
      <c r="G333">
        <v>507</v>
      </c>
      <c r="H333">
        <v>365</v>
      </c>
      <c r="I333">
        <v>28</v>
      </c>
      <c r="J333" t="s">
        <v>56</v>
      </c>
    </row>
    <row r="334" spans="1:10" x14ac:dyDescent="0.35">
      <c r="A334" s="1">
        <v>45369</v>
      </c>
      <c r="B334" t="s">
        <v>12</v>
      </c>
      <c r="C334" t="s">
        <v>13</v>
      </c>
      <c r="D334" t="s">
        <v>21</v>
      </c>
      <c r="E334" t="s">
        <v>22</v>
      </c>
      <c r="F334" t="s">
        <v>23</v>
      </c>
      <c r="G334">
        <v>1112</v>
      </c>
      <c r="H334">
        <v>1513</v>
      </c>
      <c r="I334">
        <v>36.1</v>
      </c>
      <c r="J334" t="s">
        <v>55</v>
      </c>
    </row>
    <row r="335" spans="1:10" x14ac:dyDescent="0.35">
      <c r="A335" s="1">
        <v>45369</v>
      </c>
      <c r="B335" t="s">
        <v>12</v>
      </c>
      <c r="C335" t="s">
        <v>13</v>
      </c>
      <c r="D335" t="s">
        <v>24</v>
      </c>
      <c r="E335" t="s">
        <v>25</v>
      </c>
      <c r="F335" t="s">
        <v>17</v>
      </c>
      <c r="G335">
        <v>1088</v>
      </c>
      <c r="H335">
        <v>1476</v>
      </c>
      <c r="I335">
        <v>35.700000000000003</v>
      </c>
      <c r="J335" t="s">
        <v>55</v>
      </c>
    </row>
    <row r="336" spans="1:10" x14ac:dyDescent="0.35">
      <c r="A336" s="1">
        <v>45369</v>
      </c>
      <c r="B336" t="s">
        <v>12</v>
      </c>
      <c r="C336" t="s">
        <v>13</v>
      </c>
      <c r="D336" t="s">
        <v>26</v>
      </c>
      <c r="E336" t="s">
        <v>27</v>
      </c>
      <c r="F336" t="s">
        <v>20</v>
      </c>
      <c r="G336">
        <v>843</v>
      </c>
      <c r="H336">
        <v>584</v>
      </c>
      <c r="I336">
        <v>30.7</v>
      </c>
      <c r="J336" t="s">
        <v>56</v>
      </c>
    </row>
    <row r="337" spans="1:10" x14ac:dyDescent="0.35">
      <c r="A337" s="1">
        <v>45369</v>
      </c>
      <c r="B337" t="s">
        <v>12</v>
      </c>
      <c r="C337" t="s">
        <v>13</v>
      </c>
      <c r="D337" t="s">
        <v>28</v>
      </c>
      <c r="E337" t="s">
        <v>29</v>
      </c>
      <c r="F337" t="s">
        <v>23</v>
      </c>
      <c r="G337">
        <v>1288</v>
      </c>
      <c r="H337">
        <v>1725</v>
      </c>
      <c r="I337">
        <v>33.9</v>
      </c>
      <c r="J337" t="s">
        <v>55</v>
      </c>
    </row>
    <row r="338" spans="1:10" x14ac:dyDescent="0.35">
      <c r="A338" s="1">
        <v>45369</v>
      </c>
      <c r="B338" t="s">
        <v>30</v>
      </c>
      <c r="C338" t="s">
        <v>31</v>
      </c>
      <c r="D338" t="s">
        <v>15</v>
      </c>
      <c r="E338" t="s">
        <v>16</v>
      </c>
      <c r="F338" t="s">
        <v>17</v>
      </c>
      <c r="G338">
        <v>516</v>
      </c>
      <c r="H338">
        <v>682</v>
      </c>
      <c r="I338">
        <v>32.200000000000003</v>
      </c>
      <c r="J338" t="s">
        <v>55</v>
      </c>
    </row>
    <row r="339" spans="1:10" x14ac:dyDescent="0.35">
      <c r="A339" s="1">
        <v>45369</v>
      </c>
      <c r="B339" t="s">
        <v>30</v>
      </c>
      <c r="C339" t="s">
        <v>31</v>
      </c>
      <c r="D339" t="s">
        <v>18</v>
      </c>
      <c r="E339" t="s">
        <v>19</v>
      </c>
      <c r="F339" t="s">
        <v>20</v>
      </c>
      <c r="G339">
        <v>988</v>
      </c>
      <c r="H339">
        <v>1321</v>
      </c>
      <c r="I339">
        <v>33.700000000000003</v>
      </c>
      <c r="J339" t="s">
        <v>55</v>
      </c>
    </row>
    <row r="340" spans="1:10" x14ac:dyDescent="0.35">
      <c r="A340" s="1">
        <v>45369</v>
      </c>
      <c r="B340" t="s">
        <v>30</v>
      </c>
      <c r="C340" t="s">
        <v>31</v>
      </c>
      <c r="D340" t="s">
        <v>21</v>
      </c>
      <c r="E340" t="s">
        <v>22</v>
      </c>
      <c r="F340" t="s">
        <v>23</v>
      </c>
      <c r="G340">
        <v>1349</v>
      </c>
      <c r="H340">
        <v>1628</v>
      </c>
      <c r="I340">
        <v>20.7</v>
      </c>
      <c r="J340" t="s">
        <v>55</v>
      </c>
    </row>
    <row r="341" spans="1:10" x14ac:dyDescent="0.35">
      <c r="A341" s="1">
        <v>45369</v>
      </c>
      <c r="B341" t="s">
        <v>30</v>
      </c>
      <c r="C341" t="s">
        <v>31</v>
      </c>
      <c r="D341" t="s">
        <v>24</v>
      </c>
      <c r="E341" t="s">
        <v>25</v>
      </c>
      <c r="F341" t="s">
        <v>17</v>
      </c>
      <c r="G341">
        <v>1462</v>
      </c>
      <c r="H341">
        <v>1693</v>
      </c>
      <c r="I341">
        <v>15.8</v>
      </c>
      <c r="J341" t="s">
        <v>55</v>
      </c>
    </row>
    <row r="342" spans="1:10" x14ac:dyDescent="0.35">
      <c r="A342" s="1">
        <v>45369</v>
      </c>
      <c r="B342" t="s">
        <v>30</v>
      </c>
      <c r="C342" t="s">
        <v>31</v>
      </c>
      <c r="D342" t="s">
        <v>26</v>
      </c>
      <c r="E342" t="s">
        <v>27</v>
      </c>
      <c r="F342" t="s">
        <v>20</v>
      </c>
      <c r="G342">
        <v>1357</v>
      </c>
      <c r="H342">
        <v>1769</v>
      </c>
      <c r="I342">
        <v>30.4</v>
      </c>
      <c r="J342" t="s">
        <v>55</v>
      </c>
    </row>
    <row r="343" spans="1:10" x14ac:dyDescent="0.35">
      <c r="A343" s="1">
        <v>45369</v>
      </c>
      <c r="B343" t="s">
        <v>30</v>
      </c>
      <c r="C343" t="s">
        <v>31</v>
      </c>
      <c r="D343" t="s">
        <v>28</v>
      </c>
      <c r="E343" t="s">
        <v>29</v>
      </c>
      <c r="F343" t="s">
        <v>23</v>
      </c>
      <c r="G343">
        <v>670</v>
      </c>
      <c r="H343">
        <v>433</v>
      </c>
      <c r="I343">
        <v>35.4</v>
      </c>
      <c r="J343" t="s">
        <v>56</v>
      </c>
    </row>
    <row r="344" spans="1:10" x14ac:dyDescent="0.35">
      <c r="A344" s="1">
        <v>45369</v>
      </c>
      <c r="B344" t="s">
        <v>33</v>
      </c>
      <c r="C344" t="s">
        <v>34</v>
      </c>
      <c r="D344" t="s">
        <v>15</v>
      </c>
      <c r="E344" t="s">
        <v>16</v>
      </c>
      <c r="F344" t="s">
        <v>17</v>
      </c>
      <c r="G344">
        <v>961</v>
      </c>
      <c r="H344">
        <v>859</v>
      </c>
      <c r="I344">
        <v>10.6</v>
      </c>
      <c r="J344" t="s">
        <v>56</v>
      </c>
    </row>
    <row r="345" spans="1:10" x14ac:dyDescent="0.35">
      <c r="A345" s="1">
        <v>45369</v>
      </c>
      <c r="B345" t="s">
        <v>33</v>
      </c>
      <c r="C345" t="s">
        <v>34</v>
      </c>
      <c r="D345" t="s">
        <v>18</v>
      </c>
      <c r="E345" t="s">
        <v>19</v>
      </c>
      <c r="F345" t="s">
        <v>20</v>
      </c>
      <c r="G345">
        <v>1511</v>
      </c>
      <c r="H345">
        <v>1765</v>
      </c>
      <c r="I345">
        <v>16.8</v>
      </c>
      <c r="J345" t="s">
        <v>55</v>
      </c>
    </row>
    <row r="346" spans="1:10" x14ac:dyDescent="0.35">
      <c r="A346" s="1">
        <v>45369</v>
      </c>
      <c r="B346" t="s">
        <v>33</v>
      </c>
      <c r="C346" t="s">
        <v>34</v>
      </c>
      <c r="D346" t="s">
        <v>21</v>
      </c>
      <c r="E346" t="s">
        <v>22</v>
      </c>
      <c r="F346" t="s">
        <v>23</v>
      </c>
      <c r="G346">
        <v>479</v>
      </c>
      <c r="H346">
        <v>352</v>
      </c>
      <c r="I346">
        <v>26.5</v>
      </c>
      <c r="J346" t="s">
        <v>56</v>
      </c>
    </row>
    <row r="347" spans="1:10" x14ac:dyDescent="0.35">
      <c r="A347" s="1">
        <v>45369</v>
      </c>
      <c r="B347" t="s">
        <v>33</v>
      </c>
      <c r="C347" t="s">
        <v>34</v>
      </c>
      <c r="D347" t="s">
        <v>24</v>
      </c>
      <c r="E347" t="s">
        <v>25</v>
      </c>
      <c r="F347" t="s">
        <v>17</v>
      </c>
      <c r="G347">
        <v>913</v>
      </c>
      <c r="H347">
        <v>1200</v>
      </c>
      <c r="I347">
        <v>31.4</v>
      </c>
      <c r="J347" t="s">
        <v>55</v>
      </c>
    </row>
    <row r="348" spans="1:10" x14ac:dyDescent="0.35">
      <c r="A348" s="1">
        <v>45369</v>
      </c>
      <c r="B348" t="s">
        <v>33</v>
      </c>
      <c r="C348" t="s">
        <v>34</v>
      </c>
      <c r="D348" t="s">
        <v>26</v>
      </c>
      <c r="E348" t="s">
        <v>27</v>
      </c>
      <c r="F348" t="s">
        <v>20</v>
      </c>
      <c r="G348">
        <v>425</v>
      </c>
      <c r="H348">
        <v>474</v>
      </c>
      <c r="I348">
        <v>11.5</v>
      </c>
      <c r="J348" t="s">
        <v>55</v>
      </c>
    </row>
    <row r="349" spans="1:10" x14ac:dyDescent="0.35">
      <c r="A349" s="1">
        <v>45369</v>
      </c>
      <c r="B349" t="s">
        <v>33</v>
      </c>
      <c r="C349" t="s">
        <v>34</v>
      </c>
      <c r="D349" t="s">
        <v>28</v>
      </c>
      <c r="E349" t="s">
        <v>29</v>
      </c>
      <c r="F349" t="s">
        <v>23</v>
      </c>
      <c r="G349">
        <v>1057</v>
      </c>
      <c r="H349">
        <v>1406</v>
      </c>
      <c r="I349">
        <v>33</v>
      </c>
      <c r="J349" t="s">
        <v>55</v>
      </c>
    </row>
    <row r="350" spans="1:10" x14ac:dyDescent="0.35">
      <c r="A350" s="1">
        <v>45369</v>
      </c>
      <c r="B350" t="s">
        <v>36</v>
      </c>
      <c r="C350" t="s">
        <v>37</v>
      </c>
      <c r="D350" t="s">
        <v>15</v>
      </c>
      <c r="E350" t="s">
        <v>16</v>
      </c>
      <c r="F350" t="s">
        <v>17</v>
      </c>
      <c r="G350">
        <v>1308</v>
      </c>
      <c r="H350">
        <v>1021</v>
      </c>
      <c r="I350">
        <v>21.9</v>
      </c>
      <c r="J350" t="s">
        <v>56</v>
      </c>
    </row>
    <row r="351" spans="1:10" x14ac:dyDescent="0.35">
      <c r="A351" s="1">
        <v>45369</v>
      </c>
      <c r="B351" t="s">
        <v>36</v>
      </c>
      <c r="C351" t="s">
        <v>37</v>
      </c>
      <c r="D351" t="s">
        <v>18</v>
      </c>
      <c r="E351" t="s">
        <v>19</v>
      </c>
      <c r="F351" t="s">
        <v>20</v>
      </c>
      <c r="G351">
        <v>1355</v>
      </c>
      <c r="H351">
        <v>1231</v>
      </c>
      <c r="I351">
        <v>9.1999999999999993</v>
      </c>
      <c r="J351" t="s">
        <v>56</v>
      </c>
    </row>
    <row r="352" spans="1:10" x14ac:dyDescent="0.35">
      <c r="A352" s="1">
        <v>45369</v>
      </c>
      <c r="B352" t="s">
        <v>36</v>
      </c>
      <c r="C352" t="s">
        <v>37</v>
      </c>
      <c r="D352" t="s">
        <v>21</v>
      </c>
      <c r="E352" t="s">
        <v>22</v>
      </c>
      <c r="F352" t="s">
        <v>23</v>
      </c>
      <c r="G352">
        <v>1539</v>
      </c>
      <c r="H352">
        <v>1315</v>
      </c>
      <c r="I352">
        <v>14.6</v>
      </c>
      <c r="J352" t="s">
        <v>56</v>
      </c>
    </row>
    <row r="353" spans="1:10" x14ac:dyDescent="0.35">
      <c r="A353" s="1">
        <v>45369</v>
      </c>
      <c r="B353" t="s">
        <v>36</v>
      </c>
      <c r="C353" t="s">
        <v>37</v>
      </c>
      <c r="D353" t="s">
        <v>24</v>
      </c>
      <c r="E353" t="s">
        <v>25</v>
      </c>
      <c r="F353" t="s">
        <v>17</v>
      </c>
      <c r="G353">
        <v>562</v>
      </c>
      <c r="H353">
        <v>653</v>
      </c>
      <c r="I353">
        <v>16.2</v>
      </c>
      <c r="J353" t="s">
        <v>55</v>
      </c>
    </row>
    <row r="354" spans="1:10" x14ac:dyDescent="0.35">
      <c r="A354" s="1">
        <v>45369</v>
      </c>
      <c r="B354" t="s">
        <v>36</v>
      </c>
      <c r="C354" t="s">
        <v>37</v>
      </c>
      <c r="D354" t="s">
        <v>26</v>
      </c>
      <c r="E354" t="s">
        <v>27</v>
      </c>
      <c r="F354" t="s">
        <v>20</v>
      </c>
      <c r="G354">
        <v>1043</v>
      </c>
      <c r="H354">
        <v>661</v>
      </c>
      <c r="I354">
        <v>36.6</v>
      </c>
      <c r="J354" t="s">
        <v>56</v>
      </c>
    </row>
    <row r="355" spans="1:10" x14ac:dyDescent="0.35">
      <c r="A355" s="1">
        <v>45369</v>
      </c>
      <c r="B355" t="s">
        <v>36</v>
      </c>
      <c r="C355" t="s">
        <v>37</v>
      </c>
      <c r="D355" t="s">
        <v>28</v>
      </c>
      <c r="E355" t="s">
        <v>29</v>
      </c>
      <c r="F355" t="s">
        <v>23</v>
      </c>
      <c r="G355">
        <v>928</v>
      </c>
      <c r="H355">
        <v>640</v>
      </c>
      <c r="I355">
        <v>31</v>
      </c>
      <c r="J355" t="s">
        <v>56</v>
      </c>
    </row>
    <row r="356" spans="1:10" x14ac:dyDescent="0.35">
      <c r="A356" s="1">
        <v>45369</v>
      </c>
      <c r="B356" t="s">
        <v>39</v>
      </c>
      <c r="C356" t="s">
        <v>40</v>
      </c>
      <c r="D356" t="s">
        <v>15</v>
      </c>
      <c r="E356" t="s">
        <v>16</v>
      </c>
      <c r="F356" t="s">
        <v>17</v>
      </c>
      <c r="G356">
        <v>1413</v>
      </c>
      <c r="H356">
        <v>1579</v>
      </c>
      <c r="I356">
        <v>11.7</v>
      </c>
      <c r="J356" t="s">
        <v>55</v>
      </c>
    </row>
    <row r="357" spans="1:10" x14ac:dyDescent="0.35">
      <c r="A357" s="1">
        <v>45369</v>
      </c>
      <c r="B357" t="s">
        <v>39</v>
      </c>
      <c r="C357" t="s">
        <v>40</v>
      </c>
      <c r="D357" t="s">
        <v>18</v>
      </c>
      <c r="E357" t="s">
        <v>19</v>
      </c>
      <c r="F357" t="s">
        <v>20</v>
      </c>
      <c r="G357">
        <v>700</v>
      </c>
      <c r="H357">
        <v>938</v>
      </c>
      <c r="I357">
        <v>34</v>
      </c>
      <c r="J357" t="s">
        <v>55</v>
      </c>
    </row>
    <row r="358" spans="1:10" x14ac:dyDescent="0.35">
      <c r="A358" s="1">
        <v>45369</v>
      </c>
      <c r="B358" t="s">
        <v>39</v>
      </c>
      <c r="C358" t="s">
        <v>40</v>
      </c>
      <c r="D358" t="s">
        <v>21</v>
      </c>
      <c r="E358" t="s">
        <v>22</v>
      </c>
      <c r="F358" t="s">
        <v>23</v>
      </c>
      <c r="G358">
        <v>876</v>
      </c>
      <c r="H358">
        <v>775</v>
      </c>
      <c r="I358">
        <v>11.5</v>
      </c>
      <c r="J358" t="s">
        <v>56</v>
      </c>
    </row>
    <row r="359" spans="1:10" x14ac:dyDescent="0.35">
      <c r="A359" s="1">
        <v>45369</v>
      </c>
      <c r="B359" t="s">
        <v>39</v>
      </c>
      <c r="C359" t="s">
        <v>40</v>
      </c>
      <c r="D359" t="s">
        <v>24</v>
      </c>
      <c r="E359" t="s">
        <v>25</v>
      </c>
      <c r="F359" t="s">
        <v>17</v>
      </c>
      <c r="G359">
        <v>1437</v>
      </c>
      <c r="H359">
        <v>1922</v>
      </c>
      <c r="I359">
        <v>33.799999999999997</v>
      </c>
      <c r="J359" t="s">
        <v>55</v>
      </c>
    </row>
    <row r="360" spans="1:10" x14ac:dyDescent="0.35">
      <c r="A360" s="1">
        <v>45369</v>
      </c>
      <c r="B360" t="s">
        <v>39</v>
      </c>
      <c r="C360" t="s">
        <v>40</v>
      </c>
      <c r="D360" t="s">
        <v>26</v>
      </c>
      <c r="E360" t="s">
        <v>27</v>
      </c>
      <c r="F360" t="s">
        <v>20</v>
      </c>
      <c r="G360">
        <v>485</v>
      </c>
      <c r="H360">
        <v>365</v>
      </c>
      <c r="I360">
        <v>24.7</v>
      </c>
      <c r="J360" t="s">
        <v>56</v>
      </c>
    </row>
    <row r="361" spans="1:10" x14ac:dyDescent="0.35">
      <c r="A361" s="1">
        <v>45369</v>
      </c>
      <c r="B361" t="s">
        <v>39</v>
      </c>
      <c r="C361" t="s">
        <v>40</v>
      </c>
      <c r="D361" t="s">
        <v>28</v>
      </c>
      <c r="E361" t="s">
        <v>29</v>
      </c>
      <c r="F361" t="s">
        <v>23</v>
      </c>
      <c r="G361">
        <v>930</v>
      </c>
      <c r="H361">
        <v>583</v>
      </c>
      <c r="I361">
        <v>37.299999999999997</v>
      </c>
      <c r="J361" t="s">
        <v>56</v>
      </c>
    </row>
    <row r="362" spans="1:10" x14ac:dyDescent="0.35">
      <c r="A362" s="1">
        <v>45376</v>
      </c>
      <c r="B362" t="s">
        <v>12</v>
      </c>
      <c r="C362" t="s">
        <v>13</v>
      </c>
      <c r="D362" t="s">
        <v>15</v>
      </c>
      <c r="E362" t="s">
        <v>16</v>
      </c>
      <c r="F362" t="s">
        <v>17</v>
      </c>
      <c r="G362">
        <v>1123</v>
      </c>
      <c r="H362">
        <v>851</v>
      </c>
      <c r="I362">
        <v>24.2</v>
      </c>
      <c r="J362" t="s">
        <v>56</v>
      </c>
    </row>
    <row r="363" spans="1:10" x14ac:dyDescent="0.35">
      <c r="A363" s="1">
        <v>45376</v>
      </c>
      <c r="B363" t="s">
        <v>12</v>
      </c>
      <c r="C363" t="s">
        <v>13</v>
      </c>
      <c r="D363" t="s">
        <v>18</v>
      </c>
      <c r="E363" t="s">
        <v>19</v>
      </c>
      <c r="F363" t="s">
        <v>20</v>
      </c>
      <c r="G363">
        <v>880</v>
      </c>
      <c r="H363">
        <v>717</v>
      </c>
      <c r="I363">
        <v>18.5</v>
      </c>
      <c r="J363" t="s">
        <v>56</v>
      </c>
    </row>
    <row r="364" spans="1:10" x14ac:dyDescent="0.35">
      <c r="A364" s="1">
        <v>45376</v>
      </c>
      <c r="B364" t="s">
        <v>12</v>
      </c>
      <c r="C364" t="s">
        <v>13</v>
      </c>
      <c r="D364" t="s">
        <v>21</v>
      </c>
      <c r="E364" t="s">
        <v>22</v>
      </c>
      <c r="F364" t="s">
        <v>23</v>
      </c>
      <c r="G364">
        <v>1308</v>
      </c>
      <c r="H364">
        <v>1158</v>
      </c>
      <c r="I364">
        <v>11.5</v>
      </c>
      <c r="J364" t="s">
        <v>56</v>
      </c>
    </row>
    <row r="365" spans="1:10" x14ac:dyDescent="0.35">
      <c r="A365" s="1">
        <v>45376</v>
      </c>
      <c r="B365" t="s">
        <v>12</v>
      </c>
      <c r="C365" t="s">
        <v>13</v>
      </c>
      <c r="D365" t="s">
        <v>24</v>
      </c>
      <c r="E365" t="s">
        <v>25</v>
      </c>
      <c r="F365" t="s">
        <v>17</v>
      </c>
      <c r="G365">
        <v>817</v>
      </c>
      <c r="H365">
        <v>671</v>
      </c>
      <c r="I365">
        <v>17.899999999999999</v>
      </c>
      <c r="J365" t="s">
        <v>56</v>
      </c>
    </row>
    <row r="366" spans="1:10" x14ac:dyDescent="0.35">
      <c r="A366" s="1">
        <v>45376</v>
      </c>
      <c r="B366" t="s">
        <v>12</v>
      </c>
      <c r="C366" t="s">
        <v>13</v>
      </c>
      <c r="D366" t="s">
        <v>26</v>
      </c>
      <c r="E366" t="s">
        <v>27</v>
      </c>
      <c r="F366" t="s">
        <v>20</v>
      </c>
      <c r="G366">
        <v>1251</v>
      </c>
      <c r="H366">
        <v>1124</v>
      </c>
      <c r="I366">
        <v>10.199999999999999</v>
      </c>
      <c r="J366" t="s">
        <v>56</v>
      </c>
    </row>
    <row r="367" spans="1:10" x14ac:dyDescent="0.35">
      <c r="A367" s="1">
        <v>45376</v>
      </c>
      <c r="B367" t="s">
        <v>12</v>
      </c>
      <c r="C367" t="s">
        <v>13</v>
      </c>
      <c r="D367" t="s">
        <v>28</v>
      </c>
      <c r="E367" t="s">
        <v>29</v>
      </c>
      <c r="F367" t="s">
        <v>23</v>
      </c>
      <c r="G367">
        <v>979</v>
      </c>
      <c r="H367">
        <v>858</v>
      </c>
      <c r="I367">
        <v>12.4</v>
      </c>
      <c r="J367" t="s">
        <v>56</v>
      </c>
    </row>
    <row r="368" spans="1:10" x14ac:dyDescent="0.35">
      <c r="A368" s="1">
        <v>45376</v>
      </c>
      <c r="B368" t="s">
        <v>30</v>
      </c>
      <c r="C368" t="s">
        <v>31</v>
      </c>
      <c r="D368" t="s">
        <v>15</v>
      </c>
      <c r="E368" t="s">
        <v>16</v>
      </c>
      <c r="F368" t="s">
        <v>17</v>
      </c>
      <c r="G368">
        <v>1137</v>
      </c>
      <c r="H368">
        <v>931</v>
      </c>
      <c r="I368">
        <v>18.100000000000001</v>
      </c>
      <c r="J368" t="s">
        <v>56</v>
      </c>
    </row>
    <row r="369" spans="1:10" x14ac:dyDescent="0.35">
      <c r="A369" s="1">
        <v>45376</v>
      </c>
      <c r="B369" t="s">
        <v>30</v>
      </c>
      <c r="C369" t="s">
        <v>31</v>
      </c>
      <c r="D369" t="s">
        <v>18</v>
      </c>
      <c r="E369" t="s">
        <v>19</v>
      </c>
      <c r="F369" t="s">
        <v>20</v>
      </c>
      <c r="G369">
        <v>1167</v>
      </c>
      <c r="H369">
        <v>1425</v>
      </c>
      <c r="I369">
        <v>22.1</v>
      </c>
      <c r="J369" t="s">
        <v>55</v>
      </c>
    </row>
    <row r="370" spans="1:10" x14ac:dyDescent="0.35">
      <c r="A370" s="1">
        <v>45376</v>
      </c>
      <c r="B370" t="s">
        <v>30</v>
      </c>
      <c r="C370" t="s">
        <v>31</v>
      </c>
      <c r="D370" t="s">
        <v>21</v>
      </c>
      <c r="E370" t="s">
        <v>22</v>
      </c>
      <c r="F370" t="s">
        <v>23</v>
      </c>
      <c r="G370">
        <v>463</v>
      </c>
      <c r="H370">
        <v>403</v>
      </c>
      <c r="I370">
        <v>13</v>
      </c>
      <c r="J370" t="s">
        <v>56</v>
      </c>
    </row>
    <row r="371" spans="1:10" x14ac:dyDescent="0.35">
      <c r="A371" s="1">
        <v>45376</v>
      </c>
      <c r="B371" t="s">
        <v>30</v>
      </c>
      <c r="C371" t="s">
        <v>31</v>
      </c>
      <c r="D371" t="s">
        <v>24</v>
      </c>
      <c r="E371" t="s">
        <v>25</v>
      </c>
      <c r="F371" t="s">
        <v>17</v>
      </c>
      <c r="G371">
        <v>707</v>
      </c>
      <c r="H371">
        <v>457</v>
      </c>
      <c r="I371">
        <v>35.4</v>
      </c>
      <c r="J371" t="s">
        <v>56</v>
      </c>
    </row>
    <row r="372" spans="1:10" x14ac:dyDescent="0.35">
      <c r="A372" s="1">
        <v>45376</v>
      </c>
      <c r="B372" t="s">
        <v>30</v>
      </c>
      <c r="C372" t="s">
        <v>31</v>
      </c>
      <c r="D372" t="s">
        <v>26</v>
      </c>
      <c r="E372" t="s">
        <v>27</v>
      </c>
      <c r="F372" t="s">
        <v>20</v>
      </c>
      <c r="G372">
        <v>833</v>
      </c>
      <c r="H372">
        <v>1101</v>
      </c>
      <c r="I372">
        <v>32.200000000000003</v>
      </c>
      <c r="J372" t="s">
        <v>55</v>
      </c>
    </row>
    <row r="373" spans="1:10" x14ac:dyDescent="0.35">
      <c r="A373" s="1">
        <v>45376</v>
      </c>
      <c r="B373" t="s">
        <v>30</v>
      </c>
      <c r="C373" t="s">
        <v>31</v>
      </c>
      <c r="D373" t="s">
        <v>28</v>
      </c>
      <c r="E373" t="s">
        <v>29</v>
      </c>
      <c r="F373" t="s">
        <v>23</v>
      </c>
      <c r="G373">
        <v>1440</v>
      </c>
      <c r="H373">
        <v>1893</v>
      </c>
      <c r="I373">
        <v>31.5</v>
      </c>
      <c r="J373" t="s">
        <v>55</v>
      </c>
    </row>
    <row r="374" spans="1:10" x14ac:dyDescent="0.35">
      <c r="A374" s="1">
        <v>45376</v>
      </c>
      <c r="B374" t="s">
        <v>33</v>
      </c>
      <c r="C374" t="s">
        <v>34</v>
      </c>
      <c r="D374" t="s">
        <v>15</v>
      </c>
      <c r="E374" t="s">
        <v>16</v>
      </c>
      <c r="F374" t="s">
        <v>17</v>
      </c>
      <c r="G374">
        <v>840</v>
      </c>
      <c r="H374">
        <v>1002</v>
      </c>
      <c r="I374">
        <v>19.3</v>
      </c>
      <c r="J374" t="s">
        <v>55</v>
      </c>
    </row>
    <row r="375" spans="1:10" x14ac:dyDescent="0.35">
      <c r="A375" s="1">
        <v>45376</v>
      </c>
      <c r="B375" t="s">
        <v>33</v>
      </c>
      <c r="C375" t="s">
        <v>34</v>
      </c>
      <c r="D375" t="s">
        <v>18</v>
      </c>
      <c r="E375" t="s">
        <v>19</v>
      </c>
      <c r="F375" t="s">
        <v>20</v>
      </c>
      <c r="G375">
        <v>707</v>
      </c>
      <c r="H375">
        <v>844</v>
      </c>
      <c r="I375">
        <v>19.399999999999999</v>
      </c>
      <c r="J375" t="s">
        <v>55</v>
      </c>
    </row>
    <row r="376" spans="1:10" x14ac:dyDescent="0.35">
      <c r="A376" s="1">
        <v>45376</v>
      </c>
      <c r="B376" t="s">
        <v>33</v>
      </c>
      <c r="C376" t="s">
        <v>34</v>
      </c>
      <c r="D376" t="s">
        <v>21</v>
      </c>
      <c r="E376" t="s">
        <v>22</v>
      </c>
      <c r="F376" t="s">
        <v>23</v>
      </c>
      <c r="G376">
        <v>560</v>
      </c>
      <c r="H376">
        <v>765</v>
      </c>
      <c r="I376">
        <v>36.6</v>
      </c>
      <c r="J376" t="s">
        <v>55</v>
      </c>
    </row>
    <row r="377" spans="1:10" x14ac:dyDescent="0.35">
      <c r="A377" s="1">
        <v>45376</v>
      </c>
      <c r="B377" t="s">
        <v>33</v>
      </c>
      <c r="C377" t="s">
        <v>34</v>
      </c>
      <c r="D377" t="s">
        <v>24</v>
      </c>
      <c r="E377" t="s">
        <v>25</v>
      </c>
      <c r="F377" t="s">
        <v>17</v>
      </c>
      <c r="G377">
        <v>859</v>
      </c>
      <c r="H377">
        <v>1073</v>
      </c>
      <c r="I377">
        <v>24.9</v>
      </c>
      <c r="J377" t="s">
        <v>55</v>
      </c>
    </row>
    <row r="378" spans="1:10" x14ac:dyDescent="0.35">
      <c r="A378" s="1">
        <v>45376</v>
      </c>
      <c r="B378" t="s">
        <v>33</v>
      </c>
      <c r="C378" t="s">
        <v>34</v>
      </c>
      <c r="D378" t="s">
        <v>26</v>
      </c>
      <c r="E378" t="s">
        <v>27</v>
      </c>
      <c r="F378" t="s">
        <v>20</v>
      </c>
      <c r="G378">
        <v>1522</v>
      </c>
      <c r="H378">
        <v>1978</v>
      </c>
      <c r="I378">
        <v>30</v>
      </c>
      <c r="J378" t="s">
        <v>55</v>
      </c>
    </row>
    <row r="379" spans="1:10" x14ac:dyDescent="0.35">
      <c r="A379" s="1">
        <v>45376</v>
      </c>
      <c r="B379" t="s">
        <v>33</v>
      </c>
      <c r="C379" t="s">
        <v>34</v>
      </c>
      <c r="D379" t="s">
        <v>28</v>
      </c>
      <c r="E379" t="s">
        <v>29</v>
      </c>
      <c r="F379" t="s">
        <v>23</v>
      </c>
      <c r="G379">
        <v>648</v>
      </c>
      <c r="H379">
        <v>864</v>
      </c>
      <c r="I379">
        <v>33.299999999999997</v>
      </c>
      <c r="J379" t="s">
        <v>55</v>
      </c>
    </row>
    <row r="380" spans="1:10" x14ac:dyDescent="0.35">
      <c r="A380" s="1">
        <v>45376</v>
      </c>
      <c r="B380" t="s">
        <v>36</v>
      </c>
      <c r="C380" t="s">
        <v>37</v>
      </c>
      <c r="D380" t="s">
        <v>15</v>
      </c>
      <c r="E380" t="s">
        <v>16</v>
      </c>
      <c r="F380" t="s">
        <v>17</v>
      </c>
      <c r="G380">
        <v>505</v>
      </c>
      <c r="H380">
        <v>637</v>
      </c>
      <c r="I380">
        <v>26.1</v>
      </c>
      <c r="J380" t="s">
        <v>55</v>
      </c>
    </row>
    <row r="381" spans="1:10" x14ac:dyDescent="0.35">
      <c r="A381" s="1">
        <v>45376</v>
      </c>
      <c r="B381" t="s">
        <v>36</v>
      </c>
      <c r="C381" t="s">
        <v>37</v>
      </c>
      <c r="D381" t="s">
        <v>18</v>
      </c>
      <c r="E381" t="s">
        <v>19</v>
      </c>
      <c r="F381" t="s">
        <v>20</v>
      </c>
      <c r="G381">
        <v>1465</v>
      </c>
      <c r="H381">
        <v>1153</v>
      </c>
      <c r="I381">
        <v>21.3</v>
      </c>
      <c r="J381" t="s">
        <v>56</v>
      </c>
    </row>
    <row r="382" spans="1:10" x14ac:dyDescent="0.35">
      <c r="A382" s="1">
        <v>45376</v>
      </c>
      <c r="B382" t="s">
        <v>36</v>
      </c>
      <c r="C382" t="s">
        <v>37</v>
      </c>
      <c r="D382" t="s">
        <v>21</v>
      </c>
      <c r="E382" t="s">
        <v>22</v>
      </c>
      <c r="F382" t="s">
        <v>23</v>
      </c>
      <c r="G382">
        <v>1578</v>
      </c>
      <c r="H382">
        <v>1313</v>
      </c>
      <c r="I382">
        <v>16.8</v>
      </c>
      <c r="J382" t="s">
        <v>56</v>
      </c>
    </row>
    <row r="383" spans="1:10" x14ac:dyDescent="0.35">
      <c r="A383" s="1">
        <v>45376</v>
      </c>
      <c r="B383" t="s">
        <v>36</v>
      </c>
      <c r="C383" t="s">
        <v>37</v>
      </c>
      <c r="D383" t="s">
        <v>24</v>
      </c>
      <c r="E383" t="s">
        <v>25</v>
      </c>
      <c r="F383" t="s">
        <v>17</v>
      </c>
      <c r="G383">
        <v>897</v>
      </c>
      <c r="H383">
        <v>1183</v>
      </c>
      <c r="I383">
        <v>31.9</v>
      </c>
      <c r="J383" t="s">
        <v>55</v>
      </c>
    </row>
    <row r="384" spans="1:10" x14ac:dyDescent="0.35">
      <c r="A384" s="1">
        <v>45376</v>
      </c>
      <c r="B384" t="s">
        <v>36</v>
      </c>
      <c r="C384" t="s">
        <v>37</v>
      </c>
      <c r="D384" t="s">
        <v>26</v>
      </c>
      <c r="E384" t="s">
        <v>27</v>
      </c>
      <c r="F384" t="s">
        <v>20</v>
      </c>
      <c r="G384">
        <v>872</v>
      </c>
      <c r="H384">
        <v>1061</v>
      </c>
      <c r="I384">
        <v>21.7</v>
      </c>
      <c r="J384" t="s">
        <v>55</v>
      </c>
    </row>
    <row r="385" spans="1:10" x14ac:dyDescent="0.35">
      <c r="A385" s="1">
        <v>45376</v>
      </c>
      <c r="B385" t="s">
        <v>36</v>
      </c>
      <c r="C385" t="s">
        <v>37</v>
      </c>
      <c r="D385" t="s">
        <v>28</v>
      </c>
      <c r="E385" t="s">
        <v>29</v>
      </c>
      <c r="F385" t="s">
        <v>23</v>
      </c>
      <c r="G385">
        <v>636</v>
      </c>
      <c r="H385">
        <v>452</v>
      </c>
      <c r="I385">
        <v>28.9</v>
      </c>
      <c r="J385" t="s">
        <v>56</v>
      </c>
    </row>
    <row r="386" spans="1:10" x14ac:dyDescent="0.35">
      <c r="A386" s="1">
        <v>45376</v>
      </c>
      <c r="B386" t="s">
        <v>39</v>
      </c>
      <c r="C386" t="s">
        <v>40</v>
      </c>
      <c r="D386" t="s">
        <v>15</v>
      </c>
      <c r="E386" t="s">
        <v>16</v>
      </c>
      <c r="F386" t="s">
        <v>17</v>
      </c>
      <c r="G386">
        <v>1239</v>
      </c>
      <c r="H386">
        <v>1005</v>
      </c>
      <c r="I386">
        <v>18.899999999999999</v>
      </c>
      <c r="J386" t="s">
        <v>56</v>
      </c>
    </row>
    <row r="387" spans="1:10" x14ac:dyDescent="0.35">
      <c r="A387" s="1">
        <v>45376</v>
      </c>
      <c r="B387" t="s">
        <v>39</v>
      </c>
      <c r="C387" t="s">
        <v>40</v>
      </c>
      <c r="D387" t="s">
        <v>18</v>
      </c>
      <c r="E387" t="s">
        <v>19</v>
      </c>
      <c r="F387" t="s">
        <v>20</v>
      </c>
      <c r="G387">
        <v>1435</v>
      </c>
      <c r="H387">
        <v>1287</v>
      </c>
      <c r="I387">
        <v>10.3</v>
      </c>
      <c r="J387" t="s">
        <v>56</v>
      </c>
    </row>
    <row r="388" spans="1:10" x14ac:dyDescent="0.35">
      <c r="A388" s="1">
        <v>45376</v>
      </c>
      <c r="B388" t="s">
        <v>39</v>
      </c>
      <c r="C388" t="s">
        <v>40</v>
      </c>
      <c r="D388" t="s">
        <v>21</v>
      </c>
      <c r="E388" t="s">
        <v>22</v>
      </c>
      <c r="F388" t="s">
        <v>23</v>
      </c>
      <c r="G388">
        <v>1391</v>
      </c>
      <c r="H388">
        <v>1027</v>
      </c>
      <c r="I388">
        <v>26.2</v>
      </c>
      <c r="J388" t="s">
        <v>56</v>
      </c>
    </row>
    <row r="389" spans="1:10" x14ac:dyDescent="0.35">
      <c r="A389" s="1">
        <v>45376</v>
      </c>
      <c r="B389" t="s">
        <v>39</v>
      </c>
      <c r="C389" t="s">
        <v>40</v>
      </c>
      <c r="D389" t="s">
        <v>24</v>
      </c>
      <c r="E389" t="s">
        <v>25</v>
      </c>
      <c r="F389" t="s">
        <v>17</v>
      </c>
      <c r="G389">
        <v>1257</v>
      </c>
      <c r="H389">
        <v>1444</v>
      </c>
      <c r="I389">
        <v>14.9</v>
      </c>
      <c r="J389" t="s">
        <v>55</v>
      </c>
    </row>
    <row r="390" spans="1:10" x14ac:dyDescent="0.35">
      <c r="A390" s="1">
        <v>45376</v>
      </c>
      <c r="B390" t="s">
        <v>39</v>
      </c>
      <c r="C390" t="s">
        <v>40</v>
      </c>
      <c r="D390" t="s">
        <v>26</v>
      </c>
      <c r="E390" t="s">
        <v>27</v>
      </c>
      <c r="F390" t="s">
        <v>20</v>
      </c>
      <c r="G390">
        <v>656</v>
      </c>
      <c r="H390">
        <v>421</v>
      </c>
      <c r="I390">
        <v>35.799999999999997</v>
      </c>
      <c r="J390" t="s">
        <v>56</v>
      </c>
    </row>
    <row r="391" spans="1:10" x14ac:dyDescent="0.35">
      <c r="A391" s="1">
        <v>45376</v>
      </c>
      <c r="B391" t="s">
        <v>39</v>
      </c>
      <c r="C391" t="s">
        <v>40</v>
      </c>
      <c r="D391" t="s">
        <v>28</v>
      </c>
      <c r="E391" t="s">
        <v>29</v>
      </c>
      <c r="F391" t="s">
        <v>23</v>
      </c>
      <c r="G391">
        <v>1234</v>
      </c>
      <c r="H391">
        <v>1582</v>
      </c>
      <c r="I391">
        <v>28.2</v>
      </c>
      <c r="J391" t="s">
        <v>55</v>
      </c>
    </row>
    <row r="392" spans="1:10" x14ac:dyDescent="0.35">
      <c r="A392" s="1">
        <v>45383</v>
      </c>
      <c r="B392" t="s">
        <v>12</v>
      </c>
      <c r="C392" t="s">
        <v>13</v>
      </c>
      <c r="D392" t="s">
        <v>15</v>
      </c>
      <c r="E392" t="s">
        <v>16</v>
      </c>
      <c r="F392" t="s">
        <v>17</v>
      </c>
      <c r="G392">
        <v>933</v>
      </c>
      <c r="H392">
        <v>635</v>
      </c>
      <c r="I392">
        <v>31.9</v>
      </c>
      <c r="J392" t="s">
        <v>56</v>
      </c>
    </row>
    <row r="393" spans="1:10" x14ac:dyDescent="0.35">
      <c r="A393" s="1">
        <v>45383</v>
      </c>
      <c r="B393" t="s">
        <v>12</v>
      </c>
      <c r="C393" t="s">
        <v>13</v>
      </c>
      <c r="D393" t="s">
        <v>18</v>
      </c>
      <c r="E393" t="s">
        <v>19</v>
      </c>
      <c r="F393" t="s">
        <v>20</v>
      </c>
      <c r="G393">
        <v>641</v>
      </c>
      <c r="H393">
        <v>574</v>
      </c>
      <c r="I393">
        <v>10.5</v>
      </c>
      <c r="J393" t="s">
        <v>56</v>
      </c>
    </row>
    <row r="394" spans="1:10" x14ac:dyDescent="0.35">
      <c r="A394" s="1">
        <v>45383</v>
      </c>
      <c r="B394" t="s">
        <v>12</v>
      </c>
      <c r="C394" t="s">
        <v>13</v>
      </c>
      <c r="D394" t="s">
        <v>21</v>
      </c>
      <c r="E394" t="s">
        <v>22</v>
      </c>
      <c r="F394" t="s">
        <v>23</v>
      </c>
      <c r="G394">
        <v>703</v>
      </c>
      <c r="H394">
        <v>880</v>
      </c>
      <c r="I394">
        <v>25.2</v>
      </c>
      <c r="J394" t="s">
        <v>55</v>
      </c>
    </row>
    <row r="395" spans="1:10" x14ac:dyDescent="0.35">
      <c r="A395" s="1">
        <v>45383</v>
      </c>
      <c r="B395" t="s">
        <v>12</v>
      </c>
      <c r="C395" t="s">
        <v>13</v>
      </c>
      <c r="D395" t="s">
        <v>24</v>
      </c>
      <c r="E395" t="s">
        <v>25</v>
      </c>
      <c r="F395" t="s">
        <v>17</v>
      </c>
      <c r="G395">
        <v>805</v>
      </c>
      <c r="H395">
        <v>1086</v>
      </c>
      <c r="I395">
        <v>34.9</v>
      </c>
      <c r="J395" t="s">
        <v>55</v>
      </c>
    </row>
    <row r="396" spans="1:10" x14ac:dyDescent="0.35">
      <c r="A396" s="1">
        <v>45383</v>
      </c>
      <c r="B396" t="s">
        <v>12</v>
      </c>
      <c r="C396" t="s">
        <v>13</v>
      </c>
      <c r="D396" t="s">
        <v>26</v>
      </c>
      <c r="E396" t="s">
        <v>27</v>
      </c>
      <c r="F396" t="s">
        <v>20</v>
      </c>
      <c r="G396">
        <v>431</v>
      </c>
      <c r="H396">
        <v>374</v>
      </c>
      <c r="I396">
        <v>13.2</v>
      </c>
      <c r="J396" t="s">
        <v>56</v>
      </c>
    </row>
    <row r="397" spans="1:10" x14ac:dyDescent="0.35">
      <c r="A397" s="1">
        <v>45383</v>
      </c>
      <c r="B397" t="s">
        <v>12</v>
      </c>
      <c r="C397" t="s">
        <v>13</v>
      </c>
      <c r="D397" t="s">
        <v>28</v>
      </c>
      <c r="E397" t="s">
        <v>29</v>
      </c>
      <c r="F397" t="s">
        <v>23</v>
      </c>
      <c r="G397">
        <v>1535</v>
      </c>
      <c r="H397">
        <v>1084</v>
      </c>
      <c r="I397">
        <v>29.4</v>
      </c>
      <c r="J397" t="s">
        <v>56</v>
      </c>
    </row>
    <row r="398" spans="1:10" x14ac:dyDescent="0.35">
      <c r="A398" s="1">
        <v>45383</v>
      </c>
      <c r="B398" t="s">
        <v>30</v>
      </c>
      <c r="C398" t="s">
        <v>31</v>
      </c>
      <c r="D398" t="s">
        <v>15</v>
      </c>
      <c r="E398" t="s">
        <v>16</v>
      </c>
      <c r="F398" t="s">
        <v>17</v>
      </c>
      <c r="G398">
        <v>606</v>
      </c>
      <c r="H398">
        <v>534</v>
      </c>
      <c r="I398">
        <v>11.9</v>
      </c>
      <c r="J398" t="s">
        <v>56</v>
      </c>
    </row>
    <row r="399" spans="1:10" x14ac:dyDescent="0.35">
      <c r="A399" s="1">
        <v>45383</v>
      </c>
      <c r="B399" t="s">
        <v>30</v>
      </c>
      <c r="C399" t="s">
        <v>31</v>
      </c>
      <c r="D399" t="s">
        <v>18</v>
      </c>
      <c r="E399" t="s">
        <v>19</v>
      </c>
      <c r="F399" t="s">
        <v>20</v>
      </c>
      <c r="G399">
        <v>1283</v>
      </c>
      <c r="H399">
        <v>1171</v>
      </c>
      <c r="I399">
        <v>8.6999999999999993</v>
      </c>
      <c r="J399" t="s">
        <v>56</v>
      </c>
    </row>
    <row r="400" spans="1:10" x14ac:dyDescent="0.35">
      <c r="A400" s="1">
        <v>45383</v>
      </c>
      <c r="B400" t="s">
        <v>30</v>
      </c>
      <c r="C400" t="s">
        <v>31</v>
      </c>
      <c r="D400" t="s">
        <v>21</v>
      </c>
      <c r="E400" t="s">
        <v>22</v>
      </c>
      <c r="F400" t="s">
        <v>23</v>
      </c>
      <c r="G400">
        <v>549</v>
      </c>
      <c r="H400">
        <v>614</v>
      </c>
      <c r="I400">
        <v>11.8</v>
      </c>
      <c r="J400" t="s">
        <v>55</v>
      </c>
    </row>
    <row r="401" spans="1:10" x14ac:dyDescent="0.35">
      <c r="A401" s="1">
        <v>45383</v>
      </c>
      <c r="B401" t="s">
        <v>30</v>
      </c>
      <c r="C401" t="s">
        <v>31</v>
      </c>
      <c r="D401" t="s">
        <v>24</v>
      </c>
      <c r="E401" t="s">
        <v>25</v>
      </c>
      <c r="F401" t="s">
        <v>17</v>
      </c>
      <c r="G401">
        <v>1194</v>
      </c>
      <c r="H401">
        <v>774</v>
      </c>
      <c r="I401">
        <v>35.200000000000003</v>
      </c>
      <c r="J401" t="s">
        <v>56</v>
      </c>
    </row>
    <row r="402" spans="1:10" x14ac:dyDescent="0.35">
      <c r="A402" s="1">
        <v>45383</v>
      </c>
      <c r="B402" t="s">
        <v>30</v>
      </c>
      <c r="C402" t="s">
        <v>31</v>
      </c>
      <c r="D402" t="s">
        <v>26</v>
      </c>
      <c r="E402" t="s">
        <v>27</v>
      </c>
      <c r="F402" t="s">
        <v>20</v>
      </c>
      <c r="G402">
        <v>1223</v>
      </c>
      <c r="H402">
        <v>869</v>
      </c>
      <c r="I402">
        <v>28.9</v>
      </c>
      <c r="J402" t="s">
        <v>56</v>
      </c>
    </row>
    <row r="403" spans="1:10" x14ac:dyDescent="0.35">
      <c r="A403" s="1">
        <v>45383</v>
      </c>
      <c r="B403" t="s">
        <v>30</v>
      </c>
      <c r="C403" t="s">
        <v>31</v>
      </c>
      <c r="D403" t="s">
        <v>28</v>
      </c>
      <c r="E403" t="s">
        <v>29</v>
      </c>
      <c r="F403" t="s">
        <v>23</v>
      </c>
      <c r="G403">
        <v>1000</v>
      </c>
      <c r="H403">
        <v>1115</v>
      </c>
      <c r="I403">
        <v>11.5</v>
      </c>
      <c r="J403" t="s">
        <v>55</v>
      </c>
    </row>
    <row r="404" spans="1:10" x14ac:dyDescent="0.35">
      <c r="A404" s="1">
        <v>45383</v>
      </c>
      <c r="B404" t="s">
        <v>33</v>
      </c>
      <c r="C404" t="s">
        <v>34</v>
      </c>
      <c r="D404" t="s">
        <v>15</v>
      </c>
      <c r="E404" t="s">
        <v>16</v>
      </c>
      <c r="F404" t="s">
        <v>17</v>
      </c>
      <c r="G404">
        <v>1089</v>
      </c>
      <c r="H404">
        <v>1369</v>
      </c>
      <c r="I404">
        <v>25.7</v>
      </c>
      <c r="J404" t="s">
        <v>55</v>
      </c>
    </row>
    <row r="405" spans="1:10" x14ac:dyDescent="0.35">
      <c r="A405" s="1">
        <v>45383</v>
      </c>
      <c r="B405" t="s">
        <v>33</v>
      </c>
      <c r="C405" t="s">
        <v>34</v>
      </c>
      <c r="D405" t="s">
        <v>18</v>
      </c>
      <c r="E405" t="s">
        <v>19</v>
      </c>
      <c r="F405" t="s">
        <v>20</v>
      </c>
      <c r="G405">
        <v>492</v>
      </c>
      <c r="H405">
        <v>542</v>
      </c>
      <c r="I405">
        <v>10.199999999999999</v>
      </c>
      <c r="J405" t="s">
        <v>55</v>
      </c>
    </row>
    <row r="406" spans="1:10" x14ac:dyDescent="0.35">
      <c r="A406" s="1">
        <v>45383</v>
      </c>
      <c r="B406" t="s">
        <v>33</v>
      </c>
      <c r="C406" t="s">
        <v>34</v>
      </c>
      <c r="D406" t="s">
        <v>21</v>
      </c>
      <c r="E406" t="s">
        <v>22</v>
      </c>
      <c r="F406" t="s">
        <v>23</v>
      </c>
      <c r="G406">
        <v>1319</v>
      </c>
      <c r="H406">
        <v>1784</v>
      </c>
      <c r="I406">
        <v>35.299999999999997</v>
      </c>
      <c r="J406" t="s">
        <v>55</v>
      </c>
    </row>
    <row r="407" spans="1:10" x14ac:dyDescent="0.35">
      <c r="A407" s="1">
        <v>45383</v>
      </c>
      <c r="B407" t="s">
        <v>33</v>
      </c>
      <c r="C407" t="s">
        <v>34</v>
      </c>
      <c r="D407" t="s">
        <v>24</v>
      </c>
      <c r="E407" t="s">
        <v>25</v>
      </c>
      <c r="F407" t="s">
        <v>17</v>
      </c>
      <c r="G407">
        <v>1292</v>
      </c>
      <c r="H407">
        <v>1076</v>
      </c>
      <c r="I407">
        <v>16.7</v>
      </c>
      <c r="J407" t="s">
        <v>56</v>
      </c>
    </row>
    <row r="408" spans="1:10" x14ac:dyDescent="0.35">
      <c r="A408" s="1">
        <v>45383</v>
      </c>
      <c r="B408" t="s">
        <v>33</v>
      </c>
      <c r="C408" t="s">
        <v>34</v>
      </c>
      <c r="D408" t="s">
        <v>26</v>
      </c>
      <c r="E408" t="s">
        <v>27</v>
      </c>
      <c r="F408" t="s">
        <v>20</v>
      </c>
      <c r="G408">
        <v>675</v>
      </c>
      <c r="H408">
        <v>877</v>
      </c>
      <c r="I408">
        <v>29.9</v>
      </c>
      <c r="J408" t="s">
        <v>55</v>
      </c>
    </row>
    <row r="409" spans="1:10" x14ac:dyDescent="0.35">
      <c r="A409" s="1">
        <v>45383</v>
      </c>
      <c r="B409" t="s">
        <v>33</v>
      </c>
      <c r="C409" t="s">
        <v>34</v>
      </c>
      <c r="D409" t="s">
        <v>28</v>
      </c>
      <c r="E409" t="s">
        <v>29</v>
      </c>
      <c r="F409" t="s">
        <v>23</v>
      </c>
      <c r="G409">
        <v>1443</v>
      </c>
      <c r="H409">
        <v>1594</v>
      </c>
      <c r="I409">
        <v>10.5</v>
      </c>
      <c r="J409" t="s">
        <v>55</v>
      </c>
    </row>
    <row r="410" spans="1:10" x14ac:dyDescent="0.35">
      <c r="A410" s="1">
        <v>45383</v>
      </c>
      <c r="B410" t="s">
        <v>36</v>
      </c>
      <c r="C410" t="s">
        <v>37</v>
      </c>
      <c r="D410" t="s">
        <v>15</v>
      </c>
      <c r="E410" t="s">
        <v>16</v>
      </c>
      <c r="F410" t="s">
        <v>17</v>
      </c>
      <c r="G410">
        <v>1157</v>
      </c>
      <c r="H410">
        <v>830</v>
      </c>
      <c r="I410">
        <v>28.3</v>
      </c>
      <c r="J410" t="s">
        <v>56</v>
      </c>
    </row>
    <row r="411" spans="1:10" x14ac:dyDescent="0.35">
      <c r="A411" s="1">
        <v>45383</v>
      </c>
      <c r="B411" t="s">
        <v>36</v>
      </c>
      <c r="C411" t="s">
        <v>37</v>
      </c>
      <c r="D411" t="s">
        <v>18</v>
      </c>
      <c r="E411" t="s">
        <v>19</v>
      </c>
      <c r="F411" t="s">
        <v>20</v>
      </c>
      <c r="G411">
        <v>1056</v>
      </c>
      <c r="H411">
        <v>1279</v>
      </c>
      <c r="I411">
        <v>21.1</v>
      </c>
      <c r="J411" t="s">
        <v>55</v>
      </c>
    </row>
    <row r="412" spans="1:10" x14ac:dyDescent="0.35">
      <c r="A412" s="1">
        <v>45383</v>
      </c>
      <c r="B412" t="s">
        <v>36</v>
      </c>
      <c r="C412" t="s">
        <v>37</v>
      </c>
      <c r="D412" t="s">
        <v>21</v>
      </c>
      <c r="E412" t="s">
        <v>22</v>
      </c>
      <c r="F412" t="s">
        <v>23</v>
      </c>
      <c r="G412">
        <v>972</v>
      </c>
      <c r="H412">
        <v>618</v>
      </c>
      <c r="I412">
        <v>36.4</v>
      </c>
      <c r="J412" t="s">
        <v>56</v>
      </c>
    </row>
    <row r="413" spans="1:10" x14ac:dyDescent="0.35">
      <c r="A413" s="1">
        <v>45383</v>
      </c>
      <c r="B413" t="s">
        <v>36</v>
      </c>
      <c r="C413" t="s">
        <v>37</v>
      </c>
      <c r="D413" t="s">
        <v>24</v>
      </c>
      <c r="E413" t="s">
        <v>25</v>
      </c>
      <c r="F413" t="s">
        <v>17</v>
      </c>
      <c r="G413">
        <v>1008</v>
      </c>
      <c r="H413">
        <v>778</v>
      </c>
      <c r="I413">
        <v>22.8</v>
      </c>
      <c r="J413" t="s">
        <v>56</v>
      </c>
    </row>
    <row r="414" spans="1:10" x14ac:dyDescent="0.35">
      <c r="A414" s="1">
        <v>45383</v>
      </c>
      <c r="B414" t="s">
        <v>36</v>
      </c>
      <c r="C414" t="s">
        <v>37</v>
      </c>
      <c r="D414" t="s">
        <v>26</v>
      </c>
      <c r="E414" t="s">
        <v>27</v>
      </c>
      <c r="F414" t="s">
        <v>20</v>
      </c>
      <c r="G414">
        <v>1460</v>
      </c>
      <c r="H414">
        <v>1969</v>
      </c>
      <c r="I414">
        <v>34.9</v>
      </c>
      <c r="J414" t="s">
        <v>55</v>
      </c>
    </row>
    <row r="415" spans="1:10" x14ac:dyDescent="0.35">
      <c r="A415" s="1">
        <v>45383</v>
      </c>
      <c r="B415" t="s">
        <v>36</v>
      </c>
      <c r="C415" t="s">
        <v>37</v>
      </c>
      <c r="D415" t="s">
        <v>28</v>
      </c>
      <c r="E415" t="s">
        <v>29</v>
      </c>
      <c r="F415" t="s">
        <v>23</v>
      </c>
      <c r="G415">
        <v>1273</v>
      </c>
      <c r="H415">
        <v>1062</v>
      </c>
      <c r="I415">
        <v>16.600000000000001</v>
      </c>
      <c r="J415" t="s">
        <v>56</v>
      </c>
    </row>
    <row r="416" spans="1:10" x14ac:dyDescent="0.35">
      <c r="A416" s="1">
        <v>45383</v>
      </c>
      <c r="B416" t="s">
        <v>39</v>
      </c>
      <c r="C416" t="s">
        <v>40</v>
      </c>
      <c r="D416" t="s">
        <v>15</v>
      </c>
      <c r="E416" t="s">
        <v>16</v>
      </c>
      <c r="F416" t="s">
        <v>17</v>
      </c>
      <c r="G416">
        <v>765</v>
      </c>
      <c r="H416">
        <v>484</v>
      </c>
      <c r="I416">
        <v>36.700000000000003</v>
      </c>
      <c r="J416" t="s">
        <v>56</v>
      </c>
    </row>
    <row r="417" spans="1:10" x14ac:dyDescent="0.35">
      <c r="A417" s="1">
        <v>45383</v>
      </c>
      <c r="B417" t="s">
        <v>39</v>
      </c>
      <c r="C417" t="s">
        <v>40</v>
      </c>
      <c r="D417" t="s">
        <v>18</v>
      </c>
      <c r="E417" t="s">
        <v>19</v>
      </c>
      <c r="F417" t="s">
        <v>20</v>
      </c>
      <c r="G417">
        <v>831</v>
      </c>
      <c r="H417">
        <v>657</v>
      </c>
      <c r="I417">
        <v>20.9</v>
      </c>
      <c r="J417" t="s">
        <v>56</v>
      </c>
    </row>
    <row r="418" spans="1:10" x14ac:dyDescent="0.35">
      <c r="A418" s="1">
        <v>45383</v>
      </c>
      <c r="B418" t="s">
        <v>39</v>
      </c>
      <c r="C418" t="s">
        <v>40</v>
      </c>
      <c r="D418" t="s">
        <v>21</v>
      </c>
      <c r="E418" t="s">
        <v>22</v>
      </c>
      <c r="F418" t="s">
        <v>23</v>
      </c>
      <c r="G418">
        <v>1043</v>
      </c>
      <c r="H418">
        <v>928</v>
      </c>
      <c r="I418">
        <v>11</v>
      </c>
      <c r="J418" t="s">
        <v>56</v>
      </c>
    </row>
    <row r="419" spans="1:10" x14ac:dyDescent="0.35">
      <c r="A419" s="1">
        <v>45383</v>
      </c>
      <c r="B419" t="s">
        <v>39</v>
      </c>
      <c r="C419" t="s">
        <v>40</v>
      </c>
      <c r="D419" t="s">
        <v>24</v>
      </c>
      <c r="E419" t="s">
        <v>25</v>
      </c>
      <c r="F419" t="s">
        <v>17</v>
      </c>
      <c r="G419">
        <v>642</v>
      </c>
      <c r="H419">
        <v>535</v>
      </c>
      <c r="I419">
        <v>16.7</v>
      </c>
      <c r="J419" t="s">
        <v>56</v>
      </c>
    </row>
    <row r="420" spans="1:10" x14ac:dyDescent="0.35">
      <c r="A420" s="1">
        <v>45383</v>
      </c>
      <c r="B420" t="s">
        <v>39</v>
      </c>
      <c r="C420" t="s">
        <v>40</v>
      </c>
      <c r="D420" t="s">
        <v>26</v>
      </c>
      <c r="E420" t="s">
        <v>27</v>
      </c>
      <c r="F420" t="s">
        <v>20</v>
      </c>
      <c r="G420">
        <v>858</v>
      </c>
      <c r="H420">
        <v>561</v>
      </c>
      <c r="I420">
        <v>34.6</v>
      </c>
      <c r="J420" t="s">
        <v>56</v>
      </c>
    </row>
    <row r="421" spans="1:10" x14ac:dyDescent="0.35">
      <c r="A421" s="1">
        <v>45383</v>
      </c>
      <c r="B421" t="s">
        <v>39</v>
      </c>
      <c r="C421" t="s">
        <v>40</v>
      </c>
      <c r="D421" t="s">
        <v>28</v>
      </c>
      <c r="E421" t="s">
        <v>29</v>
      </c>
      <c r="F421" t="s">
        <v>23</v>
      </c>
      <c r="G421">
        <v>931</v>
      </c>
      <c r="H421">
        <v>1281</v>
      </c>
      <c r="I421">
        <v>37.6</v>
      </c>
      <c r="J421" t="s">
        <v>55</v>
      </c>
    </row>
    <row r="422" spans="1:10" x14ac:dyDescent="0.35">
      <c r="A422" s="1">
        <v>45390</v>
      </c>
      <c r="B422" t="s">
        <v>12</v>
      </c>
      <c r="C422" t="s">
        <v>13</v>
      </c>
      <c r="D422" t="s">
        <v>15</v>
      </c>
      <c r="E422" t="s">
        <v>16</v>
      </c>
      <c r="F422" t="s">
        <v>17</v>
      </c>
      <c r="G422">
        <v>874</v>
      </c>
      <c r="H422">
        <v>629</v>
      </c>
      <c r="I422">
        <v>28</v>
      </c>
      <c r="J422" t="s">
        <v>56</v>
      </c>
    </row>
    <row r="423" spans="1:10" x14ac:dyDescent="0.35">
      <c r="A423" s="1">
        <v>45390</v>
      </c>
      <c r="B423" t="s">
        <v>12</v>
      </c>
      <c r="C423" t="s">
        <v>13</v>
      </c>
      <c r="D423" t="s">
        <v>18</v>
      </c>
      <c r="E423" t="s">
        <v>19</v>
      </c>
      <c r="F423" t="s">
        <v>20</v>
      </c>
      <c r="G423">
        <v>823</v>
      </c>
      <c r="H423">
        <v>1025</v>
      </c>
      <c r="I423">
        <v>24.5</v>
      </c>
      <c r="J423" t="s">
        <v>55</v>
      </c>
    </row>
    <row r="424" spans="1:10" x14ac:dyDescent="0.35">
      <c r="A424" s="1">
        <v>45390</v>
      </c>
      <c r="B424" t="s">
        <v>12</v>
      </c>
      <c r="C424" t="s">
        <v>13</v>
      </c>
      <c r="D424" t="s">
        <v>21</v>
      </c>
      <c r="E424" t="s">
        <v>22</v>
      </c>
      <c r="F424" t="s">
        <v>23</v>
      </c>
      <c r="G424">
        <v>745</v>
      </c>
      <c r="H424">
        <v>810</v>
      </c>
      <c r="I424">
        <v>8.6999999999999993</v>
      </c>
      <c r="J424" t="s">
        <v>55</v>
      </c>
    </row>
    <row r="425" spans="1:10" x14ac:dyDescent="0.35">
      <c r="A425" s="1">
        <v>45390</v>
      </c>
      <c r="B425" t="s">
        <v>12</v>
      </c>
      <c r="C425" t="s">
        <v>13</v>
      </c>
      <c r="D425" t="s">
        <v>24</v>
      </c>
      <c r="E425" t="s">
        <v>25</v>
      </c>
      <c r="F425" t="s">
        <v>17</v>
      </c>
      <c r="G425">
        <v>1505</v>
      </c>
      <c r="H425">
        <v>1141</v>
      </c>
      <c r="I425">
        <v>24.2</v>
      </c>
      <c r="J425" t="s">
        <v>56</v>
      </c>
    </row>
    <row r="426" spans="1:10" x14ac:dyDescent="0.35">
      <c r="A426" s="1">
        <v>45390</v>
      </c>
      <c r="B426" t="s">
        <v>12</v>
      </c>
      <c r="C426" t="s">
        <v>13</v>
      </c>
      <c r="D426" t="s">
        <v>26</v>
      </c>
      <c r="E426" t="s">
        <v>27</v>
      </c>
      <c r="F426" t="s">
        <v>20</v>
      </c>
      <c r="G426">
        <v>1400</v>
      </c>
      <c r="H426">
        <v>938</v>
      </c>
      <c r="I426">
        <v>33</v>
      </c>
      <c r="J426" t="s">
        <v>56</v>
      </c>
    </row>
    <row r="427" spans="1:10" x14ac:dyDescent="0.35">
      <c r="A427" s="1">
        <v>45390</v>
      </c>
      <c r="B427" t="s">
        <v>12</v>
      </c>
      <c r="C427" t="s">
        <v>13</v>
      </c>
      <c r="D427" t="s">
        <v>28</v>
      </c>
      <c r="E427" t="s">
        <v>29</v>
      </c>
      <c r="F427" t="s">
        <v>23</v>
      </c>
      <c r="G427">
        <v>816</v>
      </c>
      <c r="H427">
        <v>950</v>
      </c>
      <c r="I427">
        <v>16.399999999999999</v>
      </c>
      <c r="J427" t="s">
        <v>55</v>
      </c>
    </row>
    <row r="428" spans="1:10" x14ac:dyDescent="0.35">
      <c r="A428" s="1">
        <v>45390</v>
      </c>
      <c r="B428" t="s">
        <v>30</v>
      </c>
      <c r="C428" t="s">
        <v>31</v>
      </c>
      <c r="D428" t="s">
        <v>15</v>
      </c>
      <c r="E428" t="s">
        <v>16</v>
      </c>
      <c r="F428" t="s">
        <v>17</v>
      </c>
      <c r="G428">
        <v>1273</v>
      </c>
      <c r="H428">
        <v>1654</v>
      </c>
      <c r="I428">
        <v>29.9</v>
      </c>
      <c r="J428" t="s">
        <v>55</v>
      </c>
    </row>
    <row r="429" spans="1:10" x14ac:dyDescent="0.35">
      <c r="A429" s="1">
        <v>45390</v>
      </c>
      <c r="B429" t="s">
        <v>30</v>
      </c>
      <c r="C429" t="s">
        <v>31</v>
      </c>
      <c r="D429" t="s">
        <v>18</v>
      </c>
      <c r="E429" t="s">
        <v>19</v>
      </c>
      <c r="F429" t="s">
        <v>20</v>
      </c>
      <c r="G429">
        <v>1329</v>
      </c>
      <c r="H429">
        <v>1105</v>
      </c>
      <c r="I429">
        <v>16.899999999999999</v>
      </c>
      <c r="J429" t="s">
        <v>56</v>
      </c>
    </row>
    <row r="430" spans="1:10" x14ac:dyDescent="0.35">
      <c r="A430" s="1">
        <v>45390</v>
      </c>
      <c r="B430" t="s">
        <v>30</v>
      </c>
      <c r="C430" t="s">
        <v>31</v>
      </c>
      <c r="D430" t="s">
        <v>21</v>
      </c>
      <c r="E430" t="s">
        <v>22</v>
      </c>
      <c r="F430" t="s">
        <v>23</v>
      </c>
      <c r="G430">
        <v>645</v>
      </c>
      <c r="H430">
        <v>507</v>
      </c>
      <c r="I430">
        <v>21.4</v>
      </c>
      <c r="J430" t="s">
        <v>56</v>
      </c>
    </row>
    <row r="431" spans="1:10" x14ac:dyDescent="0.35">
      <c r="A431" s="1">
        <v>45390</v>
      </c>
      <c r="B431" t="s">
        <v>30</v>
      </c>
      <c r="C431" t="s">
        <v>31</v>
      </c>
      <c r="D431" t="s">
        <v>24</v>
      </c>
      <c r="E431" t="s">
        <v>25</v>
      </c>
      <c r="F431" t="s">
        <v>17</v>
      </c>
      <c r="G431">
        <v>938</v>
      </c>
      <c r="H431">
        <v>838</v>
      </c>
      <c r="I431">
        <v>10.7</v>
      </c>
      <c r="J431" t="s">
        <v>56</v>
      </c>
    </row>
    <row r="432" spans="1:10" x14ac:dyDescent="0.35">
      <c r="A432" s="1">
        <v>45390</v>
      </c>
      <c r="B432" t="s">
        <v>30</v>
      </c>
      <c r="C432" t="s">
        <v>31</v>
      </c>
      <c r="D432" t="s">
        <v>26</v>
      </c>
      <c r="E432" t="s">
        <v>27</v>
      </c>
      <c r="F432" t="s">
        <v>20</v>
      </c>
      <c r="G432">
        <v>970</v>
      </c>
      <c r="H432">
        <v>679</v>
      </c>
      <c r="I432">
        <v>30</v>
      </c>
      <c r="J432" t="s">
        <v>56</v>
      </c>
    </row>
    <row r="433" spans="1:10" x14ac:dyDescent="0.35">
      <c r="A433" s="1">
        <v>45390</v>
      </c>
      <c r="B433" t="s">
        <v>30</v>
      </c>
      <c r="C433" t="s">
        <v>31</v>
      </c>
      <c r="D433" t="s">
        <v>28</v>
      </c>
      <c r="E433" t="s">
        <v>29</v>
      </c>
      <c r="F433" t="s">
        <v>23</v>
      </c>
      <c r="G433">
        <v>1124</v>
      </c>
      <c r="H433">
        <v>1484</v>
      </c>
      <c r="I433">
        <v>32</v>
      </c>
      <c r="J433" t="s">
        <v>55</v>
      </c>
    </row>
    <row r="434" spans="1:10" x14ac:dyDescent="0.35">
      <c r="A434" s="1">
        <v>45390</v>
      </c>
      <c r="B434" t="s">
        <v>33</v>
      </c>
      <c r="C434" t="s">
        <v>34</v>
      </c>
      <c r="D434" t="s">
        <v>15</v>
      </c>
      <c r="E434" t="s">
        <v>16</v>
      </c>
      <c r="F434" t="s">
        <v>17</v>
      </c>
      <c r="G434">
        <v>855</v>
      </c>
      <c r="H434">
        <v>600</v>
      </c>
      <c r="I434">
        <v>29.8</v>
      </c>
      <c r="J434" t="s">
        <v>56</v>
      </c>
    </row>
    <row r="435" spans="1:10" x14ac:dyDescent="0.35">
      <c r="A435" s="1">
        <v>45390</v>
      </c>
      <c r="B435" t="s">
        <v>33</v>
      </c>
      <c r="C435" t="s">
        <v>34</v>
      </c>
      <c r="D435" t="s">
        <v>18</v>
      </c>
      <c r="E435" t="s">
        <v>19</v>
      </c>
      <c r="F435" t="s">
        <v>20</v>
      </c>
      <c r="G435">
        <v>1438</v>
      </c>
      <c r="H435">
        <v>1178</v>
      </c>
      <c r="I435">
        <v>18.100000000000001</v>
      </c>
      <c r="J435" t="s">
        <v>56</v>
      </c>
    </row>
    <row r="436" spans="1:10" x14ac:dyDescent="0.35">
      <c r="A436" s="1">
        <v>45390</v>
      </c>
      <c r="B436" t="s">
        <v>33</v>
      </c>
      <c r="C436" t="s">
        <v>34</v>
      </c>
      <c r="D436" t="s">
        <v>21</v>
      </c>
      <c r="E436" t="s">
        <v>22</v>
      </c>
      <c r="F436" t="s">
        <v>23</v>
      </c>
      <c r="G436">
        <v>1450</v>
      </c>
      <c r="H436">
        <v>1041</v>
      </c>
      <c r="I436">
        <v>28.2</v>
      </c>
      <c r="J436" t="s">
        <v>56</v>
      </c>
    </row>
    <row r="437" spans="1:10" x14ac:dyDescent="0.35">
      <c r="A437" s="1">
        <v>45390</v>
      </c>
      <c r="B437" t="s">
        <v>33</v>
      </c>
      <c r="C437" t="s">
        <v>34</v>
      </c>
      <c r="D437" t="s">
        <v>24</v>
      </c>
      <c r="E437" t="s">
        <v>25</v>
      </c>
      <c r="F437" t="s">
        <v>17</v>
      </c>
      <c r="G437">
        <v>1044</v>
      </c>
      <c r="H437">
        <v>681</v>
      </c>
      <c r="I437">
        <v>34.799999999999997</v>
      </c>
      <c r="J437" t="s">
        <v>56</v>
      </c>
    </row>
    <row r="438" spans="1:10" x14ac:dyDescent="0.35">
      <c r="A438" s="1">
        <v>45390</v>
      </c>
      <c r="B438" t="s">
        <v>33</v>
      </c>
      <c r="C438" t="s">
        <v>34</v>
      </c>
      <c r="D438" t="s">
        <v>26</v>
      </c>
      <c r="E438" t="s">
        <v>27</v>
      </c>
      <c r="F438" t="s">
        <v>20</v>
      </c>
      <c r="G438">
        <v>605</v>
      </c>
      <c r="H438">
        <v>822</v>
      </c>
      <c r="I438">
        <v>35.9</v>
      </c>
      <c r="J438" t="s">
        <v>55</v>
      </c>
    </row>
    <row r="439" spans="1:10" x14ac:dyDescent="0.35">
      <c r="A439" s="1">
        <v>45390</v>
      </c>
      <c r="B439" t="s">
        <v>33</v>
      </c>
      <c r="C439" t="s">
        <v>34</v>
      </c>
      <c r="D439" t="s">
        <v>28</v>
      </c>
      <c r="E439" t="s">
        <v>29</v>
      </c>
      <c r="F439" t="s">
        <v>23</v>
      </c>
      <c r="G439">
        <v>1050</v>
      </c>
      <c r="H439">
        <v>1193</v>
      </c>
      <c r="I439">
        <v>13.6</v>
      </c>
      <c r="J439" t="s">
        <v>55</v>
      </c>
    </row>
    <row r="440" spans="1:10" x14ac:dyDescent="0.35">
      <c r="A440" s="1">
        <v>45390</v>
      </c>
      <c r="B440" t="s">
        <v>36</v>
      </c>
      <c r="C440" t="s">
        <v>37</v>
      </c>
      <c r="D440" t="s">
        <v>15</v>
      </c>
      <c r="E440" t="s">
        <v>16</v>
      </c>
      <c r="F440" t="s">
        <v>17</v>
      </c>
      <c r="G440">
        <v>472</v>
      </c>
      <c r="H440">
        <v>644</v>
      </c>
      <c r="I440">
        <v>36.4</v>
      </c>
      <c r="J440" t="s">
        <v>55</v>
      </c>
    </row>
    <row r="441" spans="1:10" x14ac:dyDescent="0.35">
      <c r="A441" s="1">
        <v>45390</v>
      </c>
      <c r="B441" t="s">
        <v>36</v>
      </c>
      <c r="C441" t="s">
        <v>37</v>
      </c>
      <c r="D441" t="s">
        <v>18</v>
      </c>
      <c r="E441" t="s">
        <v>19</v>
      </c>
      <c r="F441" t="s">
        <v>20</v>
      </c>
      <c r="G441">
        <v>903</v>
      </c>
      <c r="H441">
        <v>793</v>
      </c>
      <c r="I441">
        <v>12.2</v>
      </c>
      <c r="J441" t="s">
        <v>56</v>
      </c>
    </row>
    <row r="442" spans="1:10" x14ac:dyDescent="0.35">
      <c r="A442" s="1">
        <v>45390</v>
      </c>
      <c r="B442" t="s">
        <v>36</v>
      </c>
      <c r="C442" t="s">
        <v>37</v>
      </c>
      <c r="D442" t="s">
        <v>21</v>
      </c>
      <c r="E442" t="s">
        <v>22</v>
      </c>
      <c r="F442" t="s">
        <v>23</v>
      </c>
      <c r="G442">
        <v>850</v>
      </c>
      <c r="H442">
        <v>610</v>
      </c>
      <c r="I442">
        <v>28.2</v>
      </c>
      <c r="J442" t="s">
        <v>56</v>
      </c>
    </row>
    <row r="443" spans="1:10" x14ac:dyDescent="0.35">
      <c r="A443" s="1">
        <v>45390</v>
      </c>
      <c r="B443" t="s">
        <v>36</v>
      </c>
      <c r="C443" t="s">
        <v>37</v>
      </c>
      <c r="D443" t="s">
        <v>24</v>
      </c>
      <c r="E443" t="s">
        <v>25</v>
      </c>
      <c r="F443" t="s">
        <v>17</v>
      </c>
      <c r="G443">
        <v>710</v>
      </c>
      <c r="H443">
        <v>549</v>
      </c>
      <c r="I443">
        <v>22.7</v>
      </c>
      <c r="J443" t="s">
        <v>56</v>
      </c>
    </row>
    <row r="444" spans="1:10" x14ac:dyDescent="0.35">
      <c r="A444" s="1">
        <v>45390</v>
      </c>
      <c r="B444" t="s">
        <v>36</v>
      </c>
      <c r="C444" t="s">
        <v>37</v>
      </c>
      <c r="D444" t="s">
        <v>26</v>
      </c>
      <c r="E444" t="s">
        <v>27</v>
      </c>
      <c r="F444" t="s">
        <v>20</v>
      </c>
      <c r="G444">
        <v>1417</v>
      </c>
      <c r="H444">
        <v>1183</v>
      </c>
      <c r="I444">
        <v>16.5</v>
      </c>
      <c r="J444" t="s">
        <v>56</v>
      </c>
    </row>
    <row r="445" spans="1:10" x14ac:dyDescent="0.35">
      <c r="A445" s="1">
        <v>45390</v>
      </c>
      <c r="B445" t="s">
        <v>36</v>
      </c>
      <c r="C445" t="s">
        <v>37</v>
      </c>
      <c r="D445" t="s">
        <v>28</v>
      </c>
      <c r="E445" t="s">
        <v>29</v>
      </c>
      <c r="F445" t="s">
        <v>23</v>
      </c>
      <c r="G445">
        <v>581</v>
      </c>
      <c r="H445">
        <v>793</v>
      </c>
      <c r="I445">
        <v>36.5</v>
      </c>
      <c r="J445" t="s">
        <v>55</v>
      </c>
    </row>
    <row r="446" spans="1:10" x14ac:dyDescent="0.35">
      <c r="A446" s="1">
        <v>45390</v>
      </c>
      <c r="B446" t="s">
        <v>39</v>
      </c>
      <c r="C446" t="s">
        <v>40</v>
      </c>
      <c r="D446" t="s">
        <v>15</v>
      </c>
      <c r="E446" t="s">
        <v>16</v>
      </c>
      <c r="F446" t="s">
        <v>17</v>
      </c>
      <c r="G446">
        <v>838</v>
      </c>
      <c r="H446">
        <v>770</v>
      </c>
      <c r="I446">
        <v>8.1</v>
      </c>
      <c r="J446" t="s">
        <v>56</v>
      </c>
    </row>
    <row r="447" spans="1:10" x14ac:dyDescent="0.35">
      <c r="A447" s="1">
        <v>45390</v>
      </c>
      <c r="B447" t="s">
        <v>39</v>
      </c>
      <c r="C447" t="s">
        <v>40</v>
      </c>
      <c r="D447" t="s">
        <v>18</v>
      </c>
      <c r="E447" t="s">
        <v>19</v>
      </c>
      <c r="F447" t="s">
        <v>20</v>
      </c>
      <c r="G447">
        <v>1542</v>
      </c>
      <c r="H447">
        <v>1948</v>
      </c>
      <c r="I447">
        <v>26.3</v>
      </c>
      <c r="J447" t="s">
        <v>55</v>
      </c>
    </row>
    <row r="448" spans="1:10" x14ac:dyDescent="0.35">
      <c r="A448" s="1">
        <v>45390</v>
      </c>
      <c r="B448" t="s">
        <v>39</v>
      </c>
      <c r="C448" t="s">
        <v>40</v>
      </c>
      <c r="D448" t="s">
        <v>21</v>
      </c>
      <c r="E448" t="s">
        <v>22</v>
      </c>
      <c r="F448" t="s">
        <v>23</v>
      </c>
      <c r="G448">
        <v>479</v>
      </c>
      <c r="H448">
        <v>380</v>
      </c>
      <c r="I448">
        <v>20.7</v>
      </c>
      <c r="J448" t="s">
        <v>56</v>
      </c>
    </row>
    <row r="449" spans="1:10" x14ac:dyDescent="0.35">
      <c r="A449" s="1">
        <v>45390</v>
      </c>
      <c r="B449" t="s">
        <v>39</v>
      </c>
      <c r="C449" t="s">
        <v>40</v>
      </c>
      <c r="D449" t="s">
        <v>24</v>
      </c>
      <c r="E449" t="s">
        <v>25</v>
      </c>
      <c r="F449" t="s">
        <v>17</v>
      </c>
      <c r="G449">
        <v>1178</v>
      </c>
      <c r="H449">
        <v>860</v>
      </c>
      <c r="I449">
        <v>27</v>
      </c>
      <c r="J449" t="s">
        <v>56</v>
      </c>
    </row>
    <row r="450" spans="1:10" x14ac:dyDescent="0.35">
      <c r="A450" s="1">
        <v>45390</v>
      </c>
      <c r="B450" t="s">
        <v>39</v>
      </c>
      <c r="C450" t="s">
        <v>40</v>
      </c>
      <c r="D450" t="s">
        <v>26</v>
      </c>
      <c r="E450" t="s">
        <v>27</v>
      </c>
      <c r="F450" t="s">
        <v>20</v>
      </c>
      <c r="G450">
        <v>1114</v>
      </c>
      <c r="H450">
        <v>1364</v>
      </c>
      <c r="I450">
        <v>22.4</v>
      </c>
      <c r="J450" t="s">
        <v>55</v>
      </c>
    </row>
    <row r="451" spans="1:10" x14ac:dyDescent="0.35">
      <c r="A451" s="1">
        <v>45390</v>
      </c>
      <c r="B451" t="s">
        <v>39</v>
      </c>
      <c r="C451" t="s">
        <v>40</v>
      </c>
      <c r="D451" t="s">
        <v>28</v>
      </c>
      <c r="E451" t="s">
        <v>29</v>
      </c>
      <c r="F451" t="s">
        <v>23</v>
      </c>
      <c r="G451">
        <v>768</v>
      </c>
      <c r="H451">
        <v>1031</v>
      </c>
      <c r="I451">
        <v>34.200000000000003</v>
      </c>
      <c r="J451" t="s">
        <v>55</v>
      </c>
    </row>
    <row r="452" spans="1:10" x14ac:dyDescent="0.35">
      <c r="A452" s="1">
        <v>45397</v>
      </c>
      <c r="B452" t="s">
        <v>12</v>
      </c>
      <c r="C452" t="s">
        <v>13</v>
      </c>
      <c r="D452" t="s">
        <v>15</v>
      </c>
      <c r="E452" t="s">
        <v>16</v>
      </c>
      <c r="F452" t="s">
        <v>17</v>
      </c>
      <c r="G452">
        <v>998</v>
      </c>
      <c r="H452">
        <v>718</v>
      </c>
      <c r="I452">
        <v>28.1</v>
      </c>
      <c r="J452" t="s">
        <v>56</v>
      </c>
    </row>
    <row r="453" spans="1:10" x14ac:dyDescent="0.35">
      <c r="A453" s="1">
        <v>45397</v>
      </c>
      <c r="B453" t="s">
        <v>12</v>
      </c>
      <c r="C453" t="s">
        <v>13</v>
      </c>
      <c r="D453" t="s">
        <v>18</v>
      </c>
      <c r="E453" t="s">
        <v>19</v>
      </c>
      <c r="F453" t="s">
        <v>20</v>
      </c>
      <c r="G453">
        <v>1203</v>
      </c>
      <c r="H453">
        <v>1515</v>
      </c>
      <c r="I453">
        <v>25.9</v>
      </c>
      <c r="J453" t="s">
        <v>55</v>
      </c>
    </row>
    <row r="454" spans="1:10" x14ac:dyDescent="0.35">
      <c r="A454" s="1">
        <v>45397</v>
      </c>
      <c r="B454" t="s">
        <v>12</v>
      </c>
      <c r="C454" t="s">
        <v>13</v>
      </c>
      <c r="D454" t="s">
        <v>21</v>
      </c>
      <c r="E454" t="s">
        <v>22</v>
      </c>
      <c r="F454" t="s">
        <v>23</v>
      </c>
      <c r="G454">
        <v>1005</v>
      </c>
      <c r="H454">
        <v>895</v>
      </c>
      <c r="I454">
        <v>10.9</v>
      </c>
      <c r="J454" t="s">
        <v>56</v>
      </c>
    </row>
    <row r="455" spans="1:10" x14ac:dyDescent="0.35">
      <c r="A455" s="1">
        <v>45397</v>
      </c>
      <c r="B455" t="s">
        <v>12</v>
      </c>
      <c r="C455" t="s">
        <v>13</v>
      </c>
      <c r="D455" t="s">
        <v>24</v>
      </c>
      <c r="E455" t="s">
        <v>25</v>
      </c>
      <c r="F455" t="s">
        <v>17</v>
      </c>
      <c r="G455">
        <v>988</v>
      </c>
      <c r="H455">
        <v>784</v>
      </c>
      <c r="I455">
        <v>20.6</v>
      </c>
      <c r="J455" t="s">
        <v>56</v>
      </c>
    </row>
    <row r="456" spans="1:10" x14ac:dyDescent="0.35">
      <c r="A456" s="1">
        <v>45397</v>
      </c>
      <c r="B456" t="s">
        <v>12</v>
      </c>
      <c r="C456" t="s">
        <v>13</v>
      </c>
      <c r="D456" t="s">
        <v>26</v>
      </c>
      <c r="E456" t="s">
        <v>27</v>
      </c>
      <c r="F456" t="s">
        <v>20</v>
      </c>
      <c r="G456">
        <v>906</v>
      </c>
      <c r="H456">
        <v>653</v>
      </c>
      <c r="I456">
        <v>27.9</v>
      </c>
      <c r="J456" t="s">
        <v>56</v>
      </c>
    </row>
    <row r="457" spans="1:10" x14ac:dyDescent="0.35">
      <c r="A457" s="1">
        <v>45397</v>
      </c>
      <c r="B457" t="s">
        <v>12</v>
      </c>
      <c r="C457" t="s">
        <v>13</v>
      </c>
      <c r="D457" t="s">
        <v>28</v>
      </c>
      <c r="E457" t="s">
        <v>29</v>
      </c>
      <c r="F457" t="s">
        <v>23</v>
      </c>
      <c r="G457">
        <v>1351</v>
      </c>
      <c r="H457">
        <v>1846</v>
      </c>
      <c r="I457">
        <v>36.6</v>
      </c>
      <c r="J457" t="s">
        <v>55</v>
      </c>
    </row>
    <row r="458" spans="1:10" x14ac:dyDescent="0.35">
      <c r="A458" s="1">
        <v>45397</v>
      </c>
      <c r="B458" t="s">
        <v>30</v>
      </c>
      <c r="C458" t="s">
        <v>31</v>
      </c>
      <c r="D458" t="s">
        <v>15</v>
      </c>
      <c r="E458" t="s">
        <v>16</v>
      </c>
      <c r="F458" t="s">
        <v>17</v>
      </c>
      <c r="G458">
        <v>1111</v>
      </c>
      <c r="H458">
        <v>1432</v>
      </c>
      <c r="I458">
        <v>28.9</v>
      </c>
      <c r="J458" t="s">
        <v>55</v>
      </c>
    </row>
    <row r="459" spans="1:10" x14ac:dyDescent="0.35">
      <c r="A459" s="1">
        <v>45397</v>
      </c>
      <c r="B459" t="s">
        <v>30</v>
      </c>
      <c r="C459" t="s">
        <v>31</v>
      </c>
      <c r="D459" t="s">
        <v>18</v>
      </c>
      <c r="E459" t="s">
        <v>19</v>
      </c>
      <c r="F459" t="s">
        <v>20</v>
      </c>
      <c r="G459">
        <v>1390</v>
      </c>
      <c r="H459">
        <v>1851</v>
      </c>
      <c r="I459">
        <v>33.200000000000003</v>
      </c>
      <c r="J459" t="s">
        <v>55</v>
      </c>
    </row>
    <row r="460" spans="1:10" x14ac:dyDescent="0.35">
      <c r="A460" s="1">
        <v>45397</v>
      </c>
      <c r="B460" t="s">
        <v>30</v>
      </c>
      <c r="C460" t="s">
        <v>31</v>
      </c>
      <c r="D460" t="s">
        <v>21</v>
      </c>
      <c r="E460" t="s">
        <v>22</v>
      </c>
      <c r="F460" t="s">
        <v>23</v>
      </c>
      <c r="G460">
        <v>1243</v>
      </c>
      <c r="H460">
        <v>887</v>
      </c>
      <c r="I460">
        <v>28.6</v>
      </c>
      <c r="J460" t="s">
        <v>56</v>
      </c>
    </row>
    <row r="461" spans="1:10" x14ac:dyDescent="0.35">
      <c r="A461" s="1">
        <v>45397</v>
      </c>
      <c r="B461" t="s">
        <v>30</v>
      </c>
      <c r="C461" t="s">
        <v>31</v>
      </c>
      <c r="D461" t="s">
        <v>24</v>
      </c>
      <c r="E461" t="s">
        <v>25</v>
      </c>
      <c r="F461" t="s">
        <v>17</v>
      </c>
      <c r="G461">
        <v>948</v>
      </c>
      <c r="H461">
        <v>1168</v>
      </c>
      <c r="I461">
        <v>23.2</v>
      </c>
      <c r="J461" t="s">
        <v>55</v>
      </c>
    </row>
    <row r="462" spans="1:10" x14ac:dyDescent="0.35">
      <c r="A462" s="1">
        <v>45397</v>
      </c>
      <c r="B462" t="s">
        <v>30</v>
      </c>
      <c r="C462" t="s">
        <v>31</v>
      </c>
      <c r="D462" t="s">
        <v>26</v>
      </c>
      <c r="E462" t="s">
        <v>27</v>
      </c>
      <c r="F462" t="s">
        <v>20</v>
      </c>
      <c r="G462">
        <v>1237</v>
      </c>
      <c r="H462">
        <v>1358</v>
      </c>
      <c r="I462">
        <v>9.8000000000000007</v>
      </c>
      <c r="J462" t="s">
        <v>55</v>
      </c>
    </row>
    <row r="463" spans="1:10" x14ac:dyDescent="0.35">
      <c r="A463" s="1">
        <v>45397</v>
      </c>
      <c r="B463" t="s">
        <v>30</v>
      </c>
      <c r="C463" t="s">
        <v>31</v>
      </c>
      <c r="D463" t="s">
        <v>28</v>
      </c>
      <c r="E463" t="s">
        <v>29</v>
      </c>
      <c r="F463" t="s">
        <v>23</v>
      </c>
      <c r="G463">
        <v>935</v>
      </c>
      <c r="H463">
        <v>670</v>
      </c>
      <c r="I463">
        <v>28.3</v>
      </c>
      <c r="J463" t="s">
        <v>56</v>
      </c>
    </row>
    <row r="464" spans="1:10" x14ac:dyDescent="0.35">
      <c r="A464" s="1">
        <v>45397</v>
      </c>
      <c r="B464" t="s">
        <v>33</v>
      </c>
      <c r="C464" t="s">
        <v>34</v>
      </c>
      <c r="D464" t="s">
        <v>15</v>
      </c>
      <c r="E464" t="s">
        <v>16</v>
      </c>
      <c r="F464" t="s">
        <v>17</v>
      </c>
      <c r="G464">
        <v>1305</v>
      </c>
      <c r="H464">
        <v>1034</v>
      </c>
      <c r="I464">
        <v>20.8</v>
      </c>
      <c r="J464" t="s">
        <v>56</v>
      </c>
    </row>
    <row r="465" spans="1:10" x14ac:dyDescent="0.35">
      <c r="A465" s="1">
        <v>45397</v>
      </c>
      <c r="B465" t="s">
        <v>33</v>
      </c>
      <c r="C465" t="s">
        <v>34</v>
      </c>
      <c r="D465" t="s">
        <v>18</v>
      </c>
      <c r="E465" t="s">
        <v>19</v>
      </c>
      <c r="F465" t="s">
        <v>20</v>
      </c>
      <c r="G465">
        <v>511</v>
      </c>
      <c r="H465">
        <v>593</v>
      </c>
      <c r="I465">
        <v>16</v>
      </c>
      <c r="J465" t="s">
        <v>55</v>
      </c>
    </row>
    <row r="466" spans="1:10" x14ac:dyDescent="0.35">
      <c r="A466" s="1">
        <v>45397</v>
      </c>
      <c r="B466" t="s">
        <v>33</v>
      </c>
      <c r="C466" t="s">
        <v>34</v>
      </c>
      <c r="D466" t="s">
        <v>21</v>
      </c>
      <c r="E466" t="s">
        <v>22</v>
      </c>
      <c r="F466" t="s">
        <v>23</v>
      </c>
      <c r="G466">
        <v>1095</v>
      </c>
      <c r="H466">
        <v>798</v>
      </c>
      <c r="I466">
        <v>27.1</v>
      </c>
      <c r="J466" t="s">
        <v>56</v>
      </c>
    </row>
    <row r="467" spans="1:10" x14ac:dyDescent="0.35">
      <c r="A467" s="1">
        <v>45397</v>
      </c>
      <c r="B467" t="s">
        <v>33</v>
      </c>
      <c r="C467" t="s">
        <v>34</v>
      </c>
      <c r="D467" t="s">
        <v>24</v>
      </c>
      <c r="E467" t="s">
        <v>25</v>
      </c>
      <c r="F467" t="s">
        <v>17</v>
      </c>
      <c r="G467">
        <v>1316</v>
      </c>
      <c r="H467">
        <v>1583</v>
      </c>
      <c r="I467">
        <v>20.3</v>
      </c>
      <c r="J467" t="s">
        <v>55</v>
      </c>
    </row>
    <row r="468" spans="1:10" x14ac:dyDescent="0.35">
      <c r="A468" s="1">
        <v>45397</v>
      </c>
      <c r="B468" t="s">
        <v>33</v>
      </c>
      <c r="C468" t="s">
        <v>34</v>
      </c>
      <c r="D468" t="s">
        <v>26</v>
      </c>
      <c r="E468" t="s">
        <v>27</v>
      </c>
      <c r="F468" t="s">
        <v>20</v>
      </c>
      <c r="G468">
        <v>741</v>
      </c>
      <c r="H468">
        <v>919</v>
      </c>
      <c r="I468">
        <v>24</v>
      </c>
      <c r="J468" t="s">
        <v>55</v>
      </c>
    </row>
    <row r="469" spans="1:10" x14ac:dyDescent="0.35">
      <c r="A469" s="1">
        <v>45397</v>
      </c>
      <c r="B469" t="s">
        <v>33</v>
      </c>
      <c r="C469" t="s">
        <v>34</v>
      </c>
      <c r="D469" t="s">
        <v>28</v>
      </c>
      <c r="E469" t="s">
        <v>29</v>
      </c>
      <c r="F469" t="s">
        <v>23</v>
      </c>
      <c r="G469">
        <v>625</v>
      </c>
      <c r="H469">
        <v>852</v>
      </c>
      <c r="I469">
        <v>36.299999999999997</v>
      </c>
      <c r="J469" t="s">
        <v>55</v>
      </c>
    </row>
    <row r="470" spans="1:10" x14ac:dyDescent="0.35">
      <c r="A470" s="1">
        <v>45397</v>
      </c>
      <c r="B470" t="s">
        <v>36</v>
      </c>
      <c r="C470" t="s">
        <v>37</v>
      </c>
      <c r="D470" t="s">
        <v>15</v>
      </c>
      <c r="E470" t="s">
        <v>16</v>
      </c>
      <c r="F470" t="s">
        <v>17</v>
      </c>
      <c r="G470">
        <v>1075</v>
      </c>
      <c r="H470">
        <v>1202</v>
      </c>
      <c r="I470">
        <v>11.8</v>
      </c>
      <c r="J470" t="s">
        <v>55</v>
      </c>
    </row>
    <row r="471" spans="1:10" x14ac:dyDescent="0.35">
      <c r="A471" s="1">
        <v>45397</v>
      </c>
      <c r="B471" t="s">
        <v>36</v>
      </c>
      <c r="C471" t="s">
        <v>37</v>
      </c>
      <c r="D471" t="s">
        <v>18</v>
      </c>
      <c r="E471" t="s">
        <v>19</v>
      </c>
      <c r="F471" t="s">
        <v>20</v>
      </c>
      <c r="G471">
        <v>443</v>
      </c>
      <c r="H471">
        <v>300</v>
      </c>
      <c r="I471">
        <v>32.299999999999997</v>
      </c>
      <c r="J471" t="s">
        <v>56</v>
      </c>
    </row>
    <row r="472" spans="1:10" x14ac:dyDescent="0.35">
      <c r="A472" s="1">
        <v>45397</v>
      </c>
      <c r="B472" t="s">
        <v>36</v>
      </c>
      <c r="C472" t="s">
        <v>37</v>
      </c>
      <c r="D472" t="s">
        <v>21</v>
      </c>
      <c r="E472" t="s">
        <v>22</v>
      </c>
      <c r="F472" t="s">
        <v>23</v>
      </c>
      <c r="G472">
        <v>1082</v>
      </c>
      <c r="H472">
        <v>1464</v>
      </c>
      <c r="I472">
        <v>35.299999999999997</v>
      </c>
      <c r="J472" t="s">
        <v>55</v>
      </c>
    </row>
    <row r="473" spans="1:10" x14ac:dyDescent="0.35">
      <c r="A473" s="1">
        <v>45397</v>
      </c>
      <c r="B473" t="s">
        <v>36</v>
      </c>
      <c r="C473" t="s">
        <v>37</v>
      </c>
      <c r="D473" t="s">
        <v>24</v>
      </c>
      <c r="E473" t="s">
        <v>25</v>
      </c>
      <c r="F473" t="s">
        <v>17</v>
      </c>
      <c r="G473">
        <v>1532</v>
      </c>
      <c r="H473">
        <v>1380</v>
      </c>
      <c r="I473">
        <v>9.9</v>
      </c>
      <c r="J473" t="s">
        <v>56</v>
      </c>
    </row>
    <row r="474" spans="1:10" x14ac:dyDescent="0.35">
      <c r="A474" s="1">
        <v>45397</v>
      </c>
      <c r="B474" t="s">
        <v>36</v>
      </c>
      <c r="C474" t="s">
        <v>37</v>
      </c>
      <c r="D474" t="s">
        <v>26</v>
      </c>
      <c r="E474" t="s">
        <v>27</v>
      </c>
      <c r="F474" t="s">
        <v>20</v>
      </c>
      <c r="G474">
        <v>831</v>
      </c>
      <c r="H474">
        <v>674</v>
      </c>
      <c r="I474">
        <v>18.899999999999999</v>
      </c>
      <c r="J474" t="s">
        <v>56</v>
      </c>
    </row>
    <row r="475" spans="1:10" x14ac:dyDescent="0.35">
      <c r="A475" s="1">
        <v>45397</v>
      </c>
      <c r="B475" t="s">
        <v>36</v>
      </c>
      <c r="C475" t="s">
        <v>37</v>
      </c>
      <c r="D475" t="s">
        <v>28</v>
      </c>
      <c r="E475" t="s">
        <v>29</v>
      </c>
      <c r="F475" t="s">
        <v>23</v>
      </c>
      <c r="G475">
        <v>721</v>
      </c>
      <c r="H475">
        <v>482</v>
      </c>
      <c r="I475">
        <v>33.1</v>
      </c>
      <c r="J475" t="s">
        <v>56</v>
      </c>
    </row>
    <row r="476" spans="1:10" x14ac:dyDescent="0.35">
      <c r="A476" s="1">
        <v>45397</v>
      </c>
      <c r="B476" t="s">
        <v>39</v>
      </c>
      <c r="C476" t="s">
        <v>40</v>
      </c>
      <c r="D476" t="s">
        <v>15</v>
      </c>
      <c r="E476" t="s">
        <v>16</v>
      </c>
      <c r="F476" t="s">
        <v>17</v>
      </c>
      <c r="G476">
        <v>869</v>
      </c>
      <c r="H476">
        <v>723</v>
      </c>
      <c r="I476">
        <v>16.8</v>
      </c>
      <c r="J476" t="s">
        <v>56</v>
      </c>
    </row>
    <row r="477" spans="1:10" x14ac:dyDescent="0.35">
      <c r="A477" s="1">
        <v>45397</v>
      </c>
      <c r="B477" t="s">
        <v>39</v>
      </c>
      <c r="C477" t="s">
        <v>40</v>
      </c>
      <c r="D477" t="s">
        <v>18</v>
      </c>
      <c r="E477" t="s">
        <v>19</v>
      </c>
      <c r="F477" t="s">
        <v>20</v>
      </c>
      <c r="G477">
        <v>1165</v>
      </c>
      <c r="H477">
        <v>955</v>
      </c>
      <c r="I477">
        <v>18</v>
      </c>
      <c r="J477" t="s">
        <v>56</v>
      </c>
    </row>
    <row r="478" spans="1:10" x14ac:dyDescent="0.35">
      <c r="A478" s="1">
        <v>45397</v>
      </c>
      <c r="B478" t="s">
        <v>39</v>
      </c>
      <c r="C478" t="s">
        <v>40</v>
      </c>
      <c r="D478" t="s">
        <v>21</v>
      </c>
      <c r="E478" t="s">
        <v>22</v>
      </c>
      <c r="F478" t="s">
        <v>23</v>
      </c>
      <c r="G478">
        <v>909</v>
      </c>
      <c r="H478">
        <v>579</v>
      </c>
      <c r="I478">
        <v>36.299999999999997</v>
      </c>
      <c r="J478" t="s">
        <v>56</v>
      </c>
    </row>
    <row r="479" spans="1:10" x14ac:dyDescent="0.35">
      <c r="A479" s="1">
        <v>45397</v>
      </c>
      <c r="B479" t="s">
        <v>39</v>
      </c>
      <c r="C479" t="s">
        <v>40</v>
      </c>
      <c r="D479" t="s">
        <v>24</v>
      </c>
      <c r="E479" t="s">
        <v>25</v>
      </c>
      <c r="F479" t="s">
        <v>17</v>
      </c>
      <c r="G479">
        <v>441</v>
      </c>
      <c r="H479">
        <v>576</v>
      </c>
      <c r="I479">
        <v>30.6</v>
      </c>
      <c r="J479" t="s">
        <v>55</v>
      </c>
    </row>
    <row r="480" spans="1:10" x14ac:dyDescent="0.35">
      <c r="A480" s="1">
        <v>45397</v>
      </c>
      <c r="B480" t="s">
        <v>39</v>
      </c>
      <c r="C480" t="s">
        <v>40</v>
      </c>
      <c r="D480" t="s">
        <v>26</v>
      </c>
      <c r="E480" t="s">
        <v>27</v>
      </c>
      <c r="F480" t="s">
        <v>20</v>
      </c>
      <c r="G480">
        <v>1427</v>
      </c>
      <c r="H480">
        <v>1142</v>
      </c>
      <c r="I480">
        <v>20</v>
      </c>
      <c r="J480" t="s">
        <v>56</v>
      </c>
    </row>
    <row r="481" spans="1:10" x14ac:dyDescent="0.35">
      <c r="A481" s="1">
        <v>45397</v>
      </c>
      <c r="B481" t="s">
        <v>39</v>
      </c>
      <c r="C481" t="s">
        <v>40</v>
      </c>
      <c r="D481" t="s">
        <v>28</v>
      </c>
      <c r="E481" t="s">
        <v>29</v>
      </c>
      <c r="F481" t="s">
        <v>23</v>
      </c>
      <c r="G481">
        <v>721</v>
      </c>
      <c r="H481">
        <v>602</v>
      </c>
      <c r="I481">
        <v>16.5</v>
      </c>
      <c r="J481" t="s">
        <v>56</v>
      </c>
    </row>
    <row r="482" spans="1:10" x14ac:dyDescent="0.35">
      <c r="A482" s="1">
        <v>45404</v>
      </c>
      <c r="B482" t="s">
        <v>12</v>
      </c>
      <c r="C482" t="s">
        <v>13</v>
      </c>
      <c r="D482" t="s">
        <v>15</v>
      </c>
      <c r="E482" t="s">
        <v>16</v>
      </c>
      <c r="F482" t="s">
        <v>17</v>
      </c>
      <c r="G482">
        <v>906</v>
      </c>
      <c r="H482">
        <v>987</v>
      </c>
      <c r="I482">
        <v>8.9</v>
      </c>
      <c r="J482" t="s">
        <v>55</v>
      </c>
    </row>
    <row r="483" spans="1:10" x14ac:dyDescent="0.35">
      <c r="A483" s="1">
        <v>45404</v>
      </c>
      <c r="B483" t="s">
        <v>12</v>
      </c>
      <c r="C483" t="s">
        <v>13</v>
      </c>
      <c r="D483" t="s">
        <v>18</v>
      </c>
      <c r="E483" t="s">
        <v>19</v>
      </c>
      <c r="F483" t="s">
        <v>20</v>
      </c>
      <c r="G483">
        <v>1173</v>
      </c>
      <c r="H483">
        <v>848</v>
      </c>
      <c r="I483">
        <v>27.7</v>
      </c>
      <c r="J483" t="s">
        <v>56</v>
      </c>
    </row>
    <row r="484" spans="1:10" x14ac:dyDescent="0.35">
      <c r="A484" s="1">
        <v>45404</v>
      </c>
      <c r="B484" t="s">
        <v>12</v>
      </c>
      <c r="C484" t="s">
        <v>13</v>
      </c>
      <c r="D484" t="s">
        <v>21</v>
      </c>
      <c r="E484" t="s">
        <v>22</v>
      </c>
      <c r="F484" t="s">
        <v>23</v>
      </c>
      <c r="G484">
        <v>952</v>
      </c>
      <c r="H484">
        <v>629</v>
      </c>
      <c r="I484">
        <v>33.9</v>
      </c>
      <c r="J484" t="s">
        <v>56</v>
      </c>
    </row>
    <row r="485" spans="1:10" x14ac:dyDescent="0.35">
      <c r="A485" s="1">
        <v>45404</v>
      </c>
      <c r="B485" t="s">
        <v>12</v>
      </c>
      <c r="C485" t="s">
        <v>13</v>
      </c>
      <c r="D485" t="s">
        <v>24</v>
      </c>
      <c r="E485" t="s">
        <v>25</v>
      </c>
      <c r="F485" t="s">
        <v>17</v>
      </c>
      <c r="G485">
        <v>1433</v>
      </c>
      <c r="H485">
        <v>1858</v>
      </c>
      <c r="I485">
        <v>29.7</v>
      </c>
      <c r="J485" t="s">
        <v>55</v>
      </c>
    </row>
    <row r="486" spans="1:10" x14ac:dyDescent="0.35">
      <c r="A486" s="1">
        <v>45404</v>
      </c>
      <c r="B486" t="s">
        <v>12</v>
      </c>
      <c r="C486" t="s">
        <v>13</v>
      </c>
      <c r="D486" t="s">
        <v>26</v>
      </c>
      <c r="E486" t="s">
        <v>27</v>
      </c>
      <c r="F486" t="s">
        <v>20</v>
      </c>
      <c r="G486">
        <v>1250</v>
      </c>
      <c r="H486">
        <v>1357</v>
      </c>
      <c r="I486">
        <v>8.6</v>
      </c>
      <c r="J486" t="s">
        <v>55</v>
      </c>
    </row>
    <row r="487" spans="1:10" x14ac:dyDescent="0.35">
      <c r="A487" s="1">
        <v>45404</v>
      </c>
      <c r="B487" t="s">
        <v>12</v>
      </c>
      <c r="C487" t="s">
        <v>13</v>
      </c>
      <c r="D487" t="s">
        <v>28</v>
      </c>
      <c r="E487" t="s">
        <v>29</v>
      </c>
      <c r="F487" t="s">
        <v>23</v>
      </c>
      <c r="G487">
        <v>1509</v>
      </c>
      <c r="H487">
        <v>1114</v>
      </c>
      <c r="I487">
        <v>26.2</v>
      </c>
      <c r="J487" t="s">
        <v>56</v>
      </c>
    </row>
    <row r="488" spans="1:10" x14ac:dyDescent="0.35">
      <c r="A488" s="1">
        <v>45404</v>
      </c>
      <c r="B488" t="s">
        <v>30</v>
      </c>
      <c r="C488" t="s">
        <v>31</v>
      </c>
      <c r="D488" t="s">
        <v>15</v>
      </c>
      <c r="E488" t="s">
        <v>16</v>
      </c>
      <c r="F488" t="s">
        <v>17</v>
      </c>
      <c r="G488">
        <v>1201</v>
      </c>
      <c r="H488">
        <v>1367</v>
      </c>
      <c r="I488">
        <v>13.8</v>
      </c>
      <c r="J488" t="s">
        <v>55</v>
      </c>
    </row>
    <row r="489" spans="1:10" x14ac:dyDescent="0.35">
      <c r="A489" s="1">
        <v>45404</v>
      </c>
      <c r="B489" t="s">
        <v>30</v>
      </c>
      <c r="C489" t="s">
        <v>31</v>
      </c>
      <c r="D489" t="s">
        <v>18</v>
      </c>
      <c r="E489" t="s">
        <v>19</v>
      </c>
      <c r="F489" t="s">
        <v>20</v>
      </c>
      <c r="G489">
        <v>1039</v>
      </c>
      <c r="H489">
        <v>711</v>
      </c>
      <c r="I489">
        <v>31.6</v>
      </c>
      <c r="J489" t="s">
        <v>56</v>
      </c>
    </row>
    <row r="490" spans="1:10" x14ac:dyDescent="0.35">
      <c r="A490" s="1">
        <v>45404</v>
      </c>
      <c r="B490" t="s">
        <v>30</v>
      </c>
      <c r="C490" t="s">
        <v>31</v>
      </c>
      <c r="D490" t="s">
        <v>21</v>
      </c>
      <c r="E490" t="s">
        <v>22</v>
      </c>
      <c r="F490" t="s">
        <v>23</v>
      </c>
      <c r="G490">
        <v>447</v>
      </c>
      <c r="H490">
        <v>370</v>
      </c>
      <c r="I490">
        <v>17.2</v>
      </c>
      <c r="J490" t="s">
        <v>56</v>
      </c>
    </row>
    <row r="491" spans="1:10" x14ac:dyDescent="0.35">
      <c r="A491" s="1">
        <v>45404</v>
      </c>
      <c r="B491" t="s">
        <v>30</v>
      </c>
      <c r="C491" t="s">
        <v>31</v>
      </c>
      <c r="D491" t="s">
        <v>24</v>
      </c>
      <c r="E491" t="s">
        <v>25</v>
      </c>
      <c r="F491" t="s">
        <v>17</v>
      </c>
      <c r="G491">
        <v>604</v>
      </c>
      <c r="H491">
        <v>700</v>
      </c>
      <c r="I491">
        <v>15.9</v>
      </c>
      <c r="J491" t="s">
        <v>55</v>
      </c>
    </row>
    <row r="492" spans="1:10" x14ac:dyDescent="0.35">
      <c r="A492" s="1">
        <v>45404</v>
      </c>
      <c r="B492" t="s">
        <v>30</v>
      </c>
      <c r="C492" t="s">
        <v>31</v>
      </c>
      <c r="D492" t="s">
        <v>26</v>
      </c>
      <c r="E492" t="s">
        <v>27</v>
      </c>
      <c r="F492" t="s">
        <v>20</v>
      </c>
      <c r="G492">
        <v>1365</v>
      </c>
      <c r="H492">
        <v>1101</v>
      </c>
      <c r="I492">
        <v>19.3</v>
      </c>
      <c r="J492" t="s">
        <v>56</v>
      </c>
    </row>
    <row r="493" spans="1:10" x14ac:dyDescent="0.35">
      <c r="A493" s="1">
        <v>45404</v>
      </c>
      <c r="B493" t="s">
        <v>30</v>
      </c>
      <c r="C493" t="s">
        <v>31</v>
      </c>
      <c r="D493" t="s">
        <v>28</v>
      </c>
      <c r="E493" t="s">
        <v>29</v>
      </c>
      <c r="F493" t="s">
        <v>23</v>
      </c>
      <c r="G493">
        <v>855</v>
      </c>
      <c r="H493">
        <v>1171</v>
      </c>
      <c r="I493">
        <v>37</v>
      </c>
      <c r="J493" t="s">
        <v>55</v>
      </c>
    </row>
    <row r="494" spans="1:10" x14ac:dyDescent="0.35">
      <c r="A494" s="1">
        <v>45404</v>
      </c>
      <c r="B494" t="s">
        <v>33</v>
      </c>
      <c r="C494" t="s">
        <v>34</v>
      </c>
      <c r="D494" t="s">
        <v>15</v>
      </c>
      <c r="E494" t="s">
        <v>16</v>
      </c>
      <c r="F494" t="s">
        <v>17</v>
      </c>
      <c r="G494">
        <v>1389</v>
      </c>
      <c r="H494">
        <v>1618</v>
      </c>
      <c r="I494">
        <v>16.5</v>
      </c>
      <c r="J494" t="s">
        <v>55</v>
      </c>
    </row>
    <row r="495" spans="1:10" x14ac:dyDescent="0.35">
      <c r="A495" s="1">
        <v>45404</v>
      </c>
      <c r="B495" t="s">
        <v>33</v>
      </c>
      <c r="C495" t="s">
        <v>34</v>
      </c>
      <c r="D495" t="s">
        <v>18</v>
      </c>
      <c r="E495" t="s">
        <v>19</v>
      </c>
      <c r="F495" t="s">
        <v>20</v>
      </c>
      <c r="G495">
        <v>1437</v>
      </c>
      <c r="H495">
        <v>1216</v>
      </c>
      <c r="I495">
        <v>15.4</v>
      </c>
      <c r="J495" t="s">
        <v>56</v>
      </c>
    </row>
    <row r="496" spans="1:10" x14ac:dyDescent="0.35">
      <c r="A496" s="1">
        <v>45404</v>
      </c>
      <c r="B496" t="s">
        <v>33</v>
      </c>
      <c r="C496" t="s">
        <v>34</v>
      </c>
      <c r="D496" t="s">
        <v>21</v>
      </c>
      <c r="E496" t="s">
        <v>22</v>
      </c>
      <c r="F496" t="s">
        <v>23</v>
      </c>
      <c r="G496">
        <v>1417</v>
      </c>
      <c r="H496">
        <v>1839</v>
      </c>
      <c r="I496">
        <v>29.8</v>
      </c>
      <c r="J496" t="s">
        <v>55</v>
      </c>
    </row>
    <row r="497" spans="1:10" x14ac:dyDescent="0.35">
      <c r="A497" s="1">
        <v>45404</v>
      </c>
      <c r="B497" t="s">
        <v>33</v>
      </c>
      <c r="C497" t="s">
        <v>34</v>
      </c>
      <c r="D497" t="s">
        <v>24</v>
      </c>
      <c r="E497" t="s">
        <v>25</v>
      </c>
      <c r="F497" t="s">
        <v>17</v>
      </c>
      <c r="G497">
        <v>1519</v>
      </c>
      <c r="H497">
        <v>1071</v>
      </c>
      <c r="I497">
        <v>29.5</v>
      </c>
      <c r="J497" t="s">
        <v>56</v>
      </c>
    </row>
    <row r="498" spans="1:10" x14ac:dyDescent="0.35">
      <c r="A498" s="1">
        <v>45404</v>
      </c>
      <c r="B498" t="s">
        <v>33</v>
      </c>
      <c r="C498" t="s">
        <v>34</v>
      </c>
      <c r="D498" t="s">
        <v>26</v>
      </c>
      <c r="E498" t="s">
        <v>27</v>
      </c>
      <c r="F498" t="s">
        <v>20</v>
      </c>
      <c r="G498">
        <v>1583</v>
      </c>
      <c r="H498">
        <v>993</v>
      </c>
      <c r="I498">
        <v>37.299999999999997</v>
      </c>
      <c r="J498" t="s">
        <v>56</v>
      </c>
    </row>
    <row r="499" spans="1:10" x14ac:dyDescent="0.35">
      <c r="A499" s="1">
        <v>45404</v>
      </c>
      <c r="B499" t="s">
        <v>33</v>
      </c>
      <c r="C499" t="s">
        <v>34</v>
      </c>
      <c r="D499" t="s">
        <v>28</v>
      </c>
      <c r="E499" t="s">
        <v>29</v>
      </c>
      <c r="F499" t="s">
        <v>23</v>
      </c>
      <c r="G499">
        <v>875</v>
      </c>
      <c r="H499">
        <v>687</v>
      </c>
      <c r="I499">
        <v>21.5</v>
      </c>
      <c r="J499" t="s">
        <v>56</v>
      </c>
    </row>
    <row r="500" spans="1:10" x14ac:dyDescent="0.35">
      <c r="A500" s="1">
        <v>45404</v>
      </c>
      <c r="B500" t="s">
        <v>36</v>
      </c>
      <c r="C500" t="s">
        <v>37</v>
      </c>
      <c r="D500" t="s">
        <v>15</v>
      </c>
      <c r="E500" t="s">
        <v>16</v>
      </c>
      <c r="F500" t="s">
        <v>17</v>
      </c>
      <c r="G500">
        <v>623</v>
      </c>
      <c r="H500">
        <v>453</v>
      </c>
      <c r="I500">
        <v>27.3</v>
      </c>
      <c r="J500" t="s">
        <v>56</v>
      </c>
    </row>
    <row r="501" spans="1:10" x14ac:dyDescent="0.35">
      <c r="A501" s="1">
        <v>45404</v>
      </c>
      <c r="B501" t="s">
        <v>36</v>
      </c>
      <c r="C501" t="s">
        <v>37</v>
      </c>
      <c r="D501" t="s">
        <v>18</v>
      </c>
      <c r="E501" t="s">
        <v>19</v>
      </c>
      <c r="F501" t="s">
        <v>20</v>
      </c>
      <c r="G501">
        <v>571</v>
      </c>
      <c r="H501">
        <v>508</v>
      </c>
      <c r="I501">
        <v>11</v>
      </c>
      <c r="J501" t="s">
        <v>56</v>
      </c>
    </row>
    <row r="502" spans="1:10" x14ac:dyDescent="0.35">
      <c r="A502" s="1">
        <v>45404</v>
      </c>
      <c r="B502" t="s">
        <v>36</v>
      </c>
      <c r="C502" t="s">
        <v>37</v>
      </c>
      <c r="D502" t="s">
        <v>21</v>
      </c>
      <c r="E502" t="s">
        <v>22</v>
      </c>
      <c r="F502" t="s">
        <v>23</v>
      </c>
      <c r="G502">
        <v>1403</v>
      </c>
      <c r="H502">
        <v>1040</v>
      </c>
      <c r="I502">
        <v>25.9</v>
      </c>
      <c r="J502" t="s">
        <v>56</v>
      </c>
    </row>
    <row r="503" spans="1:10" x14ac:dyDescent="0.35">
      <c r="A503" s="1">
        <v>45404</v>
      </c>
      <c r="B503" t="s">
        <v>36</v>
      </c>
      <c r="C503" t="s">
        <v>37</v>
      </c>
      <c r="D503" t="s">
        <v>24</v>
      </c>
      <c r="E503" t="s">
        <v>25</v>
      </c>
      <c r="F503" t="s">
        <v>17</v>
      </c>
      <c r="G503">
        <v>1225</v>
      </c>
      <c r="H503">
        <v>900</v>
      </c>
      <c r="I503">
        <v>26.5</v>
      </c>
      <c r="J503" t="s">
        <v>56</v>
      </c>
    </row>
    <row r="504" spans="1:10" x14ac:dyDescent="0.35">
      <c r="A504" s="1">
        <v>45404</v>
      </c>
      <c r="B504" t="s">
        <v>36</v>
      </c>
      <c r="C504" t="s">
        <v>37</v>
      </c>
      <c r="D504" t="s">
        <v>26</v>
      </c>
      <c r="E504" t="s">
        <v>27</v>
      </c>
      <c r="F504" t="s">
        <v>20</v>
      </c>
      <c r="G504">
        <v>1560</v>
      </c>
      <c r="H504">
        <v>1079</v>
      </c>
      <c r="I504">
        <v>30.8</v>
      </c>
      <c r="J504" t="s">
        <v>56</v>
      </c>
    </row>
    <row r="505" spans="1:10" x14ac:dyDescent="0.35">
      <c r="A505" s="1">
        <v>45404</v>
      </c>
      <c r="B505" t="s">
        <v>36</v>
      </c>
      <c r="C505" t="s">
        <v>37</v>
      </c>
      <c r="D505" t="s">
        <v>28</v>
      </c>
      <c r="E505" t="s">
        <v>29</v>
      </c>
      <c r="F505" t="s">
        <v>23</v>
      </c>
      <c r="G505">
        <v>1410</v>
      </c>
      <c r="H505">
        <v>1190</v>
      </c>
      <c r="I505">
        <v>15.6</v>
      </c>
      <c r="J505" t="s">
        <v>56</v>
      </c>
    </row>
    <row r="506" spans="1:10" x14ac:dyDescent="0.35">
      <c r="A506" s="1">
        <v>45404</v>
      </c>
      <c r="B506" t="s">
        <v>39</v>
      </c>
      <c r="C506" t="s">
        <v>40</v>
      </c>
      <c r="D506" t="s">
        <v>15</v>
      </c>
      <c r="E506" t="s">
        <v>16</v>
      </c>
      <c r="F506" t="s">
        <v>17</v>
      </c>
      <c r="G506">
        <v>1091</v>
      </c>
      <c r="H506">
        <v>730</v>
      </c>
      <c r="I506">
        <v>33.1</v>
      </c>
      <c r="J506" t="s">
        <v>56</v>
      </c>
    </row>
    <row r="507" spans="1:10" x14ac:dyDescent="0.35">
      <c r="A507" s="1">
        <v>45404</v>
      </c>
      <c r="B507" t="s">
        <v>39</v>
      </c>
      <c r="C507" t="s">
        <v>40</v>
      </c>
      <c r="D507" t="s">
        <v>18</v>
      </c>
      <c r="E507" t="s">
        <v>19</v>
      </c>
      <c r="F507" t="s">
        <v>20</v>
      </c>
      <c r="G507">
        <v>1557</v>
      </c>
      <c r="H507">
        <v>1961</v>
      </c>
      <c r="I507">
        <v>25.9</v>
      </c>
      <c r="J507" t="s">
        <v>55</v>
      </c>
    </row>
    <row r="508" spans="1:10" x14ac:dyDescent="0.35">
      <c r="A508" s="1">
        <v>45404</v>
      </c>
      <c r="B508" t="s">
        <v>39</v>
      </c>
      <c r="C508" t="s">
        <v>40</v>
      </c>
      <c r="D508" t="s">
        <v>21</v>
      </c>
      <c r="E508" t="s">
        <v>22</v>
      </c>
      <c r="F508" t="s">
        <v>23</v>
      </c>
      <c r="G508">
        <v>949</v>
      </c>
      <c r="H508">
        <v>1221</v>
      </c>
      <c r="I508">
        <v>28.7</v>
      </c>
      <c r="J508" t="s">
        <v>55</v>
      </c>
    </row>
    <row r="509" spans="1:10" x14ac:dyDescent="0.35">
      <c r="A509" s="1">
        <v>45404</v>
      </c>
      <c r="B509" t="s">
        <v>39</v>
      </c>
      <c r="C509" t="s">
        <v>40</v>
      </c>
      <c r="D509" t="s">
        <v>24</v>
      </c>
      <c r="E509" t="s">
        <v>25</v>
      </c>
      <c r="F509" t="s">
        <v>17</v>
      </c>
      <c r="G509">
        <v>1400</v>
      </c>
      <c r="H509">
        <v>1058</v>
      </c>
      <c r="I509">
        <v>24.4</v>
      </c>
      <c r="J509" t="s">
        <v>56</v>
      </c>
    </row>
    <row r="510" spans="1:10" x14ac:dyDescent="0.35">
      <c r="A510" s="1">
        <v>45404</v>
      </c>
      <c r="B510" t="s">
        <v>39</v>
      </c>
      <c r="C510" t="s">
        <v>40</v>
      </c>
      <c r="D510" t="s">
        <v>26</v>
      </c>
      <c r="E510" t="s">
        <v>27</v>
      </c>
      <c r="F510" t="s">
        <v>20</v>
      </c>
      <c r="G510">
        <v>882</v>
      </c>
      <c r="H510">
        <v>1037</v>
      </c>
      <c r="I510">
        <v>17.600000000000001</v>
      </c>
      <c r="J510" t="s">
        <v>55</v>
      </c>
    </row>
    <row r="511" spans="1:10" x14ac:dyDescent="0.35">
      <c r="A511" s="1">
        <v>45404</v>
      </c>
      <c r="B511" t="s">
        <v>39</v>
      </c>
      <c r="C511" t="s">
        <v>40</v>
      </c>
      <c r="D511" t="s">
        <v>28</v>
      </c>
      <c r="E511" t="s">
        <v>29</v>
      </c>
      <c r="F511" t="s">
        <v>23</v>
      </c>
      <c r="G511">
        <v>1453</v>
      </c>
      <c r="H511">
        <v>1811</v>
      </c>
      <c r="I511">
        <v>24.6</v>
      </c>
      <c r="J511" t="s">
        <v>55</v>
      </c>
    </row>
    <row r="512" spans="1:10" x14ac:dyDescent="0.35">
      <c r="A512" s="1">
        <v>45411</v>
      </c>
      <c r="B512" t="s">
        <v>12</v>
      </c>
      <c r="C512" t="s">
        <v>13</v>
      </c>
      <c r="D512" t="s">
        <v>15</v>
      </c>
      <c r="E512" t="s">
        <v>16</v>
      </c>
      <c r="F512" t="s">
        <v>17</v>
      </c>
      <c r="G512">
        <v>566</v>
      </c>
      <c r="H512">
        <v>364</v>
      </c>
      <c r="I512">
        <v>35.700000000000003</v>
      </c>
      <c r="J512" t="s">
        <v>56</v>
      </c>
    </row>
    <row r="513" spans="1:10" x14ac:dyDescent="0.35">
      <c r="A513" s="1">
        <v>45411</v>
      </c>
      <c r="B513" t="s">
        <v>12</v>
      </c>
      <c r="C513" t="s">
        <v>13</v>
      </c>
      <c r="D513" t="s">
        <v>18</v>
      </c>
      <c r="E513" t="s">
        <v>19</v>
      </c>
      <c r="F513" t="s">
        <v>20</v>
      </c>
      <c r="G513">
        <v>558</v>
      </c>
      <c r="H513">
        <v>665</v>
      </c>
      <c r="I513">
        <v>19.2</v>
      </c>
      <c r="J513" t="s">
        <v>55</v>
      </c>
    </row>
    <row r="514" spans="1:10" x14ac:dyDescent="0.35">
      <c r="A514" s="1">
        <v>45411</v>
      </c>
      <c r="B514" t="s">
        <v>12</v>
      </c>
      <c r="C514" t="s">
        <v>13</v>
      </c>
      <c r="D514" t="s">
        <v>21</v>
      </c>
      <c r="E514" t="s">
        <v>22</v>
      </c>
      <c r="F514" t="s">
        <v>23</v>
      </c>
      <c r="G514">
        <v>731</v>
      </c>
      <c r="H514">
        <v>558</v>
      </c>
      <c r="I514">
        <v>23.7</v>
      </c>
      <c r="J514" t="s">
        <v>56</v>
      </c>
    </row>
    <row r="515" spans="1:10" x14ac:dyDescent="0.35">
      <c r="A515" s="1">
        <v>45411</v>
      </c>
      <c r="B515" t="s">
        <v>12</v>
      </c>
      <c r="C515" t="s">
        <v>13</v>
      </c>
      <c r="D515" t="s">
        <v>24</v>
      </c>
      <c r="E515" t="s">
        <v>25</v>
      </c>
      <c r="F515" t="s">
        <v>17</v>
      </c>
      <c r="G515">
        <v>804</v>
      </c>
      <c r="H515">
        <v>973</v>
      </c>
      <c r="I515">
        <v>21</v>
      </c>
      <c r="J515" t="s">
        <v>55</v>
      </c>
    </row>
    <row r="516" spans="1:10" x14ac:dyDescent="0.35">
      <c r="A516" s="1">
        <v>45411</v>
      </c>
      <c r="B516" t="s">
        <v>12</v>
      </c>
      <c r="C516" t="s">
        <v>13</v>
      </c>
      <c r="D516" t="s">
        <v>26</v>
      </c>
      <c r="E516" t="s">
        <v>27</v>
      </c>
      <c r="F516" t="s">
        <v>20</v>
      </c>
      <c r="G516">
        <v>479</v>
      </c>
      <c r="H516">
        <v>313</v>
      </c>
      <c r="I516">
        <v>34.700000000000003</v>
      </c>
      <c r="J516" t="s">
        <v>56</v>
      </c>
    </row>
    <row r="517" spans="1:10" x14ac:dyDescent="0.35">
      <c r="A517" s="1">
        <v>45411</v>
      </c>
      <c r="B517" t="s">
        <v>12</v>
      </c>
      <c r="C517" t="s">
        <v>13</v>
      </c>
      <c r="D517" t="s">
        <v>28</v>
      </c>
      <c r="E517" t="s">
        <v>29</v>
      </c>
      <c r="F517" t="s">
        <v>23</v>
      </c>
      <c r="G517">
        <v>1474</v>
      </c>
      <c r="H517">
        <v>1807</v>
      </c>
      <c r="I517">
        <v>22.6</v>
      </c>
      <c r="J517" t="s">
        <v>55</v>
      </c>
    </row>
    <row r="518" spans="1:10" x14ac:dyDescent="0.35">
      <c r="A518" s="1">
        <v>45411</v>
      </c>
      <c r="B518" t="s">
        <v>30</v>
      </c>
      <c r="C518" t="s">
        <v>31</v>
      </c>
      <c r="D518" t="s">
        <v>15</v>
      </c>
      <c r="E518" t="s">
        <v>16</v>
      </c>
      <c r="F518" t="s">
        <v>17</v>
      </c>
      <c r="G518">
        <v>1520</v>
      </c>
      <c r="H518">
        <v>1207</v>
      </c>
      <c r="I518">
        <v>20.6</v>
      </c>
      <c r="J518" t="s">
        <v>56</v>
      </c>
    </row>
    <row r="519" spans="1:10" x14ac:dyDescent="0.35">
      <c r="A519" s="1">
        <v>45411</v>
      </c>
      <c r="B519" t="s">
        <v>30</v>
      </c>
      <c r="C519" t="s">
        <v>31</v>
      </c>
      <c r="D519" t="s">
        <v>18</v>
      </c>
      <c r="E519" t="s">
        <v>19</v>
      </c>
      <c r="F519" t="s">
        <v>20</v>
      </c>
      <c r="G519">
        <v>640</v>
      </c>
      <c r="H519">
        <v>505</v>
      </c>
      <c r="I519">
        <v>21.1</v>
      </c>
      <c r="J519" t="s">
        <v>56</v>
      </c>
    </row>
    <row r="520" spans="1:10" x14ac:dyDescent="0.35">
      <c r="A520" s="1">
        <v>45411</v>
      </c>
      <c r="B520" t="s">
        <v>30</v>
      </c>
      <c r="C520" t="s">
        <v>31</v>
      </c>
      <c r="D520" t="s">
        <v>21</v>
      </c>
      <c r="E520" t="s">
        <v>22</v>
      </c>
      <c r="F520" t="s">
        <v>23</v>
      </c>
      <c r="G520">
        <v>955</v>
      </c>
      <c r="H520">
        <v>1181</v>
      </c>
      <c r="I520">
        <v>23.7</v>
      </c>
      <c r="J520" t="s">
        <v>55</v>
      </c>
    </row>
    <row r="521" spans="1:10" x14ac:dyDescent="0.35">
      <c r="A521" s="1">
        <v>45411</v>
      </c>
      <c r="B521" t="s">
        <v>30</v>
      </c>
      <c r="C521" t="s">
        <v>31</v>
      </c>
      <c r="D521" t="s">
        <v>24</v>
      </c>
      <c r="E521" t="s">
        <v>25</v>
      </c>
      <c r="F521" t="s">
        <v>17</v>
      </c>
      <c r="G521">
        <v>1161</v>
      </c>
      <c r="H521">
        <v>871</v>
      </c>
      <c r="I521">
        <v>25</v>
      </c>
      <c r="J521" t="s">
        <v>56</v>
      </c>
    </row>
    <row r="522" spans="1:10" x14ac:dyDescent="0.35">
      <c r="A522" s="1">
        <v>45411</v>
      </c>
      <c r="B522" t="s">
        <v>30</v>
      </c>
      <c r="C522" t="s">
        <v>31</v>
      </c>
      <c r="D522" t="s">
        <v>26</v>
      </c>
      <c r="E522" t="s">
        <v>27</v>
      </c>
      <c r="F522" t="s">
        <v>20</v>
      </c>
      <c r="G522">
        <v>994</v>
      </c>
      <c r="H522">
        <v>758</v>
      </c>
      <c r="I522">
        <v>23.7</v>
      </c>
      <c r="J522" t="s">
        <v>56</v>
      </c>
    </row>
    <row r="523" spans="1:10" x14ac:dyDescent="0.35">
      <c r="A523" s="1">
        <v>45411</v>
      </c>
      <c r="B523" t="s">
        <v>30</v>
      </c>
      <c r="C523" t="s">
        <v>31</v>
      </c>
      <c r="D523" t="s">
        <v>28</v>
      </c>
      <c r="E523" t="s">
        <v>29</v>
      </c>
      <c r="F523" t="s">
        <v>23</v>
      </c>
      <c r="G523">
        <v>1160</v>
      </c>
      <c r="H523">
        <v>886</v>
      </c>
      <c r="I523">
        <v>23.6</v>
      </c>
      <c r="J523" t="s">
        <v>56</v>
      </c>
    </row>
    <row r="524" spans="1:10" x14ac:dyDescent="0.35">
      <c r="A524" s="1">
        <v>45411</v>
      </c>
      <c r="B524" t="s">
        <v>33</v>
      </c>
      <c r="C524" t="s">
        <v>34</v>
      </c>
      <c r="D524" t="s">
        <v>15</v>
      </c>
      <c r="E524" t="s">
        <v>16</v>
      </c>
      <c r="F524" t="s">
        <v>17</v>
      </c>
      <c r="G524">
        <v>1347</v>
      </c>
      <c r="H524">
        <v>1154</v>
      </c>
      <c r="I524">
        <v>14.3</v>
      </c>
      <c r="J524" t="s">
        <v>56</v>
      </c>
    </row>
    <row r="525" spans="1:10" x14ac:dyDescent="0.35">
      <c r="A525" s="1">
        <v>45411</v>
      </c>
      <c r="B525" t="s">
        <v>33</v>
      </c>
      <c r="C525" t="s">
        <v>34</v>
      </c>
      <c r="D525" t="s">
        <v>18</v>
      </c>
      <c r="E525" t="s">
        <v>19</v>
      </c>
      <c r="F525" t="s">
        <v>20</v>
      </c>
      <c r="G525">
        <v>677</v>
      </c>
      <c r="H525">
        <v>764</v>
      </c>
      <c r="I525">
        <v>12.9</v>
      </c>
      <c r="J525" t="s">
        <v>55</v>
      </c>
    </row>
    <row r="526" spans="1:10" x14ac:dyDescent="0.35">
      <c r="A526" s="1">
        <v>45411</v>
      </c>
      <c r="B526" t="s">
        <v>33</v>
      </c>
      <c r="C526" t="s">
        <v>34</v>
      </c>
      <c r="D526" t="s">
        <v>21</v>
      </c>
      <c r="E526" t="s">
        <v>22</v>
      </c>
      <c r="F526" t="s">
        <v>23</v>
      </c>
      <c r="G526">
        <v>1370</v>
      </c>
      <c r="H526">
        <v>1256</v>
      </c>
      <c r="I526">
        <v>8.3000000000000007</v>
      </c>
      <c r="J526" t="s">
        <v>56</v>
      </c>
    </row>
    <row r="527" spans="1:10" x14ac:dyDescent="0.35">
      <c r="A527" s="1">
        <v>45411</v>
      </c>
      <c r="B527" t="s">
        <v>33</v>
      </c>
      <c r="C527" t="s">
        <v>34</v>
      </c>
      <c r="D527" t="s">
        <v>24</v>
      </c>
      <c r="E527" t="s">
        <v>25</v>
      </c>
      <c r="F527" t="s">
        <v>17</v>
      </c>
      <c r="G527">
        <v>707</v>
      </c>
      <c r="H527">
        <v>863</v>
      </c>
      <c r="I527">
        <v>22.1</v>
      </c>
      <c r="J527" t="s">
        <v>55</v>
      </c>
    </row>
    <row r="528" spans="1:10" x14ac:dyDescent="0.35">
      <c r="A528" s="1">
        <v>45411</v>
      </c>
      <c r="B528" t="s">
        <v>33</v>
      </c>
      <c r="C528" t="s">
        <v>34</v>
      </c>
      <c r="D528" t="s">
        <v>26</v>
      </c>
      <c r="E528" t="s">
        <v>27</v>
      </c>
      <c r="F528" t="s">
        <v>20</v>
      </c>
      <c r="G528">
        <v>411</v>
      </c>
      <c r="H528">
        <v>339</v>
      </c>
      <c r="I528">
        <v>17.5</v>
      </c>
      <c r="J528" t="s">
        <v>56</v>
      </c>
    </row>
    <row r="529" spans="1:10" x14ac:dyDescent="0.35">
      <c r="A529" s="1">
        <v>45411</v>
      </c>
      <c r="B529" t="s">
        <v>33</v>
      </c>
      <c r="C529" t="s">
        <v>34</v>
      </c>
      <c r="D529" t="s">
        <v>28</v>
      </c>
      <c r="E529" t="s">
        <v>29</v>
      </c>
      <c r="F529" t="s">
        <v>23</v>
      </c>
      <c r="G529">
        <v>592</v>
      </c>
      <c r="H529">
        <v>449</v>
      </c>
      <c r="I529">
        <v>24.2</v>
      </c>
      <c r="J529" t="s">
        <v>56</v>
      </c>
    </row>
    <row r="530" spans="1:10" x14ac:dyDescent="0.35">
      <c r="A530" s="1">
        <v>45411</v>
      </c>
      <c r="B530" t="s">
        <v>36</v>
      </c>
      <c r="C530" t="s">
        <v>37</v>
      </c>
      <c r="D530" t="s">
        <v>15</v>
      </c>
      <c r="E530" t="s">
        <v>16</v>
      </c>
      <c r="F530" t="s">
        <v>17</v>
      </c>
      <c r="G530">
        <v>525</v>
      </c>
      <c r="H530">
        <v>665</v>
      </c>
      <c r="I530">
        <v>26.7</v>
      </c>
      <c r="J530" t="s">
        <v>55</v>
      </c>
    </row>
    <row r="531" spans="1:10" x14ac:dyDescent="0.35">
      <c r="A531" s="1">
        <v>45411</v>
      </c>
      <c r="B531" t="s">
        <v>36</v>
      </c>
      <c r="C531" t="s">
        <v>37</v>
      </c>
      <c r="D531" t="s">
        <v>18</v>
      </c>
      <c r="E531" t="s">
        <v>19</v>
      </c>
      <c r="F531" t="s">
        <v>20</v>
      </c>
      <c r="G531">
        <v>536</v>
      </c>
      <c r="H531">
        <v>635</v>
      </c>
      <c r="I531">
        <v>18.5</v>
      </c>
      <c r="J531" t="s">
        <v>55</v>
      </c>
    </row>
    <row r="532" spans="1:10" x14ac:dyDescent="0.35">
      <c r="A532" s="1">
        <v>45411</v>
      </c>
      <c r="B532" t="s">
        <v>36</v>
      </c>
      <c r="C532" t="s">
        <v>37</v>
      </c>
      <c r="D532" t="s">
        <v>21</v>
      </c>
      <c r="E532" t="s">
        <v>22</v>
      </c>
      <c r="F532" t="s">
        <v>23</v>
      </c>
      <c r="G532">
        <v>862</v>
      </c>
      <c r="H532">
        <v>703</v>
      </c>
      <c r="I532">
        <v>18.399999999999999</v>
      </c>
      <c r="J532" t="s">
        <v>56</v>
      </c>
    </row>
    <row r="533" spans="1:10" x14ac:dyDescent="0.35">
      <c r="A533" s="1">
        <v>45411</v>
      </c>
      <c r="B533" t="s">
        <v>36</v>
      </c>
      <c r="C533" t="s">
        <v>37</v>
      </c>
      <c r="D533" t="s">
        <v>24</v>
      </c>
      <c r="E533" t="s">
        <v>25</v>
      </c>
      <c r="F533" t="s">
        <v>17</v>
      </c>
      <c r="G533">
        <v>794</v>
      </c>
      <c r="H533">
        <v>922</v>
      </c>
      <c r="I533">
        <v>16.100000000000001</v>
      </c>
      <c r="J533" t="s">
        <v>55</v>
      </c>
    </row>
    <row r="534" spans="1:10" x14ac:dyDescent="0.35">
      <c r="A534" s="1">
        <v>45411</v>
      </c>
      <c r="B534" t="s">
        <v>36</v>
      </c>
      <c r="C534" t="s">
        <v>37</v>
      </c>
      <c r="D534" t="s">
        <v>26</v>
      </c>
      <c r="E534" t="s">
        <v>27</v>
      </c>
      <c r="F534" t="s">
        <v>20</v>
      </c>
      <c r="G534">
        <v>1272</v>
      </c>
      <c r="H534">
        <v>947</v>
      </c>
      <c r="I534">
        <v>25.6</v>
      </c>
      <c r="J534" t="s">
        <v>56</v>
      </c>
    </row>
    <row r="535" spans="1:10" x14ac:dyDescent="0.35">
      <c r="A535" s="1">
        <v>45411</v>
      </c>
      <c r="B535" t="s">
        <v>36</v>
      </c>
      <c r="C535" t="s">
        <v>37</v>
      </c>
      <c r="D535" t="s">
        <v>28</v>
      </c>
      <c r="E535" t="s">
        <v>29</v>
      </c>
      <c r="F535" t="s">
        <v>23</v>
      </c>
      <c r="G535">
        <v>1225</v>
      </c>
      <c r="H535">
        <v>1666</v>
      </c>
      <c r="I535">
        <v>36</v>
      </c>
      <c r="J535" t="s">
        <v>55</v>
      </c>
    </row>
    <row r="536" spans="1:10" x14ac:dyDescent="0.35">
      <c r="A536" s="1">
        <v>45411</v>
      </c>
      <c r="B536" t="s">
        <v>39</v>
      </c>
      <c r="C536" t="s">
        <v>40</v>
      </c>
      <c r="D536" t="s">
        <v>15</v>
      </c>
      <c r="E536" t="s">
        <v>16</v>
      </c>
      <c r="F536" t="s">
        <v>17</v>
      </c>
      <c r="G536">
        <v>814</v>
      </c>
      <c r="H536">
        <v>729</v>
      </c>
      <c r="I536">
        <v>10.4</v>
      </c>
      <c r="J536" t="s">
        <v>56</v>
      </c>
    </row>
    <row r="537" spans="1:10" x14ac:dyDescent="0.35">
      <c r="A537" s="1">
        <v>45411</v>
      </c>
      <c r="B537" t="s">
        <v>39</v>
      </c>
      <c r="C537" t="s">
        <v>40</v>
      </c>
      <c r="D537" t="s">
        <v>18</v>
      </c>
      <c r="E537" t="s">
        <v>19</v>
      </c>
      <c r="F537" t="s">
        <v>20</v>
      </c>
      <c r="G537">
        <v>843</v>
      </c>
      <c r="H537">
        <v>704</v>
      </c>
      <c r="I537">
        <v>16.5</v>
      </c>
      <c r="J537" t="s">
        <v>56</v>
      </c>
    </row>
    <row r="538" spans="1:10" x14ac:dyDescent="0.35">
      <c r="A538" s="1">
        <v>45411</v>
      </c>
      <c r="B538" t="s">
        <v>39</v>
      </c>
      <c r="C538" t="s">
        <v>40</v>
      </c>
      <c r="D538" t="s">
        <v>21</v>
      </c>
      <c r="E538" t="s">
        <v>22</v>
      </c>
      <c r="F538" t="s">
        <v>23</v>
      </c>
      <c r="G538">
        <v>609</v>
      </c>
      <c r="H538">
        <v>680</v>
      </c>
      <c r="I538">
        <v>11.7</v>
      </c>
      <c r="J538" t="s">
        <v>55</v>
      </c>
    </row>
    <row r="539" spans="1:10" x14ac:dyDescent="0.35">
      <c r="A539" s="1">
        <v>45411</v>
      </c>
      <c r="B539" t="s">
        <v>39</v>
      </c>
      <c r="C539" t="s">
        <v>40</v>
      </c>
      <c r="D539" t="s">
        <v>24</v>
      </c>
      <c r="E539" t="s">
        <v>25</v>
      </c>
      <c r="F539" t="s">
        <v>17</v>
      </c>
      <c r="G539">
        <v>1184</v>
      </c>
      <c r="H539">
        <v>1395</v>
      </c>
      <c r="I539">
        <v>17.8</v>
      </c>
      <c r="J539" t="s">
        <v>55</v>
      </c>
    </row>
    <row r="540" spans="1:10" x14ac:dyDescent="0.35">
      <c r="A540" s="1">
        <v>45411</v>
      </c>
      <c r="B540" t="s">
        <v>39</v>
      </c>
      <c r="C540" t="s">
        <v>40</v>
      </c>
      <c r="D540" t="s">
        <v>26</v>
      </c>
      <c r="E540" t="s">
        <v>27</v>
      </c>
      <c r="F540" t="s">
        <v>20</v>
      </c>
      <c r="G540">
        <v>967</v>
      </c>
      <c r="H540">
        <v>1324</v>
      </c>
      <c r="I540">
        <v>36.9</v>
      </c>
      <c r="J540" t="s">
        <v>55</v>
      </c>
    </row>
    <row r="541" spans="1:10" x14ac:dyDescent="0.35">
      <c r="A541" s="1">
        <v>45411</v>
      </c>
      <c r="B541" t="s">
        <v>39</v>
      </c>
      <c r="C541" t="s">
        <v>40</v>
      </c>
      <c r="D541" t="s">
        <v>28</v>
      </c>
      <c r="E541" t="s">
        <v>29</v>
      </c>
      <c r="F541" t="s">
        <v>23</v>
      </c>
      <c r="G541">
        <v>1369</v>
      </c>
      <c r="H541">
        <v>1173</v>
      </c>
      <c r="I541">
        <v>14.3</v>
      </c>
      <c r="J541" t="s">
        <v>56</v>
      </c>
    </row>
    <row r="542" spans="1:10" x14ac:dyDescent="0.35">
      <c r="A542" s="1">
        <v>45418</v>
      </c>
      <c r="B542" t="s">
        <v>12</v>
      </c>
      <c r="C542" t="s">
        <v>13</v>
      </c>
      <c r="D542" t="s">
        <v>15</v>
      </c>
      <c r="E542" t="s">
        <v>16</v>
      </c>
      <c r="F542" t="s">
        <v>17</v>
      </c>
      <c r="G542">
        <v>874</v>
      </c>
      <c r="H542">
        <v>544</v>
      </c>
      <c r="I542">
        <v>37.799999999999997</v>
      </c>
      <c r="J542" t="s">
        <v>56</v>
      </c>
    </row>
    <row r="543" spans="1:10" x14ac:dyDescent="0.35">
      <c r="A543" s="1">
        <v>45418</v>
      </c>
      <c r="B543" t="s">
        <v>12</v>
      </c>
      <c r="C543" t="s">
        <v>13</v>
      </c>
      <c r="D543" t="s">
        <v>18</v>
      </c>
      <c r="E543" t="s">
        <v>19</v>
      </c>
      <c r="F543" t="s">
        <v>20</v>
      </c>
      <c r="G543">
        <v>700</v>
      </c>
      <c r="H543">
        <v>613</v>
      </c>
      <c r="I543">
        <v>12.4</v>
      </c>
      <c r="J543" t="s">
        <v>56</v>
      </c>
    </row>
    <row r="544" spans="1:10" x14ac:dyDescent="0.35">
      <c r="A544" s="1">
        <v>45418</v>
      </c>
      <c r="B544" t="s">
        <v>12</v>
      </c>
      <c r="C544" t="s">
        <v>13</v>
      </c>
      <c r="D544" t="s">
        <v>21</v>
      </c>
      <c r="E544" t="s">
        <v>22</v>
      </c>
      <c r="F544" t="s">
        <v>23</v>
      </c>
      <c r="G544">
        <v>400</v>
      </c>
      <c r="H544">
        <v>470</v>
      </c>
      <c r="I544">
        <v>17.5</v>
      </c>
      <c r="J544" t="s">
        <v>55</v>
      </c>
    </row>
    <row r="545" spans="1:10" x14ac:dyDescent="0.35">
      <c r="A545" s="1">
        <v>45418</v>
      </c>
      <c r="B545" t="s">
        <v>12</v>
      </c>
      <c r="C545" t="s">
        <v>13</v>
      </c>
      <c r="D545" t="s">
        <v>24</v>
      </c>
      <c r="E545" t="s">
        <v>25</v>
      </c>
      <c r="F545" t="s">
        <v>17</v>
      </c>
      <c r="G545">
        <v>506</v>
      </c>
      <c r="H545">
        <v>567</v>
      </c>
      <c r="I545">
        <v>12.1</v>
      </c>
      <c r="J545" t="s">
        <v>55</v>
      </c>
    </row>
    <row r="546" spans="1:10" x14ac:dyDescent="0.35">
      <c r="A546" s="1">
        <v>45418</v>
      </c>
      <c r="B546" t="s">
        <v>12</v>
      </c>
      <c r="C546" t="s">
        <v>13</v>
      </c>
      <c r="D546" t="s">
        <v>26</v>
      </c>
      <c r="E546" t="s">
        <v>27</v>
      </c>
      <c r="F546" t="s">
        <v>20</v>
      </c>
      <c r="G546">
        <v>1271</v>
      </c>
      <c r="H546">
        <v>915</v>
      </c>
      <c r="I546">
        <v>28</v>
      </c>
      <c r="J546" t="s">
        <v>56</v>
      </c>
    </row>
    <row r="547" spans="1:10" x14ac:dyDescent="0.35">
      <c r="A547" s="1">
        <v>45418</v>
      </c>
      <c r="B547" t="s">
        <v>12</v>
      </c>
      <c r="C547" t="s">
        <v>13</v>
      </c>
      <c r="D547" t="s">
        <v>28</v>
      </c>
      <c r="E547" t="s">
        <v>29</v>
      </c>
      <c r="F547" t="s">
        <v>23</v>
      </c>
      <c r="G547">
        <v>1424</v>
      </c>
      <c r="H547">
        <v>985</v>
      </c>
      <c r="I547">
        <v>30.8</v>
      </c>
      <c r="J547" t="s">
        <v>56</v>
      </c>
    </row>
    <row r="548" spans="1:10" x14ac:dyDescent="0.35">
      <c r="A548" s="1">
        <v>45418</v>
      </c>
      <c r="B548" t="s">
        <v>30</v>
      </c>
      <c r="C548" t="s">
        <v>31</v>
      </c>
      <c r="D548" t="s">
        <v>15</v>
      </c>
      <c r="E548" t="s">
        <v>16</v>
      </c>
      <c r="F548" t="s">
        <v>17</v>
      </c>
      <c r="G548">
        <v>1205</v>
      </c>
      <c r="H548">
        <v>972</v>
      </c>
      <c r="I548">
        <v>19.3</v>
      </c>
      <c r="J548" t="s">
        <v>56</v>
      </c>
    </row>
    <row r="549" spans="1:10" x14ac:dyDescent="0.35">
      <c r="A549" s="1">
        <v>45418</v>
      </c>
      <c r="B549" t="s">
        <v>30</v>
      </c>
      <c r="C549" t="s">
        <v>31</v>
      </c>
      <c r="D549" t="s">
        <v>18</v>
      </c>
      <c r="E549" t="s">
        <v>19</v>
      </c>
      <c r="F549" t="s">
        <v>20</v>
      </c>
      <c r="G549">
        <v>1371</v>
      </c>
      <c r="H549">
        <v>1626</v>
      </c>
      <c r="I549">
        <v>18.600000000000001</v>
      </c>
      <c r="J549" t="s">
        <v>55</v>
      </c>
    </row>
    <row r="550" spans="1:10" x14ac:dyDescent="0.35">
      <c r="A550" s="1">
        <v>45418</v>
      </c>
      <c r="B550" t="s">
        <v>30</v>
      </c>
      <c r="C550" t="s">
        <v>31</v>
      </c>
      <c r="D550" t="s">
        <v>21</v>
      </c>
      <c r="E550" t="s">
        <v>22</v>
      </c>
      <c r="F550" t="s">
        <v>23</v>
      </c>
      <c r="G550">
        <v>1049</v>
      </c>
      <c r="H550">
        <v>1299</v>
      </c>
      <c r="I550">
        <v>23.8</v>
      </c>
      <c r="J550" t="s">
        <v>55</v>
      </c>
    </row>
    <row r="551" spans="1:10" x14ac:dyDescent="0.35">
      <c r="A551" s="1">
        <v>45418</v>
      </c>
      <c r="B551" t="s">
        <v>30</v>
      </c>
      <c r="C551" t="s">
        <v>31</v>
      </c>
      <c r="D551" t="s">
        <v>24</v>
      </c>
      <c r="E551" t="s">
        <v>25</v>
      </c>
      <c r="F551" t="s">
        <v>17</v>
      </c>
      <c r="G551">
        <v>838</v>
      </c>
      <c r="H551">
        <v>1145</v>
      </c>
      <c r="I551">
        <v>36.6</v>
      </c>
      <c r="J551" t="s">
        <v>55</v>
      </c>
    </row>
    <row r="552" spans="1:10" x14ac:dyDescent="0.35">
      <c r="A552" s="1">
        <v>45418</v>
      </c>
      <c r="B552" t="s">
        <v>30</v>
      </c>
      <c r="C552" t="s">
        <v>31</v>
      </c>
      <c r="D552" t="s">
        <v>26</v>
      </c>
      <c r="E552" t="s">
        <v>27</v>
      </c>
      <c r="F552" t="s">
        <v>20</v>
      </c>
      <c r="G552">
        <v>968</v>
      </c>
      <c r="H552">
        <v>1252</v>
      </c>
      <c r="I552">
        <v>29.3</v>
      </c>
      <c r="J552" t="s">
        <v>55</v>
      </c>
    </row>
    <row r="553" spans="1:10" x14ac:dyDescent="0.35">
      <c r="A553" s="1">
        <v>45418</v>
      </c>
      <c r="B553" t="s">
        <v>30</v>
      </c>
      <c r="C553" t="s">
        <v>31</v>
      </c>
      <c r="D553" t="s">
        <v>28</v>
      </c>
      <c r="E553" t="s">
        <v>29</v>
      </c>
      <c r="F553" t="s">
        <v>23</v>
      </c>
      <c r="G553">
        <v>1547</v>
      </c>
      <c r="H553">
        <v>1875</v>
      </c>
      <c r="I553">
        <v>21.2</v>
      </c>
      <c r="J553" t="s">
        <v>55</v>
      </c>
    </row>
    <row r="554" spans="1:10" x14ac:dyDescent="0.35">
      <c r="A554" s="1">
        <v>45418</v>
      </c>
      <c r="B554" t="s">
        <v>33</v>
      </c>
      <c r="C554" t="s">
        <v>34</v>
      </c>
      <c r="D554" t="s">
        <v>15</v>
      </c>
      <c r="E554" t="s">
        <v>16</v>
      </c>
      <c r="F554" t="s">
        <v>17</v>
      </c>
      <c r="G554">
        <v>913</v>
      </c>
      <c r="H554">
        <v>1173</v>
      </c>
      <c r="I554">
        <v>28.5</v>
      </c>
      <c r="J554" t="s">
        <v>55</v>
      </c>
    </row>
    <row r="555" spans="1:10" x14ac:dyDescent="0.35">
      <c r="A555" s="1">
        <v>45418</v>
      </c>
      <c r="B555" t="s">
        <v>33</v>
      </c>
      <c r="C555" t="s">
        <v>34</v>
      </c>
      <c r="D555" t="s">
        <v>18</v>
      </c>
      <c r="E555" t="s">
        <v>19</v>
      </c>
      <c r="F555" t="s">
        <v>20</v>
      </c>
      <c r="G555">
        <v>1291</v>
      </c>
      <c r="H555">
        <v>935</v>
      </c>
      <c r="I555">
        <v>27.6</v>
      </c>
      <c r="J555" t="s">
        <v>56</v>
      </c>
    </row>
    <row r="556" spans="1:10" x14ac:dyDescent="0.35">
      <c r="A556" s="1">
        <v>45418</v>
      </c>
      <c r="B556" t="s">
        <v>33</v>
      </c>
      <c r="C556" t="s">
        <v>34</v>
      </c>
      <c r="D556" t="s">
        <v>21</v>
      </c>
      <c r="E556" t="s">
        <v>22</v>
      </c>
      <c r="F556" t="s">
        <v>23</v>
      </c>
      <c r="G556">
        <v>1148</v>
      </c>
      <c r="H556">
        <v>1534</v>
      </c>
      <c r="I556">
        <v>33.6</v>
      </c>
      <c r="J556" t="s">
        <v>55</v>
      </c>
    </row>
    <row r="557" spans="1:10" x14ac:dyDescent="0.35">
      <c r="A557" s="1">
        <v>45418</v>
      </c>
      <c r="B557" t="s">
        <v>33</v>
      </c>
      <c r="C557" t="s">
        <v>34</v>
      </c>
      <c r="D557" t="s">
        <v>24</v>
      </c>
      <c r="E557" t="s">
        <v>25</v>
      </c>
      <c r="F557" t="s">
        <v>17</v>
      </c>
      <c r="G557">
        <v>1108</v>
      </c>
      <c r="H557">
        <v>777</v>
      </c>
      <c r="I557">
        <v>29.9</v>
      </c>
      <c r="J557" t="s">
        <v>56</v>
      </c>
    </row>
    <row r="558" spans="1:10" x14ac:dyDescent="0.35">
      <c r="A558" s="1">
        <v>45418</v>
      </c>
      <c r="B558" t="s">
        <v>33</v>
      </c>
      <c r="C558" t="s">
        <v>34</v>
      </c>
      <c r="D558" t="s">
        <v>26</v>
      </c>
      <c r="E558" t="s">
        <v>27</v>
      </c>
      <c r="F558" t="s">
        <v>20</v>
      </c>
      <c r="G558">
        <v>1546</v>
      </c>
      <c r="H558">
        <v>2076</v>
      </c>
      <c r="I558">
        <v>34.299999999999997</v>
      </c>
      <c r="J558" t="s">
        <v>55</v>
      </c>
    </row>
    <row r="559" spans="1:10" x14ac:dyDescent="0.35">
      <c r="A559" s="1">
        <v>45418</v>
      </c>
      <c r="B559" t="s">
        <v>33</v>
      </c>
      <c r="C559" t="s">
        <v>34</v>
      </c>
      <c r="D559" t="s">
        <v>28</v>
      </c>
      <c r="E559" t="s">
        <v>29</v>
      </c>
      <c r="F559" t="s">
        <v>23</v>
      </c>
      <c r="G559">
        <v>791</v>
      </c>
      <c r="H559">
        <v>636</v>
      </c>
      <c r="I559">
        <v>19.600000000000001</v>
      </c>
      <c r="J559" t="s">
        <v>56</v>
      </c>
    </row>
    <row r="560" spans="1:10" x14ac:dyDescent="0.35">
      <c r="A560" s="1">
        <v>45418</v>
      </c>
      <c r="B560" t="s">
        <v>36</v>
      </c>
      <c r="C560" t="s">
        <v>37</v>
      </c>
      <c r="D560" t="s">
        <v>15</v>
      </c>
      <c r="E560" t="s">
        <v>16</v>
      </c>
      <c r="F560" t="s">
        <v>17</v>
      </c>
      <c r="G560">
        <v>421</v>
      </c>
      <c r="H560">
        <v>362</v>
      </c>
      <c r="I560">
        <v>14</v>
      </c>
      <c r="J560" t="s">
        <v>56</v>
      </c>
    </row>
    <row r="561" spans="1:10" x14ac:dyDescent="0.35">
      <c r="A561" s="1">
        <v>45418</v>
      </c>
      <c r="B561" t="s">
        <v>36</v>
      </c>
      <c r="C561" t="s">
        <v>37</v>
      </c>
      <c r="D561" t="s">
        <v>18</v>
      </c>
      <c r="E561" t="s">
        <v>19</v>
      </c>
      <c r="F561" t="s">
        <v>20</v>
      </c>
      <c r="G561">
        <v>799</v>
      </c>
      <c r="H561">
        <v>733</v>
      </c>
      <c r="I561">
        <v>8.3000000000000007</v>
      </c>
      <c r="J561" t="s">
        <v>56</v>
      </c>
    </row>
    <row r="562" spans="1:10" x14ac:dyDescent="0.35">
      <c r="A562" s="1">
        <v>45418</v>
      </c>
      <c r="B562" t="s">
        <v>36</v>
      </c>
      <c r="C562" t="s">
        <v>37</v>
      </c>
      <c r="D562" t="s">
        <v>21</v>
      </c>
      <c r="E562" t="s">
        <v>22</v>
      </c>
      <c r="F562" t="s">
        <v>23</v>
      </c>
      <c r="G562">
        <v>592</v>
      </c>
      <c r="H562">
        <v>801</v>
      </c>
      <c r="I562">
        <v>35.299999999999997</v>
      </c>
      <c r="J562" t="s">
        <v>55</v>
      </c>
    </row>
    <row r="563" spans="1:10" x14ac:dyDescent="0.35">
      <c r="A563" s="1">
        <v>45418</v>
      </c>
      <c r="B563" t="s">
        <v>36</v>
      </c>
      <c r="C563" t="s">
        <v>37</v>
      </c>
      <c r="D563" t="s">
        <v>24</v>
      </c>
      <c r="E563" t="s">
        <v>25</v>
      </c>
      <c r="F563" t="s">
        <v>17</v>
      </c>
      <c r="G563">
        <v>1429</v>
      </c>
      <c r="H563">
        <v>1938</v>
      </c>
      <c r="I563">
        <v>35.6</v>
      </c>
      <c r="J563" t="s">
        <v>55</v>
      </c>
    </row>
    <row r="564" spans="1:10" x14ac:dyDescent="0.35">
      <c r="A564" s="1">
        <v>45418</v>
      </c>
      <c r="B564" t="s">
        <v>36</v>
      </c>
      <c r="C564" t="s">
        <v>37</v>
      </c>
      <c r="D564" t="s">
        <v>26</v>
      </c>
      <c r="E564" t="s">
        <v>27</v>
      </c>
      <c r="F564" t="s">
        <v>20</v>
      </c>
      <c r="G564">
        <v>468</v>
      </c>
      <c r="H564">
        <v>596</v>
      </c>
      <c r="I564">
        <v>27.4</v>
      </c>
      <c r="J564" t="s">
        <v>55</v>
      </c>
    </row>
    <row r="565" spans="1:10" x14ac:dyDescent="0.35">
      <c r="A565" s="1">
        <v>45418</v>
      </c>
      <c r="B565" t="s">
        <v>36</v>
      </c>
      <c r="C565" t="s">
        <v>37</v>
      </c>
      <c r="D565" t="s">
        <v>28</v>
      </c>
      <c r="E565" t="s">
        <v>29</v>
      </c>
      <c r="F565" t="s">
        <v>23</v>
      </c>
      <c r="G565">
        <v>1215</v>
      </c>
      <c r="H565">
        <v>1328</v>
      </c>
      <c r="I565">
        <v>9.3000000000000007</v>
      </c>
      <c r="J565" t="s">
        <v>55</v>
      </c>
    </row>
    <row r="566" spans="1:10" x14ac:dyDescent="0.35">
      <c r="A566" s="1">
        <v>45418</v>
      </c>
      <c r="B566" t="s">
        <v>39</v>
      </c>
      <c r="C566" t="s">
        <v>40</v>
      </c>
      <c r="D566" t="s">
        <v>15</v>
      </c>
      <c r="E566" t="s">
        <v>16</v>
      </c>
      <c r="F566" t="s">
        <v>17</v>
      </c>
      <c r="G566">
        <v>918</v>
      </c>
      <c r="H566">
        <v>769</v>
      </c>
      <c r="I566">
        <v>16.2</v>
      </c>
      <c r="J566" t="s">
        <v>56</v>
      </c>
    </row>
    <row r="567" spans="1:10" x14ac:dyDescent="0.35">
      <c r="A567" s="1">
        <v>45418</v>
      </c>
      <c r="B567" t="s">
        <v>39</v>
      </c>
      <c r="C567" t="s">
        <v>40</v>
      </c>
      <c r="D567" t="s">
        <v>18</v>
      </c>
      <c r="E567" t="s">
        <v>19</v>
      </c>
      <c r="F567" t="s">
        <v>20</v>
      </c>
      <c r="G567">
        <v>1571</v>
      </c>
      <c r="H567">
        <v>2084</v>
      </c>
      <c r="I567">
        <v>32.700000000000003</v>
      </c>
      <c r="J567" t="s">
        <v>55</v>
      </c>
    </row>
    <row r="568" spans="1:10" x14ac:dyDescent="0.35">
      <c r="A568" s="1">
        <v>45418</v>
      </c>
      <c r="B568" t="s">
        <v>39</v>
      </c>
      <c r="C568" t="s">
        <v>40</v>
      </c>
      <c r="D568" t="s">
        <v>21</v>
      </c>
      <c r="E568" t="s">
        <v>22</v>
      </c>
      <c r="F568" t="s">
        <v>23</v>
      </c>
      <c r="G568">
        <v>1364</v>
      </c>
      <c r="H568">
        <v>1881</v>
      </c>
      <c r="I568">
        <v>37.9</v>
      </c>
      <c r="J568" t="s">
        <v>55</v>
      </c>
    </row>
    <row r="569" spans="1:10" x14ac:dyDescent="0.35">
      <c r="A569" s="1">
        <v>45418</v>
      </c>
      <c r="B569" t="s">
        <v>39</v>
      </c>
      <c r="C569" t="s">
        <v>40</v>
      </c>
      <c r="D569" t="s">
        <v>24</v>
      </c>
      <c r="E569" t="s">
        <v>25</v>
      </c>
      <c r="F569" t="s">
        <v>17</v>
      </c>
      <c r="G569">
        <v>1404</v>
      </c>
      <c r="H569">
        <v>1589</v>
      </c>
      <c r="I569">
        <v>13.2</v>
      </c>
      <c r="J569" t="s">
        <v>55</v>
      </c>
    </row>
    <row r="570" spans="1:10" x14ac:dyDescent="0.35">
      <c r="A570" s="1">
        <v>45418</v>
      </c>
      <c r="B570" t="s">
        <v>39</v>
      </c>
      <c r="C570" t="s">
        <v>40</v>
      </c>
      <c r="D570" t="s">
        <v>26</v>
      </c>
      <c r="E570" t="s">
        <v>27</v>
      </c>
      <c r="F570" t="s">
        <v>20</v>
      </c>
      <c r="G570">
        <v>1517</v>
      </c>
      <c r="H570">
        <v>1028</v>
      </c>
      <c r="I570">
        <v>32.200000000000003</v>
      </c>
      <c r="J570" t="s">
        <v>56</v>
      </c>
    </row>
    <row r="571" spans="1:10" x14ac:dyDescent="0.35">
      <c r="A571" s="1">
        <v>45418</v>
      </c>
      <c r="B571" t="s">
        <v>39</v>
      </c>
      <c r="C571" t="s">
        <v>40</v>
      </c>
      <c r="D571" t="s">
        <v>28</v>
      </c>
      <c r="E571" t="s">
        <v>29</v>
      </c>
      <c r="F571" t="s">
        <v>23</v>
      </c>
      <c r="G571">
        <v>459</v>
      </c>
      <c r="H571">
        <v>580</v>
      </c>
      <c r="I571">
        <v>26.4</v>
      </c>
      <c r="J571" t="s">
        <v>55</v>
      </c>
    </row>
    <row r="572" spans="1:10" x14ac:dyDescent="0.35">
      <c r="A572" s="1">
        <v>45425</v>
      </c>
      <c r="B572" t="s">
        <v>12</v>
      </c>
      <c r="C572" t="s">
        <v>13</v>
      </c>
      <c r="D572" t="s">
        <v>15</v>
      </c>
      <c r="E572" t="s">
        <v>16</v>
      </c>
      <c r="F572" t="s">
        <v>17</v>
      </c>
      <c r="G572">
        <v>762</v>
      </c>
      <c r="H572">
        <v>501</v>
      </c>
      <c r="I572">
        <v>34.299999999999997</v>
      </c>
      <c r="J572" t="s">
        <v>56</v>
      </c>
    </row>
    <row r="573" spans="1:10" x14ac:dyDescent="0.35">
      <c r="A573" s="1">
        <v>45425</v>
      </c>
      <c r="B573" t="s">
        <v>12</v>
      </c>
      <c r="C573" t="s">
        <v>13</v>
      </c>
      <c r="D573" t="s">
        <v>18</v>
      </c>
      <c r="E573" t="s">
        <v>19</v>
      </c>
      <c r="F573" t="s">
        <v>20</v>
      </c>
      <c r="G573">
        <v>1259</v>
      </c>
      <c r="H573">
        <v>843</v>
      </c>
      <c r="I573">
        <v>33</v>
      </c>
      <c r="J573" t="s">
        <v>56</v>
      </c>
    </row>
    <row r="574" spans="1:10" x14ac:dyDescent="0.35">
      <c r="A574" s="1">
        <v>45425</v>
      </c>
      <c r="B574" t="s">
        <v>12</v>
      </c>
      <c r="C574" t="s">
        <v>13</v>
      </c>
      <c r="D574" t="s">
        <v>21</v>
      </c>
      <c r="E574" t="s">
        <v>22</v>
      </c>
      <c r="F574" t="s">
        <v>23</v>
      </c>
      <c r="G574">
        <v>1308</v>
      </c>
      <c r="H574">
        <v>953</v>
      </c>
      <c r="I574">
        <v>27.1</v>
      </c>
      <c r="J574" t="s">
        <v>56</v>
      </c>
    </row>
    <row r="575" spans="1:10" x14ac:dyDescent="0.35">
      <c r="A575" s="1">
        <v>45425</v>
      </c>
      <c r="B575" t="s">
        <v>12</v>
      </c>
      <c r="C575" t="s">
        <v>13</v>
      </c>
      <c r="D575" t="s">
        <v>24</v>
      </c>
      <c r="E575" t="s">
        <v>25</v>
      </c>
      <c r="F575" t="s">
        <v>17</v>
      </c>
      <c r="G575">
        <v>599</v>
      </c>
      <c r="H575">
        <v>396</v>
      </c>
      <c r="I575">
        <v>33.9</v>
      </c>
      <c r="J575" t="s">
        <v>56</v>
      </c>
    </row>
    <row r="576" spans="1:10" x14ac:dyDescent="0.35">
      <c r="A576" s="1">
        <v>45425</v>
      </c>
      <c r="B576" t="s">
        <v>12</v>
      </c>
      <c r="C576" t="s">
        <v>13</v>
      </c>
      <c r="D576" t="s">
        <v>26</v>
      </c>
      <c r="E576" t="s">
        <v>27</v>
      </c>
      <c r="F576" t="s">
        <v>20</v>
      </c>
      <c r="G576">
        <v>797</v>
      </c>
      <c r="H576">
        <v>1017</v>
      </c>
      <c r="I576">
        <v>27.6</v>
      </c>
      <c r="J576" t="s">
        <v>55</v>
      </c>
    </row>
    <row r="577" spans="1:10" x14ac:dyDescent="0.35">
      <c r="A577" s="1">
        <v>45425</v>
      </c>
      <c r="B577" t="s">
        <v>12</v>
      </c>
      <c r="C577" t="s">
        <v>13</v>
      </c>
      <c r="D577" t="s">
        <v>28</v>
      </c>
      <c r="E577" t="s">
        <v>29</v>
      </c>
      <c r="F577" t="s">
        <v>23</v>
      </c>
      <c r="G577">
        <v>1081</v>
      </c>
      <c r="H577">
        <v>1439</v>
      </c>
      <c r="I577">
        <v>33.1</v>
      </c>
      <c r="J577" t="s">
        <v>55</v>
      </c>
    </row>
    <row r="578" spans="1:10" x14ac:dyDescent="0.35">
      <c r="A578" s="1">
        <v>45425</v>
      </c>
      <c r="B578" t="s">
        <v>30</v>
      </c>
      <c r="C578" t="s">
        <v>31</v>
      </c>
      <c r="D578" t="s">
        <v>15</v>
      </c>
      <c r="E578" t="s">
        <v>16</v>
      </c>
      <c r="F578" t="s">
        <v>17</v>
      </c>
      <c r="G578">
        <v>1048</v>
      </c>
      <c r="H578">
        <v>681</v>
      </c>
      <c r="I578">
        <v>35</v>
      </c>
      <c r="J578" t="s">
        <v>56</v>
      </c>
    </row>
    <row r="579" spans="1:10" x14ac:dyDescent="0.35">
      <c r="A579" s="1">
        <v>45425</v>
      </c>
      <c r="B579" t="s">
        <v>30</v>
      </c>
      <c r="C579" t="s">
        <v>31</v>
      </c>
      <c r="D579" t="s">
        <v>18</v>
      </c>
      <c r="E579" t="s">
        <v>19</v>
      </c>
      <c r="F579" t="s">
        <v>20</v>
      </c>
      <c r="G579">
        <v>1150</v>
      </c>
      <c r="H579">
        <v>1420</v>
      </c>
      <c r="I579">
        <v>23.5</v>
      </c>
      <c r="J579" t="s">
        <v>55</v>
      </c>
    </row>
    <row r="580" spans="1:10" x14ac:dyDescent="0.35">
      <c r="A580" s="1">
        <v>45425</v>
      </c>
      <c r="B580" t="s">
        <v>30</v>
      </c>
      <c r="C580" t="s">
        <v>31</v>
      </c>
      <c r="D580" t="s">
        <v>21</v>
      </c>
      <c r="E580" t="s">
        <v>22</v>
      </c>
      <c r="F580" t="s">
        <v>23</v>
      </c>
      <c r="G580">
        <v>1225</v>
      </c>
      <c r="H580">
        <v>1476</v>
      </c>
      <c r="I580">
        <v>20.5</v>
      </c>
      <c r="J580" t="s">
        <v>55</v>
      </c>
    </row>
    <row r="581" spans="1:10" x14ac:dyDescent="0.35">
      <c r="A581" s="1">
        <v>45425</v>
      </c>
      <c r="B581" t="s">
        <v>30</v>
      </c>
      <c r="C581" t="s">
        <v>31</v>
      </c>
      <c r="D581" t="s">
        <v>24</v>
      </c>
      <c r="E581" t="s">
        <v>25</v>
      </c>
      <c r="F581" t="s">
        <v>17</v>
      </c>
      <c r="G581">
        <v>525</v>
      </c>
      <c r="H581">
        <v>577</v>
      </c>
      <c r="I581">
        <v>9.9</v>
      </c>
      <c r="J581" t="s">
        <v>55</v>
      </c>
    </row>
    <row r="582" spans="1:10" x14ac:dyDescent="0.35">
      <c r="A582" s="1">
        <v>45425</v>
      </c>
      <c r="B582" t="s">
        <v>30</v>
      </c>
      <c r="C582" t="s">
        <v>31</v>
      </c>
      <c r="D582" t="s">
        <v>26</v>
      </c>
      <c r="E582" t="s">
        <v>27</v>
      </c>
      <c r="F582" t="s">
        <v>20</v>
      </c>
      <c r="G582">
        <v>1427</v>
      </c>
      <c r="H582">
        <v>1249</v>
      </c>
      <c r="I582">
        <v>12.5</v>
      </c>
      <c r="J582" t="s">
        <v>56</v>
      </c>
    </row>
    <row r="583" spans="1:10" x14ac:dyDescent="0.35">
      <c r="A583" s="1">
        <v>45425</v>
      </c>
      <c r="B583" t="s">
        <v>30</v>
      </c>
      <c r="C583" t="s">
        <v>31</v>
      </c>
      <c r="D583" t="s">
        <v>28</v>
      </c>
      <c r="E583" t="s">
        <v>29</v>
      </c>
      <c r="F583" t="s">
        <v>23</v>
      </c>
      <c r="G583">
        <v>753</v>
      </c>
      <c r="H583">
        <v>592</v>
      </c>
      <c r="I583">
        <v>21.4</v>
      </c>
      <c r="J583" t="s">
        <v>56</v>
      </c>
    </row>
    <row r="584" spans="1:10" x14ac:dyDescent="0.35">
      <c r="A584" s="1">
        <v>45425</v>
      </c>
      <c r="B584" t="s">
        <v>33</v>
      </c>
      <c r="C584" t="s">
        <v>34</v>
      </c>
      <c r="D584" t="s">
        <v>15</v>
      </c>
      <c r="E584" t="s">
        <v>16</v>
      </c>
      <c r="F584" t="s">
        <v>17</v>
      </c>
      <c r="G584">
        <v>806</v>
      </c>
      <c r="H584">
        <v>574</v>
      </c>
      <c r="I584">
        <v>28.8</v>
      </c>
      <c r="J584" t="s">
        <v>56</v>
      </c>
    </row>
    <row r="585" spans="1:10" x14ac:dyDescent="0.35">
      <c r="A585" s="1">
        <v>45425</v>
      </c>
      <c r="B585" t="s">
        <v>33</v>
      </c>
      <c r="C585" t="s">
        <v>34</v>
      </c>
      <c r="D585" t="s">
        <v>18</v>
      </c>
      <c r="E585" t="s">
        <v>19</v>
      </c>
      <c r="F585" t="s">
        <v>20</v>
      </c>
      <c r="G585">
        <v>406</v>
      </c>
      <c r="H585">
        <v>476</v>
      </c>
      <c r="I585">
        <v>17.2</v>
      </c>
      <c r="J585" t="s">
        <v>55</v>
      </c>
    </row>
    <row r="586" spans="1:10" x14ac:dyDescent="0.35">
      <c r="A586" s="1">
        <v>45425</v>
      </c>
      <c r="B586" t="s">
        <v>33</v>
      </c>
      <c r="C586" t="s">
        <v>34</v>
      </c>
      <c r="D586" t="s">
        <v>21</v>
      </c>
      <c r="E586" t="s">
        <v>22</v>
      </c>
      <c r="F586" t="s">
        <v>23</v>
      </c>
      <c r="G586">
        <v>641</v>
      </c>
      <c r="H586">
        <v>757</v>
      </c>
      <c r="I586">
        <v>18.100000000000001</v>
      </c>
      <c r="J586" t="s">
        <v>55</v>
      </c>
    </row>
    <row r="587" spans="1:10" x14ac:dyDescent="0.35">
      <c r="A587" s="1">
        <v>45425</v>
      </c>
      <c r="B587" t="s">
        <v>33</v>
      </c>
      <c r="C587" t="s">
        <v>34</v>
      </c>
      <c r="D587" t="s">
        <v>24</v>
      </c>
      <c r="E587" t="s">
        <v>25</v>
      </c>
      <c r="F587" t="s">
        <v>17</v>
      </c>
      <c r="G587">
        <v>576</v>
      </c>
      <c r="H587">
        <v>432</v>
      </c>
      <c r="I587">
        <v>25</v>
      </c>
      <c r="J587" t="s">
        <v>56</v>
      </c>
    </row>
    <row r="588" spans="1:10" x14ac:dyDescent="0.35">
      <c r="A588" s="1">
        <v>45425</v>
      </c>
      <c r="B588" t="s">
        <v>33</v>
      </c>
      <c r="C588" t="s">
        <v>34</v>
      </c>
      <c r="D588" t="s">
        <v>26</v>
      </c>
      <c r="E588" t="s">
        <v>27</v>
      </c>
      <c r="F588" t="s">
        <v>20</v>
      </c>
      <c r="G588">
        <v>638</v>
      </c>
      <c r="H588">
        <v>411</v>
      </c>
      <c r="I588">
        <v>35.6</v>
      </c>
      <c r="J588" t="s">
        <v>56</v>
      </c>
    </row>
    <row r="589" spans="1:10" x14ac:dyDescent="0.35">
      <c r="A589" s="1">
        <v>45425</v>
      </c>
      <c r="B589" t="s">
        <v>33</v>
      </c>
      <c r="C589" t="s">
        <v>34</v>
      </c>
      <c r="D589" t="s">
        <v>28</v>
      </c>
      <c r="E589" t="s">
        <v>29</v>
      </c>
      <c r="F589" t="s">
        <v>23</v>
      </c>
      <c r="G589">
        <v>576</v>
      </c>
      <c r="H589">
        <v>654</v>
      </c>
      <c r="I589">
        <v>13.5</v>
      </c>
      <c r="J589" t="s">
        <v>55</v>
      </c>
    </row>
    <row r="590" spans="1:10" x14ac:dyDescent="0.35">
      <c r="A590" s="1">
        <v>45425</v>
      </c>
      <c r="B590" t="s">
        <v>36</v>
      </c>
      <c r="C590" t="s">
        <v>37</v>
      </c>
      <c r="D590" t="s">
        <v>15</v>
      </c>
      <c r="E590" t="s">
        <v>16</v>
      </c>
      <c r="F590" t="s">
        <v>17</v>
      </c>
      <c r="G590">
        <v>441</v>
      </c>
      <c r="H590">
        <v>577</v>
      </c>
      <c r="I590">
        <v>30.8</v>
      </c>
      <c r="J590" t="s">
        <v>55</v>
      </c>
    </row>
    <row r="591" spans="1:10" x14ac:dyDescent="0.35">
      <c r="A591" s="1">
        <v>45425</v>
      </c>
      <c r="B591" t="s">
        <v>36</v>
      </c>
      <c r="C591" t="s">
        <v>37</v>
      </c>
      <c r="D591" t="s">
        <v>18</v>
      </c>
      <c r="E591" t="s">
        <v>19</v>
      </c>
      <c r="F591" t="s">
        <v>20</v>
      </c>
      <c r="G591">
        <v>845</v>
      </c>
      <c r="H591">
        <v>615</v>
      </c>
      <c r="I591">
        <v>27.2</v>
      </c>
      <c r="J591" t="s">
        <v>56</v>
      </c>
    </row>
    <row r="592" spans="1:10" x14ac:dyDescent="0.35">
      <c r="A592" s="1">
        <v>45425</v>
      </c>
      <c r="B592" t="s">
        <v>36</v>
      </c>
      <c r="C592" t="s">
        <v>37</v>
      </c>
      <c r="D592" t="s">
        <v>21</v>
      </c>
      <c r="E592" t="s">
        <v>22</v>
      </c>
      <c r="F592" t="s">
        <v>23</v>
      </c>
      <c r="G592">
        <v>905</v>
      </c>
      <c r="H592">
        <v>1060</v>
      </c>
      <c r="I592">
        <v>17.100000000000001</v>
      </c>
      <c r="J592" t="s">
        <v>55</v>
      </c>
    </row>
    <row r="593" spans="1:10" x14ac:dyDescent="0.35">
      <c r="A593" s="1">
        <v>45425</v>
      </c>
      <c r="B593" t="s">
        <v>36</v>
      </c>
      <c r="C593" t="s">
        <v>37</v>
      </c>
      <c r="D593" t="s">
        <v>24</v>
      </c>
      <c r="E593" t="s">
        <v>25</v>
      </c>
      <c r="F593" t="s">
        <v>17</v>
      </c>
      <c r="G593">
        <v>791</v>
      </c>
      <c r="H593">
        <v>1031</v>
      </c>
      <c r="I593">
        <v>30.3</v>
      </c>
      <c r="J593" t="s">
        <v>55</v>
      </c>
    </row>
    <row r="594" spans="1:10" x14ac:dyDescent="0.35">
      <c r="A594" s="1">
        <v>45425</v>
      </c>
      <c r="B594" t="s">
        <v>36</v>
      </c>
      <c r="C594" t="s">
        <v>37</v>
      </c>
      <c r="D594" t="s">
        <v>26</v>
      </c>
      <c r="E594" t="s">
        <v>27</v>
      </c>
      <c r="F594" t="s">
        <v>20</v>
      </c>
      <c r="G594">
        <v>1035</v>
      </c>
      <c r="H594">
        <v>1134</v>
      </c>
      <c r="I594">
        <v>9.6</v>
      </c>
      <c r="J594" t="s">
        <v>55</v>
      </c>
    </row>
    <row r="595" spans="1:10" x14ac:dyDescent="0.35">
      <c r="A595" s="1">
        <v>45425</v>
      </c>
      <c r="B595" t="s">
        <v>36</v>
      </c>
      <c r="C595" t="s">
        <v>37</v>
      </c>
      <c r="D595" t="s">
        <v>28</v>
      </c>
      <c r="E595" t="s">
        <v>29</v>
      </c>
      <c r="F595" t="s">
        <v>23</v>
      </c>
      <c r="G595">
        <v>764</v>
      </c>
      <c r="H595">
        <v>889</v>
      </c>
      <c r="I595">
        <v>16.399999999999999</v>
      </c>
      <c r="J595" t="s">
        <v>55</v>
      </c>
    </row>
    <row r="596" spans="1:10" x14ac:dyDescent="0.35">
      <c r="A596" s="1">
        <v>45425</v>
      </c>
      <c r="B596" t="s">
        <v>39</v>
      </c>
      <c r="C596" t="s">
        <v>40</v>
      </c>
      <c r="D596" t="s">
        <v>15</v>
      </c>
      <c r="E596" t="s">
        <v>16</v>
      </c>
      <c r="F596" t="s">
        <v>17</v>
      </c>
      <c r="G596">
        <v>1247</v>
      </c>
      <c r="H596">
        <v>1062</v>
      </c>
      <c r="I596">
        <v>14.8</v>
      </c>
      <c r="J596" t="s">
        <v>56</v>
      </c>
    </row>
    <row r="597" spans="1:10" x14ac:dyDescent="0.35">
      <c r="A597" s="1">
        <v>45425</v>
      </c>
      <c r="B597" t="s">
        <v>39</v>
      </c>
      <c r="C597" t="s">
        <v>40</v>
      </c>
      <c r="D597" t="s">
        <v>18</v>
      </c>
      <c r="E597" t="s">
        <v>19</v>
      </c>
      <c r="F597" t="s">
        <v>20</v>
      </c>
      <c r="G597">
        <v>808</v>
      </c>
      <c r="H597">
        <v>700</v>
      </c>
      <c r="I597">
        <v>13.4</v>
      </c>
      <c r="J597" t="s">
        <v>56</v>
      </c>
    </row>
    <row r="598" spans="1:10" x14ac:dyDescent="0.35">
      <c r="A598" s="1">
        <v>45425</v>
      </c>
      <c r="B598" t="s">
        <v>39</v>
      </c>
      <c r="C598" t="s">
        <v>40</v>
      </c>
      <c r="D598" t="s">
        <v>21</v>
      </c>
      <c r="E598" t="s">
        <v>22</v>
      </c>
      <c r="F598" t="s">
        <v>23</v>
      </c>
      <c r="G598">
        <v>1300</v>
      </c>
      <c r="H598">
        <v>1092</v>
      </c>
      <c r="I598">
        <v>16</v>
      </c>
      <c r="J598" t="s">
        <v>56</v>
      </c>
    </row>
    <row r="599" spans="1:10" x14ac:dyDescent="0.35">
      <c r="A599" s="1">
        <v>45425</v>
      </c>
      <c r="B599" t="s">
        <v>39</v>
      </c>
      <c r="C599" t="s">
        <v>40</v>
      </c>
      <c r="D599" t="s">
        <v>24</v>
      </c>
      <c r="E599" t="s">
        <v>25</v>
      </c>
      <c r="F599" t="s">
        <v>17</v>
      </c>
      <c r="G599">
        <v>1585</v>
      </c>
      <c r="H599">
        <v>1884</v>
      </c>
      <c r="I599">
        <v>18.899999999999999</v>
      </c>
      <c r="J599" t="s">
        <v>55</v>
      </c>
    </row>
    <row r="600" spans="1:10" x14ac:dyDescent="0.35">
      <c r="A600" s="1">
        <v>45425</v>
      </c>
      <c r="B600" t="s">
        <v>39</v>
      </c>
      <c r="C600" t="s">
        <v>40</v>
      </c>
      <c r="D600" t="s">
        <v>26</v>
      </c>
      <c r="E600" t="s">
        <v>27</v>
      </c>
      <c r="F600" t="s">
        <v>20</v>
      </c>
      <c r="G600">
        <v>1471</v>
      </c>
      <c r="H600">
        <v>1787</v>
      </c>
      <c r="I600">
        <v>21.5</v>
      </c>
      <c r="J600" t="s">
        <v>55</v>
      </c>
    </row>
    <row r="601" spans="1:10" x14ac:dyDescent="0.35">
      <c r="A601" s="1">
        <v>45425</v>
      </c>
      <c r="B601" t="s">
        <v>39</v>
      </c>
      <c r="C601" t="s">
        <v>40</v>
      </c>
      <c r="D601" t="s">
        <v>28</v>
      </c>
      <c r="E601" t="s">
        <v>29</v>
      </c>
      <c r="F601" t="s">
        <v>23</v>
      </c>
      <c r="G601">
        <v>749</v>
      </c>
      <c r="H601">
        <v>817</v>
      </c>
      <c r="I601">
        <v>9.1</v>
      </c>
      <c r="J601" t="s">
        <v>55</v>
      </c>
    </row>
    <row r="602" spans="1:10" x14ac:dyDescent="0.35">
      <c r="A602" s="1">
        <v>45432</v>
      </c>
      <c r="B602" t="s">
        <v>12</v>
      </c>
      <c r="C602" t="s">
        <v>13</v>
      </c>
      <c r="D602" t="s">
        <v>15</v>
      </c>
      <c r="E602" t="s">
        <v>16</v>
      </c>
      <c r="F602" t="s">
        <v>17</v>
      </c>
      <c r="G602">
        <v>1189</v>
      </c>
      <c r="H602">
        <v>1339</v>
      </c>
      <c r="I602">
        <v>12.6</v>
      </c>
      <c r="J602" t="s">
        <v>55</v>
      </c>
    </row>
    <row r="603" spans="1:10" x14ac:dyDescent="0.35">
      <c r="A603" s="1">
        <v>45432</v>
      </c>
      <c r="B603" t="s">
        <v>12</v>
      </c>
      <c r="C603" t="s">
        <v>13</v>
      </c>
      <c r="D603" t="s">
        <v>18</v>
      </c>
      <c r="E603" t="s">
        <v>19</v>
      </c>
      <c r="F603" t="s">
        <v>20</v>
      </c>
      <c r="G603">
        <v>1288</v>
      </c>
      <c r="H603">
        <v>1525</v>
      </c>
      <c r="I603">
        <v>18.399999999999999</v>
      </c>
      <c r="J603" t="s">
        <v>55</v>
      </c>
    </row>
    <row r="604" spans="1:10" x14ac:dyDescent="0.35">
      <c r="A604" s="1">
        <v>45432</v>
      </c>
      <c r="B604" t="s">
        <v>12</v>
      </c>
      <c r="C604" t="s">
        <v>13</v>
      </c>
      <c r="D604" t="s">
        <v>21</v>
      </c>
      <c r="E604" t="s">
        <v>22</v>
      </c>
      <c r="F604" t="s">
        <v>23</v>
      </c>
      <c r="G604">
        <v>991</v>
      </c>
      <c r="H604">
        <v>1131</v>
      </c>
      <c r="I604">
        <v>14.1</v>
      </c>
      <c r="J604" t="s">
        <v>55</v>
      </c>
    </row>
    <row r="605" spans="1:10" x14ac:dyDescent="0.35">
      <c r="A605" s="1">
        <v>45432</v>
      </c>
      <c r="B605" t="s">
        <v>12</v>
      </c>
      <c r="C605" t="s">
        <v>13</v>
      </c>
      <c r="D605" t="s">
        <v>24</v>
      </c>
      <c r="E605" t="s">
        <v>25</v>
      </c>
      <c r="F605" t="s">
        <v>17</v>
      </c>
      <c r="G605">
        <v>1431</v>
      </c>
      <c r="H605">
        <v>1782</v>
      </c>
      <c r="I605">
        <v>24.5</v>
      </c>
      <c r="J605" t="s">
        <v>55</v>
      </c>
    </row>
    <row r="606" spans="1:10" x14ac:dyDescent="0.35">
      <c r="A606" s="1">
        <v>45432</v>
      </c>
      <c r="B606" t="s">
        <v>12</v>
      </c>
      <c r="C606" t="s">
        <v>13</v>
      </c>
      <c r="D606" t="s">
        <v>26</v>
      </c>
      <c r="E606" t="s">
        <v>27</v>
      </c>
      <c r="F606" t="s">
        <v>20</v>
      </c>
      <c r="G606">
        <v>950</v>
      </c>
      <c r="H606">
        <v>1051</v>
      </c>
      <c r="I606">
        <v>10.6</v>
      </c>
      <c r="J606" t="s">
        <v>55</v>
      </c>
    </row>
    <row r="607" spans="1:10" x14ac:dyDescent="0.35">
      <c r="A607" s="1">
        <v>45432</v>
      </c>
      <c r="B607" t="s">
        <v>12</v>
      </c>
      <c r="C607" t="s">
        <v>13</v>
      </c>
      <c r="D607" t="s">
        <v>28</v>
      </c>
      <c r="E607" t="s">
        <v>29</v>
      </c>
      <c r="F607" t="s">
        <v>23</v>
      </c>
      <c r="G607">
        <v>928</v>
      </c>
      <c r="H607">
        <v>792</v>
      </c>
      <c r="I607">
        <v>14.7</v>
      </c>
      <c r="J607" t="s">
        <v>56</v>
      </c>
    </row>
    <row r="608" spans="1:10" x14ac:dyDescent="0.35">
      <c r="A608" s="1">
        <v>45432</v>
      </c>
      <c r="B608" t="s">
        <v>30</v>
      </c>
      <c r="C608" t="s">
        <v>31</v>
      </c>
      <c r="D608" t="s">
        <v>15</v>
      </c>
      <c r="E608" t="s">
        <v>16</v>
      </c>
      <c r="F608" t="s">
        <v>17</v>
      </c>
      <c r="G608">
        <v>636</v>
      </c>
      <c r="H608">
        <v>785</v>
      </c>
      <c r="I608">
        <v>23.4</v>
      </c>
      <c r="J608" t="s">
        <v>55</v>
      </c>
    </row>
    <row r="609" spans="1:10" x14ac:dyDescent="0.35">
      <c r="A609" s="1">
        <v>45432</v>
      </c>
      <c r="B609" t="s">
        <v>30</v>
      </c>
      <c r="C609" t="s">
        <v>31</v>
      </c>
      <c r="D609" t="s">
        <v>18</v>
      </c>
      <c r="E609" t="s">
        <v>19</v>
      </c>
      <c r="F609" t="s">
        <v>20</v>
      </c>
      <c r="G609">
        <v>1373</v>
      </c>
      <c r="H609">
        <v>1540</v>
      </c>
      <c r="I609">
        <v>12.2</v>
      </c>
      <c r="J609" t="s">
        <v>55</v>
      </c>
    </row>
    <row r="610" spans="1:10" x14ac:dyDescent="0.35">
      <c r="A610" s="1">
        <v>45432</v>
      </c>
      <c r="B610" t="s">
        <v>30</v>
      </c>
      <c r="C610" t="s">
        <v>31</v>
      </c>
      <c r="D610" t="s">
        <v>21</v>
      </c>
      <c r="E610" t="s">
        <v>22</v>
      </c>
      <c r="F610" t="s">
        <v>23</v>
      </c>
      <c r="G610">
        <v>1162</v>
      </c>
      <c r="H610">
        <v>1451</v>
      </c>
      <c r="I610">
        <v>24.9</v>
      </c>
      <c r="J610" t="s">
        <v>55</v>
      </c>
    </row>
    <row r="611" spans="1:10" x14ac:dyDescent="0.35">
      <c r="A611" s="1">
        <v>45432</v>
      </c>
      <c r="B611" t="s">
        <v>30</v>
      </c>
      <c r="C611" t="s">
        <v>31</v>
      </c>
      <c r="D611" t="s">
        <v>24</v>
      </c>
      <c r="E611" t="s">
        <v>25</v>
      </c>
      <c r="F611" t="s">
        <v>17</v>
      </c>
      <c r="G611">
        <v>469</v>
      </c>
      <c r="H611">
        <v>386</v>
      </c>
      <c r="I611">
        <v>17.7</v>
      </c>
      <c r="J611" t="s">
        <v>56</v>
      </c>
    </row>
    <row r="612" spans="1:10" x14ac:dyDescent="0.35">
      <c r="A612" s="1">
        <v>45432</v>
      </c>
      <c r="B612" t="s">
        <v>30</v>
      </c>
      <c r="C612" t="s">
        <v>31</v>
      </c>
      <c r="D612" t="s">
        <v>26</v>
      </c>
      <c r="E612" t="s">
        <v>27</v>
      </c>
      <c r="F612" t="s">
        <v>20</v>
      </c>
      <c r="G612">
        <v>1134</v>
      </c>
      <c r="H612">
        <v>747</v>
      </c>
      <c r="I612">
        <v>34.1</v>
      </c>
      <c r="J612" t="s">
        <v>56</v>
      </c>
    </row>
    <row r="613" spans="1:10" x14ac:dyDescent="0.35">
      <c r="A613" s="1">
        <v>45432</v>
      </c>
      <c r="B613" t="s">
        <v>30</v>
      </c>
      <c r="C613" t="s">
        <v>31</v>
      </c>
      <c r="D613" t="s">
        <v>28</v>
      </c>
      <c r="E613" t="s">
        <v>29</v>
      </c>
      <c r="F613" t="s">
        <v>23</v>
      </c>
      <c r="G613">
        <v>1263</v>
      </c>
      <c r="H613">
        <v>981</v>
      </c>
      <c r="I613">
        <v>22.3</v>
      </c>
      <c r="J613" t="s">
        <v>56</v>
      </c>
    </row>
    <row r="614" spans="1:10" x14ac:dyDescent="0.35">
      <c r="A614" s="1">
        <v>45432</v>
      </c>
      <c r="B614" t="s">
        <v>33</v>
      </c>
      <c r="C614" t="s">
        <v>34</v>
      </c>
      <c r="D614" t="s">
        <v>15</v>
      </c>
      <c r="E614" t="s">
        <v>16</v>
      </c>
      <c r="F614" t="s">
        <v>17</v>
      </c>
      <c r="G614">
        <v>605</v>
      </c>
      <c r="H614">
        <v>522</v>
      </c>
      <c r="I614">
        <v>13.7</v>
      </c>
      <c r="J614" t="s">
        <v>56</v>
      </c>
    </row>
    <row r="615" spans="1:10" x14ac:dyDescent="0.35">
      <c r="A615" s="1">
        <v>45432</v>
      </c>
      <c r="B615" t="s">
        <v>33</v>
      </c>
      <c r="C615" t="s">
        <v>34</v>
      </c>
      <c r="D615" t="s">
        <v>18</v>
      </c>
      <c r="E615" t="s">
        <v>19</v>
      </c>
      <c r="F615" t="s">
        <v>20</v>
      </c>
      <c r="G615">
        <v>733</v>
      </c>
      <c r="H615">
        <v>571</v>
      </c>
      <c r="I615">
        <v>22.1</v>
      </c>
      <c r="J615" t="s">
        <v>56</v>
      </c>
    </row>
    <row r="616" spans="1:10" x14ac:dyDescent="0.35">
      <c r="A616" s="1">
        <v>45432</v>
      </c>
      <c r="B616" t="s">
        <v>33</v>
      </c>
      <c r="C616" t="s">
        <v>34</v>
      </c>
      <c r="D616" t="s">
        <v>21</v>
      </c>
      <c r="E616" t="s">
        <v>22</v>
      </c>
      <c r="F616" t="s">
        <v>23</v>
      </c>
      <c r="G616">
        <v>444</v>
      </c>
      <c r="H616">
        <v>537</v>
      </c>
      <c r="I616">
        <v>20.9</v>
      </c>
      <c r="J616" t="s">
        <v>55</v>
      </c>
    </row>
    <row r="617" spans="1:10" x14ac:dyDescent="0.35">
      <c r="A617" s="1">
        <v>45432</v>
      </c>
      <c r="B617" t="s">
        <v>33</v>
      </c>
      <c r="C617" t="s">
        <v>34</v>
      </c>
      <c r="D617" t="s">
        <v>24</v>
      </c>
      <c r="E617" t="s">
        <v>25</v>
      </c>
      <c r="F617" t="s">
        <v>17</v>
      </c>
      <c r="G617">
        <v>1579</v>
      </c>
      <c r="H617">
        <v>2034</v>
      </c>
      <c r="I617">
        <v>28.8</v>
      </c>
      <c r="J617" t="s">
        <v>55</v>
      </c>
    </row>
    <row r="618" spans="1:10" x14ac:dyDescent="0.35">
      <c r="A618" s="1">
        <v>45432</v>
      </c>
      <c r="B618" t="s">
        <v>33</v>
      </c>
      <c r="C618" t="s">
        <v>34</v>
      </c>
      <c r="D618" t="s">
        <v>26</v>
      </c>
      <c r="E618" t="s">
        <v>27</v>
      </c>
      <c r="F618" t="s">
        <v>20</v>
      </c>
      <c r="G618">
        <v>1369</v>
      </c>
      <c r="H618">
        <v>916</v>
      </c>
      <c r="I618">
        <v>33.1</v>
      </c>
      <c r="J618" t="s">
        <v>56</v>
      </c>
    </row>
    <row r="619" spans="1:10" x14ac:dyDescent="0.35">
      <c r="A619" s="1">
        <v>45432</v>
      </c>
      <c r="B619" t="s">
        <v>33</v>
      </c>
      <c r="C619" t="s">
        <v>34</v>
      </c>
      <c r="D619" t="s">
        <v>28</v>
      </c>
      <c r="E619" t="s">
        <v>29</v>
      </c>
      <c r="F619" t="s">
        <v>23</v>
      </c>
      <c r="G619">
        <v>1164</v>
      </c>
      <c r="H619">
        <v>861</v>
      </c>
      <c r="I619">
        <v>26</v>
      </c>
      <c r="J619" t="s">
        <v>56</v>
      </c>
    </row>
    <row r="620" spans="1:10" x14ac:dyDescent="0.35">
      <c r="A620" s="1">
        <v>45432</v>
      </c>
      <c r="B620" t="s">
        <v>36</v>
      </c>
      <c r="C620" t="s">
        <v>37</v>
      </c>
      <c r="D620" t="s">
        <v>15</v>
      </c>
      <c r="E620" t="s">
        <v>16</v>
      </c>
      <c r="F620" t="s">
        <v>17</v>
      </c>
      <c r="G620">
        <v>1221</v>
      </c>
      <c r="H620">
        <v>1428</v>
      </c>
      <c r="I620">
        <v>17</v>
      </c>
      <c r="J620" t="s">
        <v>55</v>
      </c>
    </row>
    <row r="621" spans="1:10" x14ac:dyDescent="0.35">
      <c r="A621" s="1">
        <v>45432</v>
      </c>
      <c r="B621" t="s">
        <v>36</v>
      </c>
      <c r="C621" t="s">
        <v>37</v>
      </c>
      <c r="D621" t="s">
        <v>18</v>
      </c>
      <c r="E621" t="s">
        <v>19</v>
      </c>
      <c r="F621" t="s">
        <v>20</v>
      </c>
      <c r="G621">
        <v>879</v>
      </c>
      <c r="H621">
        <v>1150</v>
      </c>
      <c r="I621">
        <v>30.8</v>
      </c>
      <c r="J621" t="s">
        <v>55</v>
      </c>
    </row>
    <row r="622" spans="1:10" x14ac:dyDescent="0.35">
      <c r="A622" s="1">
        <v>45432</v>
      </c>
      <c r="B622" t="s">
        <v>36</v>
      </c>
      <c r="C622" t="s">
        <v>37</v>
      </c>
      <c r="D622" t="s">
        <v>21</v>
      </c>
      <c r="E622" t="s">
        <v>22</v>
      </c>
      <c r="F622" t="s">
        <v>23</v>
      </c>
      <c r="G622">
        <v>1438</v>
      </c>
      <c r="H622">
        <v>1276</v>
      </c>
      <c r="I622">
        <v>11.3</v>
      </c>
      <c r="J622" t="s">
        <v>56</v>
      </c>
    </row>
    <row r="623" spans="1:10" x14ac:dyDescent="0.35">
      <c r="A623" s="1">
        <v>45432</v>
      </c>
      <c r="B623" t="s">
        <v>36</v>
      </c>
      <c r="C623" t="s">
        <v>37</v>
      </c>
      <c r="D623" t="s">
        <v>24</v>
      </c>
      <c r="E623" t="s">
        <v>25</v>
      </c>
      <c r="F623" t="s">
        <v>17</v>
      </c>
      <c r="G623">
        <v>951</v>
      </c>
      <c r="H623">
        <v>602</v>
      </c>
      <c r="I623">
        <v>36.700000000000003</v>
      </c>
      <c r="J623" t="s">
        <v>56</v>
      </c>
    </row>
    <row r="624" spans="1:10" x14ac:dyDescent="0.35">
      <c r="A624" s="1">
        <v>45432</v>
      </c>
      <c r="B624" t="s">
        <v>36</v>
      </c>
      <c r="C624" t="s">
        <v>37</v>
      </c>
      <c r="D624" t="s">
        <v>26</v>
      </c>
      <c r="E624" t="s">
        <v>27</v>
      </c>
      <c r="F624" t="s">
        <v>20</v>
      </c>
      <c r="G624">
        <v>458</v>
      </c>
      <c r="H624">
        <v>398</v>
      </c>
      <c r="I624">
        <v>13.1</v>
      </c>
      <c r="J624" t="s">
        <v>56</v>
      </c>
    </row>
    <row r="625" spans="1:10" x14ac:dyDescent="0.35">
      <c r="A625" s="1">
        <v>45432</v>
      </c>
      <c r="B625" t="s">
        <v>36</v>
      </c>
      <c r="C625" t="s">
        <v>37</v>
      </c>
      <c r="D625" t="s">
        <v>28</v>
      </c>
      <c r="E625" t="s">
        <v>29</v>
      </c>
      <c r="F625" t="s">
        <v>23</v>
      </c>
      <c r="G625">
        <v>1015</v>
      </c>
      <c r="H625">
        <v>1366</v>
      </c>
      <c r="I625">
        <v>34.6</v>
      </c>
      <c r="J625" t="s">
        <v>55</v>
      </c>
    </row>
    <row r="626" spans="1:10" x14ac:dyDescent="0.35">
      <c r="A626" s="1">
        <v>45432</v>
      </c>
      <c r="B626" t="s">
        <v>39</v>
      </c>
      <c r="C626" t="s">
        <v>40</v>
      </c>
      <c r="D626" t="s">
        <v>15</v>
      </c>
      <c r="E626" t="s">
        <v>16</v>
      </c>
      <c r="F626" t="s">
        <v>17</v>
      </c>
      <c r="G626">
        <v>1473</v>
      </c>
      <c r="H626">
        <v>1678</v>
      </c>
      <c r="I626">
        <v>13.9</v>
      </c>
      <c r="J626" t="s">
        <v>55</v>
      </c>
    </row>
    <row r="627" spans="1:10" x14ac:dyDescent="0.35">
      <c r="A627" s="1">
        <v>45432</v>
      </c>
      <c r="B627" t="s">
        <v>39</v>
      </c>
      <c r="C627" t="s">
        <v>40</v>
      </c>
      <c r="D627" t="s">
        <v>18</v>
      </c>
      <c r="E627" t="s">
        <v>19</v>
      </c>
      <c r="F627" t="s">
        <v>20</v>
      </c>
      <c r="G627">
        <v>685</v>
      </c>
      <c r="H627">
        <v>603</v>
      </c>
      <c r="I627">
        <v>12</v>
      </c>
      <c r="J627" t="s">
        <v>56</v>
      </c>
    </row>
    <row r="628" spans="1:10" x14ac:dyDescent="0.35">
      <c r="A628" s="1">
        <v>45432</v>
      </c>
      <c r="B628" t="s">
        <v>39</v>
      </c>
      <c r="C628" t="s">
        <v>40</v>
      </c>
      <c r="D628" t="s">
        <v>21</v>
      </c>
      <c r="E628" t="s">
        <v>22</v>
      </c>
      <c r="F628" t="s">
        <v>23</v>
      </c>
      <c r="G628">
        <v>510</v>
      </c>
      <c r="H628">
        <v>320</v>
      </c>
      <c r="I628">
        <v>37.299999999999997</v>
      </c>
      <c r="J628" t="s">
        <v>56</v>
      </c>
    </row>
    <row r="629" spans="1:10" x14ac:dyDescent="0.35">
      <c r="A629" s="1">
        <v>45432</v>
      </c>
      <c r="B629" t="s">
        <v>39</v>
      </c>
      <c r="C629" t="s">
        <v>40</v>
      </c>
      <c r="D629" t="s">
        <v>24</v>
      </c>
      <c r="E629" t="s">
        <v>25</v>
      </c>
      <c r="F629" t="s">
        <v>17</v>
      </c>
      <c r="G629">
        <v>689</v>
      </c>
      <c r="H629">
        <v>468</v>
      </c>
      <c r="I629">
        <v>32.1</v>
      </c>
      <c r="J629" t="s">
        <v>56</v>
      </c>
    </row>
    <row r="630" spans="1:10" x14ac:dyDescent="0.35">
      <c r="A630" s="1">
        <v>45432</v>
      </c>
      <c r="B630" t="s">
        <v>39</v>
      </c>
      <c r="C630" t="s">
        <v>40</v>
      </c>
      <c r="D630" t="s">
        <v>26</v>
      </c>
      <c r="E630" t="s">
        <v>27</v>
      </c>
      <c r="F630" t="s">
        <v>20</v>
      </c>
      <c r="G630">
        <v>738</v>
      </c>
      <c r="H630">
        <v>899</v>
      </c>
      <c r="I630">
        <v>21.8</v>
      </c>
      <c r="J630" t="s">
        <v>55</v>
      </c>
    </row>
    <row r="631" spans="1:10" x14ac:dyDescent="0.35">
      <c r="A631" s="1">
        <v>45432</v>
      </c>
      <c r="B631" t="s">
        <v>39</v>
      </c>
      <c r="C631" t="s">
        <v>40</v>
      </c>
      <c r="D631" t="s">
        <v>28</v>
      </c>
      <c r="E631" t="s">
        <v>29</v>
      </c>
      <c r="F631" t="s">
        <v>23</v>
      </c>
      <c r="G631">
        <v>810</v>
      </c>
      <c r="H631">
        <v>530</v>
      </c>
      <c r="I631">
        <v>34.6</v>
      </c>
      <c r="J631" t="s">
        <v>56</v>
      </c>
    </row>
    <row r="632" spans="1:10" x14ac:dyDescent="0.35">
      <c r="A632" s="1">
        <v>45439</v>
      </c>
      <c r="B632" t="s">
        <v>12</v>
      </c>
      <c r="C632" t="s">
        <v>13</v>
      </c>
      <c r="D632" t="s">
        <v>15</v>
      </c>
      <c r="E632" t="s">
        <v>16</v>
      </c>
      <c r="F632" t="s">
        <v>17</v>
      </c>
      <c r="G632">
        <v>564</v>
      </c>
      <c r="H632">
        <v>640</v>
      </c>
      <c r="I632">
        <v>13.5</v>
      </c>
      <c r="J632" t="s">
        <v>55</v>
      </c>
    </row>
    <row r="633" spans="1:10" x14ac:dyDescent="0.35">
      <c r="A633" s="1">
        <v>45439</v>
      </c>
      <c r="B633" t="s">
        <v>12</v>
      </c>
      <c r="C633" t="s">
        <v>13</v>
      </c>
      <c r="D633" t="s">
        <v>18</v>
      </c>
      <c r="E633" t="s">
        <v>19</v>
      </c>
      <c r="F633" t="s">
        <v>20</v>
      </c>
      <c r="G633">
        <v>1294</v>
      </c>
      <c r="H633">
        <v>1155</v>
      </c>
      <c r="I633">
        <v>10.7</v>
      </c>
      <c r="J633" t="s">
        <v>56</v>
      </c>
    </row>
    <row r="634" spans="1:10" x14ac:dyDescent="0.35">
      <c r="A634" s="1">
        <v>45439</v>
      </c>
      <c r="B634" t="s">
        <v>12</v>
      </c>
      <c r="C634" t="s">
        <v>13</v>
      </c>
      <c r="D634" t="s">
        <v>21</v>
      </c>
      <c r="E634" t="s">
        <v>22</v>
      </c>
      <c r="F634" t="s">
        <v>23</v>
      </c>
      <c r="G634">
        <v>1537</v>
      </c>
      <c r="H634">
        <v>1024</v>
      </c>
      <c r="I634">
        <v>33.4</v>
      </c>
      <c r="J634" t="s">
        <v>56</v>
      </c>
    </row>
    <row r="635" spans="1:10" x14ac:dyDescent="0.35">
      <c r="A635" s="1">
        <v>45439</v>
      </c>
      <c r="B635" t="s">
        <v>12</v>
      </c>
      <c r="C635" t="s">
        <v>13</v>
      </c>
      <c r="D635" t="s">
        <v>24</v>
      </c>
      <c r="E635" t="s">
        <v>25</v>
      </c>
      <c r="F635" t="s">
        <v>17</v>
      </c>
      <c r="G635">
        <v>1377</v>
      </c>
      <c r="H635">
        <v>1201</v>
      </c>
      <c r="I635">
        <v>12.8</v>
      </c>
      <c r="J635" t="s">
        <v>56</v>
      </c>
    </row>
    <row r="636" spans="1:10" x14ac:dyDescent="0.35">
      <c r="A636" s="1">
        <v>45439</v>
      </c>
      <c r="B636" t="s">
        <v>12</v>
      </c>
      <c r="C636" t="s">
        <v>13</v>
      </c>
      <c r="D636" t="s">
        <v>26</v>
      </c>
      <c r="E636" t="s">
        <v>27</v>
      </c>
      <c r="F636" t="s">
        <v>20</v>
      </c>
      <c r="G636">
        <v>1526</v>
      </c>
      <c r="H636">
        <v>1962</v>
      </c>
      <c r="I636">
        <v>28.6</v>
      </c>
      <c r="J636" t="s">
        <v>55</v>
      </c>
    </row>
    <row r="637" spans="1:10" x14ac:dyDescent="0.35">
      <c r="A637" s="1">
        <v>45439</v>
      </c>
      <c r="B637" t="s">
        <v>12</v>
      </c>
      <c r="C637" t="s">
        <v>13</v>
      </c>
      <c r="D637" t="s">
        <v>28</v>
      </c>
      <c r="E637" t="s">
        <v>29</v>
      </c>
      <c r="F637" t="s">
        <v>23</v>
      </c>
      <c r="G637">
        <v>1367</v>
      </c>
      <c r="H637">
        <v>1750</v>
      </c>
      <c r="I637">
        <v>28</v>
      </c>
      <c r="J637" t="s">
        <v>55</v>
      </c>
    </row>
    <row r="638" spans="1:10" x14ac:dyDescent="0.35">
      <c r="A638" s="1">
        <v>45439</v>
      </c>
      <c r="B638" t="s">
        <v>30</v>
      </c>
      <c r="C638" t="s">
        <v>31</v>
      </c>
      <c r="D638" t="s">
        <v>15</v>
      </c>
      <c r="E638" t="s">
        <v>16</v>
      </c>
      <c r="F638" t="s">
        <v>17</v>
      </c>
      <c r="G638">
        <v>897</v>
      </c>
      <c r="H638">
        <v>619</v>
      </c>
      <c r="I638">
        <v>31</v>
      </c>
      <c r="J638" t="s">
        <v>56</v>
      </c>
    </row>
    <row r="639" spans="1:10" x14ac:dyDescent="0.35">
      <c r="A639" s="1">
        <v>45439</v>
      </c>
      <c r="B639" t="s">
        <v>30</v>
      </c>
      <c r="C639" t="s">
        <v>31</v>
      </c>
      <c r="D639" t="s">
        <v>18</v>
      </c>
      <c r="E639" t="s">
        <v>19</v>
      </c>
      <c r="F639" t="s">
        <v>20</v>
      </c>
      <c r="G639">
        <v>663</v>
      </c>
      <c r="H639">
        <v>779</v>
      </c>
      <c r="I639">
        <v>17.5</v>
      </c>
      <c r="J639" t="s">
        <v>55</v>
      </c>
    </row>
    <row r="640" spans="1:10" x14ac:dyDescent="0.35">
      <c r="A640" s="1">
        <v>45439</v>
      </c>
      <c r="B640" t="s">
        <v>30</v>
      </c>
      <c r="C640" t="s">
        <v>31</v>
      </c>
      <c r="D640" t="s">
        <v>21</v>
      </c>
      <c r="E640" t="s">
        <v>22</v>
      </c>
      <c r="F640" t="s">
        <v>23</v>
      </c>
      <c r="G640">
        <v>1218</v>
      </c>
      <c r="H640">
        <v>1597</v>
      </c>
      <c r="I640">
        <v>31.1</v>
      </c>
      <c r="J640" t="s">
        <v>55</v>
      </c>
    </row>
    <row r="641" spans="1:10" x14ac:dyDescent="0.35">
      <c r="A641" s="1">
        <v>45439</v>
      </c>
      <c r="B641" t="s">
        <v>30</v>
      </c>
      <c r="C641" t="s">
        <v>31</v>
      </c>
      <c r="D641" t="s">
        <v>24</v>
      </c>
      <c r="E641" t="s">
        <v>25</v>
      </c>
      <c r="F641" t="s">
        <v>17</v>
      </c>
      <c r="G641">
        <v>1269</v>
      </c>
      <c r="H641">
        <v>1597</v>
      </c>
      <c r="I641">
        <v>25.8</v>
      </c>
      <c r="J641" t="s">
        <v>55</v>
      </c>
    </row>
    <row r="642" spans="1:10" x14ac:dyDescent="0.35">
      <c r="A642" s="1">
        <v>45439</v>
      </c>
      <c r="B642" t="s">
        <v>30</v>
      </c>
      <c r="C642" t="s">
        <v>31</v>
      </c>
      <c r="D642" t="s">
        <v>26</v>
      </c>
      <c r="E642" t="s">
        <v>27</v>
      </c>
      <c r="F642" t="s">
        <v>20</v>
      </c>
      <c r="G642">
        <v>1110</v>
      </c>
      <c r="H642">
        <v>1361</v>
      </c>
      <c r="I642">
        <v>22.6</v>
      </c>
      <c r="J642" t="s">
        <v>55</v>
      </c>
    </row>
    <row r="643" spans="1:10" x14ac:dyDescent="0.35">
      <c r="A643" s="1">
        <v>45439</v>
      </c>
      <c r="B643" t="s">
        <v>30</v>
      </c>
      <c r="C643" t="s">
        <v>31</v>
      </c>
      <c r="D643" t="s">
        <v>28</v>
      </c>
      <c r="E643" t="s">
        <v>29</v>
      </c>
      <c r="F643" t="s">
        <v>23</v>
      </c>
      <c r="G643">
        <v>455</v>
      </c>
      <c r="H643">
        <v>521</v>
      </c>
      <c r="I643">
        <v>14.5</v>
      </c>
      <c r="J643" t="s">
        <v>55</v>
      </c>
    </row>
    <row r="644" spans="1:10" x14ac:dyDescent="0.35">
      <c r="A644" s="1">
        <v>45439</v>
      </c>
      <c r="B644" t="s">
        <v>33</v>
      </c>
      <c r="C644" t="s">
        <v>34</v>
      </c>
      <c r="D644" t="s">
        <v>15</v>
      </c>
      <c r="E644" t="s">
        <v>16</v>
      </c>
      <c r="F644" t="s">
        <v>17</v>
      </c>
      <c r="G644">
        <v>881</v>
      </c>
      <c r="H644">
        <v>712</v>
      </c>
      <c r="I644">
        <v>19.2</v>
      </c>
      <c r="J644" t="s">
        <v>56</v>
      </c>
    </row>
    <row r="645" spans="1:10" x14ac:dyDescent="0.35">
      <c r="A645" s="1">
        <v>45439</v>
      </c>
      <c r="B645" t="s">
        <v>33</v>
      </c>
      <c r="C645" t="s">
        <v>34</v>
      </c>
      <c r="D645" t="s">
        <v>18</v>
      </c>
      <c r="E645" t="s">
        <v>19</v>
      </c>
      <c r="F645" t="s">
        <v>20</v>
      </c>
      <c r="G645">
        <v>403</v>
      </c>
      <c r="H645">
        <v>509</v>
      </c>
      <c r="I645">
        <v>26.3</v>
      </c>
      <c r="J645" t="s">
        <v>55</v>
      </c>
    </row>
    <row r="646" spans="1:10" x14ac:dyDescent="0.35">
      <c r="A646" s="1">
        <v>45439</v>
      </c>
      <c r="B646" t="s">
        <v>33</v>
      </c>
      <c r="C646" t="s">
        <v>34</v>
      </c>
      <c r="D646" t="s">
        <v>21</v>
      </c>
      <c r="E646" t="s">
        <v>22</v>
      </c>
      <c r="F646" t="s">
        <v>23</v>
      </c>
      <c r="G646">
        <v>558</v>
      </c>
      <c r="H646">
        <v>405</v>
      </c>
      <c r="I646">
        <v>27.4</v>
      </c>
      <c r="J646" t="s">
        <v>56</v>
      </c>
    </row>
    <row r="647" spans="1:10" x14ac:dyDescent="0.35">
      <c r="A647" s="1">
        <v>45439</v>
      </c>
      <c r="B647" t="s">
        <v>33</v>
      </c>
      <c r="C647" t="s">
        <v>34</v>
      </c>
      <c r="D647" t="s">
        <v>24</v>
      </c>
      <c r="E647" t="s">
        <v>25</v>
      </c>
      <c r="F647" t="s">
        <v>17</v>
      </c>
      <c r="G647">
        <v>784</v>
      </c>
      <c r="H647">
        <v>710</v>
      </c>
      <c r="I647">
        <v>9.4</v>
      </c>
      <c r="J647" t="s">
        <v>56</v>
      </c>
    </row>
    <row r="648" spans="1:10" x14ac:dyDescent="0.35">
      <c r="A648" s="1">
        <v>45439</v>
      </c>
      <c r="B648" t="s">
        <v>33</v>
      </c>
      <c r="C648" t="s">
        <v>34</v>
      </c>
      <c r="D648" t="s">
        <v>26</v>
      </c>
      <c r="E648" t="s">
        <v>27</v>
      </c>
      <c r="F648" t="s">
        <v>20</v>
      </c>
      <c r="G648">
        <v>590</v>
      </c>
      <c r="H648">
        <v>697</v>
      </c>
      <c r="I648">
        <v>18.100000000000001</v>
      </c>
      <c r="J648" t="s">
        <v>55</v>
      </c>
    </row>
    <row r="649" spans="1:10" x14ac:dyDescent="0.35">
      <c r="A649" s="1">
        <v>45439</v>
      </c>
      <c r="B649" t="s">
        <v>33</v>
      </c>
      <c r="C649" t="s">
        <v>34</v>
      </c>
      <c r="D649" t="s">
        <v>28</v>
      </c>
      <c r="E649" t="s">
        <v>29</v>
      </c>
      <c r="F649" t="s">
        <v>23</v>
      </c>
      <c r="G649">
        <v>1271</v>
      </c>
      <c r="H649">
        <v>1111</v>
      </c>
      <c r="I649">
        <v>12.6</v>
      </c>
      <c r="J649" t="s">
        <v>56</v>
      </c>
    </row>
    <row r="650" spans="1:10" x14ac:dyDescent="0.35">
      <c r="A650" s="1">
        <v>45439</v>
      </c>
      <c r="B650" t="s">
        <v>36</v>
      </c>
      <c r="C650" t="s">
        <v>37</v>
      </c>
      <c r="D650" t="s">
        <v>15</v>
      </c>
      <c r="E650" t="s">
        <v>16</v>
      </c>
      <c r="F650" t="s">
        <v>17</v>
      </c>
      <c r="G650">
        <v>1384</v>
      </c>
      <c r="H650">
        <v>1509</v>
      </c>
      <c r="I650">
        <v>9</v>
      </c>
      <c r="J650" t="s">
        <v>55</v>
      </c>
    </row>
    <row r="651" spans="1:10" x14ac:dyDescent="0.35">
      <c r="A651" s="1">
        <v>45439</v>
      </c>
      <c r="B651" t="s">
        <v>36</v>
      </c>
      <c r="C651" t="s">
        <v>37</v>
      </c>
      <c r="D651" t="s">
        <v>18</v>
      </c>
      <c r="E651" t="s">
        <v>19</v>
      </c>
      <c r="F651" t="s">
        <v>20</v>
      </c>
      <c r="G651">
        <v>1263</v>
      </c>
      <c r="H651">
        <v>1093</v>
      </c>
      <c r="I651">
        <v>13.5</v>
      </c>
      <c r="J651" t="s">
        <v>56</v>
      </c>
    </row>
    <row r="652" spans="1:10" x14ac:dyDescent="0.35">
      <c r="A652" s="1">
        <v>45439</v>
      </c>
      <c r="B652" t="s">
        <v>36</v>
      </c>
      <c r="C652" t="s">
        <v>37</v>
      </c>
      <c r="D652" t="s">
        <v>21</v>
      </c>
      <c r="E652" t="s">
        <v>22</v>
      </c>
      <c r="F652" t="s">
        <v>23</v>
      </c>
      <c r="G652">
        <v>1459</v>
      </c>
      <c r="H652">
        <v>977</v>
      </c>
      <c r="I652">
        <v>33</v>
      </c>
      <c r="J652" t="s">
        <v>56</v>
      </c>
    </row>
    <row r="653" spans="1:10" x14ac:dyDescent="0.35">
      <c r="A653" s="1">
        <v>45439</v>
      </c>
      <c r="B653" t="s">
        <v>36</v>
      </c>
      <c r="C653" t="s">
        <v>37</v>
      </c>
      <c r="D653" t="s">
        <v>24</v>
      </c>
      <c r="E653" t="s">
        <v>25</v>
      </c>
      <c r="F653" t="s">
        <v>17</v>
      </c>
      <c r="G653">
        <v>569</v>
      </c>
      <c r="H653">
        <v>673</v>
      </c>
      <c r="I653">
        <v>18.3</v>
      </c>
      <c r="J653" t="s">
        <v>55</v>
      </c>
    </row>
    <row r="654" spans="1:10" x14ac:dyDescent="0.35">
      <c r="A654" s="1">
        <v>45439</v>
      </c>
      <c r="B654" t="s">
        <v>36</v>
      </c>
      <c r="C654" t="s">
        <v>37</v>
      </c>
      <c r="D654" t="s">
        <v>26</v>
      </c>
      <c r="E654" t="s">
        <v>27</v>
      </c>
      <c r="F654" t="s">
        <v>20</v>
      </c>
      <c r="G654">
        <v>1228</v>
      </c>
      <c r="H654">
        <v>833</v>
      </c>
      <c r="I654">
        <v>32.200000000000003</v>
      </c>
      <c r="J654" t="s">
        <v>56</v>
      </c>
    </row>
    <row r="655" spans="1:10" x14ac:dyDescent="0.35">
      <c r="A655" s="1">
        <v>45439</v>
      </c>
      <c r="B655" t="s">
        <v>36</v>
      </c>
      <c r="C655" t="s">
        <v>37</v>
      </c>
      <c r="D655" t="s">
        <v>28</v>
      </c>
      <c r="E655" t="s">
        <v>29</v>
      </c>
      <c r="F655" t="s">
        <v>23</v>
      </c>
      <c r="G655">
        <v>1053</v>
      </c>
      <c r="H655">
        <v>1177</v>
      </c>
      <c r="I655">
        <v>11.8</v>
      </c>
      <c r="J655" t="s">
        <v>55</v>
      </c>
    </row>
    <row r="656" spans="1:10" x14ac:dyDescent="0.35">
      <c r="A656" s="1">
        <v>45439</v>
      </c>
      <c r="B656" t="s">
        <v>39</v>
      </c>
      <c r="C656" t="s">
        <v>40</v>
      </c>
      <c r="D656" t="s">
        <v>15</v>
      </c>
      <c r="E656" t="s">
        <v>16</v>
      </c>
      <c r="F656" t="s">
        <v>17</v>
      </c>
      <c r="G656">
        <v>1331</v>
      </c>
      <c r="H656">
        <v>1442</v>
      </c>
      <c r="I656">
        <v>8.3000000000000007</v>
      </c>
      <c r="J656" t="s">
        <v>55</v>
      </c>
    </row>
    <row r="657" spans="1:10" x14ac:dyDescent="0.35">
      <c r="A657" s="1">
        <v>45439</v>
      </c>
      <c r="B657" t="s">
        <v>39</v>
      </c>
      <c r="C657" t="s">
        <v>40</v>
      </c>
      <c r="D657" t="s">
        <v>18</v>
      </c>
      <c r="E657" t="s">
        <v>19</v>
      </c>
      <c r="F657" t="s">
        <v>20</v>
      </c>
      <c r="G657">
        <v>1222</v>
      </c>
      <c r="H657">
        <v>969</v>
      </c>
      <c r="I657">
        <v>20.7</v>
      </c>
      <c r="J657" t="s">
        <v>56</v>
      </c>
    </row>
    <row r="658" spans="1:10" x14ac:dyDescent="0.35">
      <c r="A658" s="1">
        <v>45439</v>
      </c>
      <c r="B658" t="s">
        <v>39</v>
      </c>
      <c r="C658" t="s">
        <v>40</v>
      </c>
      <c r="D658" t="s">
        <v>21</v>
      </c>
      <c r="E658" t="s">
        <v>22</v>
      </c>
      <c r="F658" t="s">
        <v>23</v>
      </c>
      <c r="G658">
        <v>1270</v>
      </c>
      <c r="H658">
        <v>1470</v>
      </c>
      <c r="I658">
        <v>15.7</v>
      </c>
      <c r="J658" t="s">
        <v>55</v>
      </c>
    </row>
    <row r="659" spans="1:10" x14ac:dyDescent="0.35">
      <c r="A659" s="1">
        <v>45439</v>
      </c>
      <c r="B659" t="s">
        <v>39</v>
      </c>
      <c r="C659" t="s">
        <v>40</v>
      </c>
      <c r="D659" t="s">
        <v>24</v>
      </c>
      <c r="E659" t="s">
        <v>25</v>
      </c>
      <c r="F659" t="s">
        <v>17</v>
      </c>
      <c r="G659">
        <v>1322</v>
      </c>
      <c r="H659">
        <v>1626</v>
      </c>
      <c r="I659">
        <v>23</v>
      </c>
      <c r="J659" t="s">
        <v>55</v>
      </c>
    </row>
    <row r="660" spans="1:10" x14ac:dyDescent="0.35">
      <c r="A660" s="1">
        <v>45439</v>
      </c>
      <c r="B660" t="s">
        <v>39</v>
      </c>
      <c r="C660" t="s">
        <v>40</v>
      </c>
      <c r="D660" t="s">
        <v>26</v>
      </c>
      <c r="E660" t="s">
        <v>27</v>
      </c>
      <c r="F660" t="s">
        <v>20</v>
      </c>
      <c r="G660">
        <v>1086</v>
      </c>
      <c r="H660">
        <v>1447</v>
      </c>
      <c r="I660">
        <v>33.200000000000003</v>
      </c>
      <c r="J660" t="s">
        <v>55</v>
      </c>
    </row>
    <row r="661" spans="1:10" x14ac:dyDescent="0.35">
      <c r="A661" s="1">
        <v>45439</v>
      </c>
      <c r="B661" t="s">
        <v>39</v>
      </c>
      <c r="C661" t="s">
        <v>40</v>
      </c>
      <c r="D661" t="s">
        <v>28</v>
      </c>
      <c r="E661" t="s">
        <v>29</v>
      </c>
      <c r="F661" t="s">
        <v>23</v>
      </c>
      <c r="G661">
        <v>628</v>
      </c>
      <c r="H661">
        <v>826</v>
      </c>
      <c r="I661">
        <v>31.5</v>
      </c>
      <c r="J661" t="s">
        <v>55</v>
      </c>
    </row>
    <row r="662" spans="1:10" x14ac:dyDescent="0.35">
      <c r="A662" s="1">
        <v>45446</v>
      </c>
      <c r="B662" t="s">
        <v>12</v>
      </c>
      <c r="C662" t="s">
        <v>13</v>
      </c>
      <c r="D662" t="s">
        <v>15</v>
      </c>
      <c r="E662" t="s">
        <v>16</v>
      </c>
      <c r="F662" t="s">
        <v>17</v>
      </c>
      <c r="G662">
        <v>1488</v>
      </c>
      <c r="H662">
        <v>1946</v>
      </c>
      <c r="I662">
        <v>30.8</v>
      </c>
      <c r="J662" t="s">
        <v>55</v>
      </c>
    </row>
    <row r="663" spans="1:10" x14ac:dyDescent="0.35">
      <c r="A663" s="1">
        <v>45446</v>
      </c>
      <c r="B663" t="s">
        <v>12</v>
      </c>
      <c r="C663" t="s">
        <v>13</v>
      </c>
      <c r="D663" t="s">
        <v>18</v>
      </c>
      <c r="E663" t="s">
        <v>19</v>
      </c>
      <c r="F663" t="s">
        <v>20</v>
      </c>
      <c r="G663">
        <v>563</v>
      </c>
      <c r="H663">
        <v>492</v>
      </c>
      <c r="I663">
        <v>12.6</v>
      </c>
      <c r="J663" t="s">
        <v>56</v>
      </c>
    </row>
    <row r="664" spans="1:10" x14ac:dyDescent="0.35">
      <c r="A664" s="1">
        <v>45446</v>
      </c>
      <c r="B664" t="s">
        <v>12</v>
      </c>
      <c r="C664" t="s">
        <v>13</v>
      </c>
      <c r="D664" t="s">
        <v>21</v>
      </c>
      <c r="E664" t="s">
        <v>22</v>
      </c>
      <c r="F664" t="s">
        <v>23</v>
      </c>
      <c r="G664">
        <v>928</v>
      </c>
      <c r="H664">
        <v>1057</v>
      </c>
      <c r="I664">
        <v>13.9</v>
      </c>
      <c r="J664" t="s">
        <v>55</v>
      </c>
    </row>
    <row r="665" spans="1:10" x14ac:dyDescent="0.35">
      <c r="A665" s="1">
        <v>45446</v>
      </c>
      <c r="B665" t="s">
        <v>12</v>
      </c>
      <c r="C665" t="s">
        <v>13</v>
      </c>
      <c r="D665" t="s">
        <v>24</v>
      </c>
      <c r="E665" t="s">
        <v>25</v>
      </c>
      <c r="F665" t="s">
        <v>17</v>
      </c>
      <c r="G665">
        <v>1331</v>
      </c>
      <c r="H665">
        <v>1050</v>
      </c>
      <c r="I665">
        <v>21.1</v>
      </c>
      <c r="J665" t="s">
        <v>56</v>
      </c>
    </row>
    <row r="666" spans="1:10" x14ac:dyDescent="0.35">
      <c r="A666" s="1">
        <v>45446</v>
      </c>
      <c r="B666" t="s">
        <v>12</v>
      </c>
      <c r="C666" t="s">
        <v>13</v>
      </c>
      <c r="D666" t="s">
        <v>26</v>
      </c>
      <c r="E666" t="s">
        <v>27</v>
      </c>
      <c r="F666" t="s">
        <v>20</v>
      </c>
      <c r="G666">
        <v>481</v>
      </c>
      <c r="H666">
        <v>424</v>
      </c>
      <c r="I666">
        <v>11.9</v>
      </c>
      <c r="J666" t="s">
        <v>56</v>
      </c>
    </row>
    <row r="667" spans="1:10" x14ac:dyDescent="0.35">
      <c r="A667" s="1">
        <v>45446</v>
      </c>
      <c r="B667" t="s">
        <v>12</v>
      </c>
      <c r="C667" t="s">
        <v>13</v>
      </c>
      <c r="D667" t="s">
        <v>28</v>
      </c>
      <c r="E667" t="s">
        <v>29</v>
      </c>
      <c r="F667" t="s">
        <v>23</v>
      </c>
      <c r="G667">
        <v>1151</v>
      </c>
      <c r="H667">
        <v>1260</v>
      </c>
      <c r="I667">
        <v>9.5</v>
      </c>
      <c r="J667" t="s">
        <v>55</v>
      </c>
    </row>
    <row r="668" spans="1:10" x14ac:dyDescent="0.35">
      <c r="A668" s="1">
        <v>45446</v>
      </c>
      <c r="B668" t="s">
        <v>30</v>
      </c>
      <c r="C668" t="s">
        <v>31</v>
      </c>
      <c r="D668" t="s">
        <v>15</v>
      </c>
      <c r="E668" t="s">
        <v>16</v>
      </c>
      <c r="F668" t="s">
        <v>17</v>
      </c>
      <c r="G668">
        <v>1156</v>
      </c>
      <c r="H668">
        <v>976</v>
      </c>
      <c r="I668">
        <v>15.6</v>
      </c>
      <c r="J668" t="s">
        <v>56</v>
      </c>
    </row>
    <row r="669" spans="1:10" x14ac:dyDescent="0.35">
      <c r="A669" s="1">
        <v>45446</v>
      </c>
      <c r="B669" t="s">
        <v>30</v>
      </c>
      <c r="C669" t="s">
        <v>31</v>
      </c>
      <c r="D669" t="s">
        <v>18</v>
      </c>
      <c r="E669" t="s">
        <v>19</v>
      </c>
      <c r="F669" t="s">
        <v>20</v>
      </c>
      <c r="G669">
        <v>1006</v>
      </c>
      <c r="H669">
        <v>694</v>
      </c>
      <c r="I669">
        <v>31</v>
      </c>
      <c r="J669" t="s">
        <v>56</v>
      </c>
    </row>
    <row r="670" spans="1:10" x14ac:dyDescent="0.35">
      <c r="A670" s="1">
        <v>45446</v>
      </c>
      <c r="B670" t="s">
        <v>30</v>
      </c>
      <c r="C670" t="s">
        <v>31</v>
      </c>
      <c r="D670" t="s">
        <v>21</v>
      </c>
      <c r="E670" t="s">
        <v>22</v>
      </c>
      <c r="F670" t="s">
        <v>23</v>
      </c>
      <c r="G670">
        <v>947</v>
      </c>
      <c r="H670">
        <v>820</v>
      </c>
      <c r="I670">
        <v>13.4</v>
      </c>
      <c r="J670" t="s">
        <v>56</v>
      </c>
    </row>
    <row r="671" spans="1:10" x14ac:dyDescent="0.35">
      <c r="A671" s="1">
        <v>45446</v>
      </c>
      <c r="B671" t="s">
        <v>30</v>
      </c>
      <c r="C671" t="s">
        <v>31</v>
      </c>
      <c r="D671" t="s">
        <v>24</v>
      </c>
      <c r="E671" t="s">
        <v>25</v>
      </c>
      <c r="F671" t="s">
        <v>17</v>
      </c>
      <c r="G671">
        <v>435</v>
      </c>
      <c r="H671">
        <v>341</v>
      </c>
      <c r="I671">
        <v>21.6</v>
      </c>
      <c r="J671" t="s">
        <v>56</v>
      </c>
    </row>
    <row r="672" spans="1:10" x14ac:dyDescent="0.35">
      <c r="A672" s="1">
        <v>45446</v>
      </c>
      <c r="B672" t="s">
        <v>30</v>
      </c>
      <c r="C672" t="s">
        <v>31</v>
      </c>
      <c r="D672" t="s">
        <v>26</v>
      </c>
      <c r="E672" t="s">
        <v>27</v>
      </c>
      <c r="F672" t="s">
        <v>20</v>
      </c>
      <c r="G672">
        <v>472</v>
      </c>
      <c r="H672">
        <v>349</v>
      </c>
      <c r="I672">
        <v>26.1</v>
      </c>
      <c r="J672" t="s">
        <v>56</v>
      </c>
    </row>
    <row r="673" spans="1:10" x14ac:dyDescent="0.35">
      <c r="A673" s="1">
        <v>45446</v>
      </c>
      <c r="B673" t="s">
        <v>30</v>
      </c>
      <c r="C673" t="s">
        <v>31</v>
      </c>
      <c r="D673" t="s">
        <v>28</v>
      </c>
      <c r="E673" t="s">
        <v>29</v>
      </c>
      <c r="F673" t="s">
        <v>23</v>
      </c>
      <c r="G673">
        <v>474</v>
      </c>
      <c r="H673">
        <v>360</v>
      </c>
      <c r="I673">
        <v>24.1</v>
      </c>
      <c r="J673" t="s">
        <v>56</v>
      </c>
    </row>
    <row r="674" spans="1:10" x14ac:dyDescent="0.35">
      <c r="A674" s="1">
        <v>45446</v>
      </c>
      <c r="B674" t="s">
        <v>33</v>
      </c>
      <c r="C674" t="s">
        <v>34</v>
      </c>
      <c r="D674" t="s">
        <v>15</v>
      </c>
      <c r="E674" t="s">
        <v>16</v>
      </c>
      <c r="F674" t="s">
        <v>17</v>
      </c>
      <c r="G674">
        <v>758</v>
      </c>
      <c r="H674">
        <v>678</v>
      </c>
      <c r="I674">
        <v>10.6</v>
      </c>
      <c r="J674" t="s">
        <v>56</v>
      </c>
    </row>
    <row r="675" spans="1:10" x14ac:dyDescent="0.35">
      <c r="A675" s="1">
        <v>45446</v>
      </c>
      <c r="B675" t="s">
        <v>33</v>
      </c>
      <c r="C675" t="s">
        <v>34</v>
      </c>
      <c r="D675" t="s">
        <v>18</v>
      </c>
      <c r="E675" t="s">
        <v>19</v>
      </c>
      <c r="F675" t="s">
        <v>20</v>
      </c>
      <c r="G675">
        <v>696</v>
      </c>
      <c r="H675">
        <v>508</v>
      </c>
      <c r="I675">
        <v>27</v>
      </c>
      <c r="J675" t="s">
        <v>56</v>
      </c>
    </row>
    <row r="676" spans="1:10" x14ac:dyDescent="0.35">
      <c r="A676" s="1">
        <v>45446</v>
      </c>
      <c r="B676" t="s">
        <v>33</v>
      </c>
      <c r="C676" t="s">
        <v>34</v>
      </c>
      <c r="D676" t="s">
        <v>21</v>
      </c>
      <c r="E676" t="s">
        <v>22</v>
      </c>
      <c r="F676" t="s">
        <v>23</v>
      </c>
      <c r="G676">
        <v>962</v>
      </c>
      <c r="H676">
        <v>785</v>
      </c>
      <c r="I676">
        <v>18.399999999999999</v>
      </c>
      <c r="J676" t="s">
        <v>56</v>
      </c>
    </row>
    <row r="677" spans="1:10" x14ac:dyDescent="0.35">
      <c r="A677" s="1">
        <v>45446</v>
      </c>
      <c r="B677" t="s">
        <v>33</v>
      </c>
      <c r="C677" t="s">
        <v>34</v>
      </c>
      <c r="D677" t="s">
        <v>24</v>
      </c>
      <c r="E677" t="s">
        <v>25</v>
      </c>
      <c r="F677" t="s">
        <v>17</v>
      </c>
      <c r="G677">
        <v>899</v>
      </c>
      <c r="H677">
        <v>1218</v>
      </c>
      <c r="I677">
        <v>35.5</v>
      </c>
      <c r="J677" t="s">
        <v>55</v>
      </c>
    </row>
    <row r="678" spans="1:10" x14ac:dyDescent="0.35">
      <c r="A678" s="1">
        <v>45446</v>
      </c>
      <c r="B678" t="s">
        <v>33</v>
      </c>
      <c r="C678" t="s">
        <v>34</v>
      </c>
      <c r="D678" t="s">
        <v>26</v>
      </c>
      <c r="E678" t="s">
        <v>27</v>
      </c>
      <c r="F678" t="s">
        <v>20</v>
      </c>
      <c r="G678">
        <v>1472</v>
      </c>
      <c r="H678">
        <v>1102</v>
      </c>
      <c r="I678">
        <v>25.1</v>
      </c>
      <c r="J678" t="s">
        <v>56</v>
      </c>
    </row>
    <row r="679" spans="1:10" x14ac:dyDescent="0.35">
      <c r="A679" s="1">
        <v>45446</v>
      </c>
      <c r="B679" t="s">
        <v>33</v>
      </c>
      <c r="C679" t="s">
        <v>34</v>
      </c>
      <c r="D679" t="s">
        <v>28</v>
      </c>
      <c r="E679" t="s">
        <v>29</v>
      </c>
      <c r="F679" t="s">
        <v>23</v>
      </c>
      <c r="G679">
        <v>1068</v>
      </c>
      <c r="H679">
        <v>863</v>
      </c>
      <c r="I679">
        <v>19.2</v>
      </c>
      <c r="J679" t="s">
        <v>56</v>
      </c>
    </row>
    <row r="680" spans="1:10" x14ac:dyDescent="0.35">
      <c r="A680" s="1">
        <v>45446</v>
      </c>
      <c r="B680" t="s">
        <v>36</v>
      </c>
      <c r="C680" t="s">
        <v>37</v>
      </c>
      <c r="D680" t="s">
        <v>15</v>
      </c>
      <c r="E680" t="s">
        <v>16</v>
      </c>
      <c r="F680" t="s">
        <v>17</v>
      </c>
      <c r="G680">
        <v>607</v>
      </c>
      <c r="H680">
        <v>725</v>
      </c>
      <c r="I680">
        <v>19.399999999999999</v>
      </c>
      <c r="J680" t="s">
        <v>55</v>
      </c>
    </row>
    <row r="681" spans="1:10" x14ac:dyDescent="0.35">
      <c r="A681" s="1">
        <v>45446</v>
      </c>
      <c r="B681" t="s">
        <v>36</v>
      </c>
      <c r="C681" t="s">
        <v>37</v>
      </c>
      <c r="D681" t="s">
        <v>18</v>
      </c>
      <c r="E681" t="s">
        <v>19</v>
      </c>
      <c r="F681" t="s">
        <v>20</v>
      </c>
      <c r="G681">
        <v>561</v>
      </c>
      <c r="H681">
        <v>662</v>
      </c>
      <c r="I681">
        <v>18</v>
      </c>
      <c r="J681" t="s">
        <v>55</v>
      </c>
    </row>
    <row r="682" spans="1:10" x14ac:dyDescent="0.35">
      <c r="A682" s="1">
        <v>45446</v>
      </c>
      <c r="B682" t="s">
        <v>36</v>
      </c>
      <c r="C682" t="s">
        <v>37</v>
      </c>
      <c r="D682" t="s">
        <v>21</v>
      </c>
      <c r="E682" t="s">
        <v>22</v>
      </c>
      <c r="F682" t="s">
        <v>23</v>
      </c>
      <c r="G682">
        <v>1018</v>
      </c>
      <c r="H682">
        <v>807</v>
      </c>
      <c r="I682">
        <v>20.7</v>
      </c>
      <c r="J682" t="s">
        <v>56</v>
      </c>
    </row>
    <row r="683" spans="1:10" x14ac:dyDescent="0.35">
      <c r="A683" s="1">
        <v>45446</v>
      </c>
      <c r="B683" t="s">
        <v>36</v>
      </c>
      <c r="C683" t="s">
        <v>37</v>
      </c>
      <c r="D683" t="s">
        <v>24</v>
      </c>
      <c r="E683" t="s">
        <v>25</v>
      </c>
      <c r="F683" t="s">
        <v>17</v>
      </c>
      <c r="G683">
        <v>926</v>
      </c>
      <c r="H683">
        <v>1200</v>
      </c>
      <c r="I683">
        <v>29.6</v>
      </c>
      <c r="J683" t="s">
        <v>55</v>
      </c>
    </row>
    <row r="684" spans="1:10" x14ac:dyDescent="0.35">
      <c r="A684" s="1">
        <v>45446</v>
      </c>
      <c r="B684" t="s">
        <v>36</v>
      </c>
      <c r="C684" t="s">
        <v>37</v>
      </c>
      <c r="D684" t="s">
        <v>26</v>
      </c>
      <c r="E684" t="s">
        <v>27</v>
      </c>
      <c r="F684" t="s">
        <v>20</v>
      </c>
      <c r="G684">
        <v>562</v>
      </c>
      <c r="H684">
        <v>375</v>
      </c>
      <c r="I684">
        <v>33.299999999999997</v>
      </c>
      <c r="J684" t="s">
        <v>56</v>
      </c>
    </row>
    <row r="685" spans="1:10" x14ac:dyDescent="0.35">
      <c r="A685" s="1">
        <v>45446</v>
      </c>
      <c r="B685" t="s">
        <v>36</v>
      </c>
      <c r="C685" t="s">
        <v>37</v>
      </c>
      <c r="D685" t="s">
        <v>28</v>
      </c>
      <c r="E685" t="s">
        <v>29</v>
      </c>
      <c r="F685" t="s">
        <v>23</v>
      </c>
      <c r="G685">
        <v>638</v>
      </c>
      <c r="H685">
        <v>840</v>
      </c>
      <c r="I685">
        <v>31.7</v>
      </c>
      <c r="J685" t="s">
        <v>55</v>
      </c>
    </row>
    <row r="686" spans="1:10" x14ac:dyDescent="0.35">
      <c r="A686" s="1">
        <v>45446</v>
      </c>
      <c r="B686" t="s">
        <v>39</v>
      </c>
      <c r="C686" t="s">
        <v>40</v>
      </c>
      <c r="D686" t="s">
        <v>15</v>
      </c>
      <c r="E686" t="s">
        <v>16</v>
      </c>
      <c r="F686" t="s">
        <v>17</v>
      </c>
      <c r="G686">
        <v>1020</v>
      </c>
      <c r="H686">
        <v>1289</v>
      </c>
      <c r="I686">
        <v>26.4</v>
      </c>
      <c r="J686" t="s">
        <v>55</v>
      </c>
    </row>
    <row r="687" spans="1:10" x14ac:dyDescent="0.35">
      <c r="A687" s="1">
        <v>45446</v>
      </c>
      <c r="B687" t="s">
        <v>39</v>
      </c>
      <c r="C687" t="s">
        <v>40</v>
      </c>
      <c r="D687" t="s">
        <v>18</v>
      </c>
      <c r="E687" t="s">
        <v>19</v>
      </c>
      <c r="F687" t="s">
        <v>20</v>
      </c>
      <c r="G687">
        <v>899</v>
      </c>
      <c r="H687">
        <v>639</v>
      </c>
      <c r="I687">
        <v>28.9</v>
      </c>
      <c r="J687" t="s">
        <v>56</v>
      </c>
    </row>
    <row r="688" spans="1:10" x14ac:dyDescent="0.35">
      <c r="A688" s="1">
        <v>45446</v>
      </c>
      <c r="B688" t="s">
        <v>39</v>
      </c>
      <c r="C688" t="s">
        <v>40</v>
      </c>
      <c r="D688" t="s">
        <v>21</v>
      </c>
      <c r="E688" t="s">
        <v>22</v>
      </c>
      <c r="F688" t="s">
        <v>23</v>
      </c>
      <c r="G688">
        <v>1574</v>
      </c>
      <c r="H688">
        <v>1923</v>
      </c>
      <c r="I688">
        <v>22.2</v>
      </c>
      <c r="J688" t="s">
        <v>55</v>
      </c>
    </row>
    <row r="689" spans="1:10" x14ac:dyDescent="0.35">
      <c r="A689" s="1">
        <v>45446</v>
      </c>
      <c r="B689" t="s">
        <v>39</v>
      </c>
      <c r="C689" t="s">
        <v>40</v>
      </c>
      <c r="D689" t="s">
        <v>24</v>
      </c>
      <c r="E689" t="s">
        <v>25</v>
      </c>
      <c r="F689" t="s">
        <v>17</v>
      </c>
      <c r="G689">
        <v>1294</v>
      </c>
      <c r="H689">
        <v>1504</v>
      </c>
      <c r="I689">
        <v>16.2</v>
      </c>
      <c r="J689" t="s">
        <v>55</v>
      </c>
    </row>
    <row r="690" spans="1:10" x14ac:dyDescent="0.35">
      <c r="A690" s="1">
        <v>45446</v>
      </c>
      <c r="B690" t="s">
        <v>39</v>
      </c>
      <c r="C690" t="s">
        <v>40</v>
      </c>
      <c r="D690" t="s">
        <v>26</v>
      </c>
      <c r="E690" t="s">
        <v>27</v>
      </c>
      <c r="F690" t="s">
        <v>20</v>
      </c>
      <c r="G690">
        <v>780</v>
      </c>
      <c r="H690">
        <v>907</v>
      </c>
      <c r="I690">
        <v>16.3</v>
      </c>
      <c r="J690" t="s">
        <v>55</v>
      </c>
    </row>
    <row r="691" spans="1:10" x14ac:dyDescent="0.35">
      <c r="A691" s="1">
        <v>45446</v>
      </c>
      <c r="B691" t="s">
        <v>39</v>
      </c>
      <c r="C691" t="s">
        <v>40</v>
      </c>
      <c r="D691" t="s">
        <v>28</v>
      </c>
      <c r="E691" t="s">
        <v>29</v>
      </c>
      <c r="F691" t="s">
        <v>23</v>
      </c>
      <c r="G691">
        <v>1216</v>
      </c>
      <c r="H691">
        <v>1645</v>
      </c>
      <c r="I691">
        <v>35.299999999999997</v>
      </c>
      <c r="J691" t="s">
        <v>55</v>
      </c>
    </row>
    <row r="692" spans="1:10" x14ac:dyDescent="0.35">
      <c r="A692" s="1">
        <v>45453</v>
      </c>
      <c r="B692" t="s">
        <v>12</v>
      </c>
      <c r="C692" t="s">
        <v>13</v>
      </c>
      <c r="D692" t="s">
        <v>15</v>
      </c>
      <c r="E692" t="s">
        <v>16</v>
      </c>
      <c r="F692" t="s">
        <v>17</v>
      </c>
      <c r="G692">
        <v>958</v>
      </c>
      <c r="H692">
        <v>879</v>
      </c>
      <c r="I692">
        <v>8.1999999999999993</v>
      </c>
      <c r="J692" t="s">
        <v>56</v>
      </c>
    </row>
    <row r="693" spans="1:10" x14ac:dyDescent="0.35">
      <c r="A693" s="1">
        <v>45453</v>
      </c>
      <c r="B693" t="s">
        <v>12</v>
      </c>
      <c r="C693" t="s">
        <v>13</v>
      </c>
      <c r="D693" t="s">
        <v>18</v>
      </c>
      <c r="E693" t="s">
        <v>19</v>
      </c>
      <c r="F693" t="s">
        <v>20</v>
      </c>
      <c r="G693">
        <v>1248</v>
      </c>
      <c r="H693">
        <v>902</v>
      </c>
      <c r="I693">
        <v>27.7</v>
      </c>
      <c r="J693" t="s">
        <v>56</v>
      </c>
    </row>
    <row r="694" spans="1:10" x14ac:dyDescent="0.35">
      <c r="A694" s="1">
        <v>45453</v>
      </c>
      <c r="B694" t="s">
        <v>12</v>
      </c>
      <c r="C694" t="s">
        <v>13</v>
      </c>
      <c r="D694" t="s">
        <v>21</v>
      </c>
      <c r="E694" t="s">
        <v>22</v>
      </c>
      <c r="F694" t="s">
        <v>23</v>
      </c>
      <c r="G694">
        <v>1347</v>
      </c>
      <c r="H694">
        <v>1696</v>
      </c>
      <c r="I694">
        <v>25.9</v>
      </c>
      <c r="J694" t="s">
        <v>55</v>
      </c>
    </row>
    <row r="695" spans="1:10" x14ac:dyDescent="0.35">
      <c r="A695" s="1">
        <v>45453</v>
      </c>
      <c r="B695" t="s">
        <v>12</v>
      </c>
      <c r="C695" t="s">
        <v>13</v>
      </c>
      <c r="D695" t="s">
        <v>24</v>
      </c>
      <c r="E695" t="s">
        <v>25</v>
      </c>
      <c r="F695" t="s">
        <v>17</v>
      </c>
      <c r="G695">
        <v>1051</v>
      </c>
      <c r="H695">
        <v>936</v>
      </c>
      <c r="I695">
        <v>10.9</v>
      </c>
      <c r="J695" t="s">
        <v>56</v>
      </c>
    </row>
    <row r="696" spans="1:10" x14ac:dyDescent="0.35">
      <c r="A696" s="1">
        <v>45453</v>
      </c>
      <c r="B696" t="s">
        <v>12</v>
      </c>
      <c r="C696" t="s">
        <v>13</v>
      </c>
      <c r="D696" t="s">
        <v>26</v>
      </c>
      <c r="E696" t="s">
        <v>27</v>
      </c>
      <c r="F696" t="s">
        <v>20</v>
      </c>
      <c r="G696">
        <v>1064</v>
      </c>
      <c r="H696">
        <v>1219</v>
      </c>
      <c r="I696">
        <v>14.6</v>
      </c>
      <c r="J696" t="s">
        <v>55</v>
      </c>
    </row>
    <row r="697" spans="1:10" x14ac:dyDescent="0.35">
      <c r="A697" s="1">
        <v>45453</v>
      </c>
      <c r="B697" t="s">
        <v>12</v>
      </c>
      <c r="C697" t="s">
        <v>13</v>
      </c>
      <c r="D697" t="s">
        <v>28</v>
      </c>
      <c r="E697" t="s">
        <v>29</v>
      </c>
      <c r="F697" t="s">
        <v>23</v>
      </c>
      <c r="G697">
        <v>1343</v>
      </c>
      <c r="H697">
        <v>1687</v>
      </c>
      <c r="I697">
        <v>25.6</v>
      </c>
      <c r="J697" t="s">
        <v>55</v>
      </c>
    </row>
    <row r="698" spans="1:10" x14ac:dyDescent="0.35">
      <c r="A698" s="1">
        <v>45453</v>
      </c>
      <c r="B698" t="s">
        <v>30</v>
      </c>
      <c r="C698" t="s">
        <v>31</v>
      </c>
      <c r="D698" t="s">
        <v>15</v>
      </c>
      <c r="E698" t="s">
        <v>16</v>
      </c>
      <c r="F698" t="s">
        <v>17</v>
      </c>
      <c r="G698">
        <v>1073</v>
      </c>
      <c r="H698">
        <v>812</v>
      </c>
      <c r="I698">
        <v>24.3</v>
      </c>
      <c r="J698" t="s">
        <v>56</v>
      </c>
    </row>
    <row r="699" spans="1:10" x14ac:dyDescent="0.35">
      <c r="A699" s="1">
        <v>45453</v>
      </c>
      <c r="B699" t="s">
        <v>30</v>
      </c>
      <c r="C699" t="s">
        <v>31</v>
      </c>
      <c r="D699" t="s">
        <v>18</v>
      </c>
      <c r="E699" t="s">
        <v>19</v>
      </c>
      <c r="F699" t="s">
        <v>20</v>
      </c>
      <c r="G699">
        <v>1542</v>
      </c>
      <c r="H699">
        <v>1412</v>
      </c>
      <c r="I699">
        <v>8.4</v>
      </c>
      <c r="J699" t="s">
        <v>56</v>
      </c>
    </row>
    <row r="700" spans="1:10" x14ac:dyDescent="0.35">
      <c r="A700" s="1">
        <v>45453</v>
      </c>
      <c r="B700" t="s">
        <v>30</v>
      </c>
      <c r="C700" t="s">
        <v>31</v>
      </c>
      <c r="D700" t="s">
        <v>21</v>
      </c>
      <c r="E700" t="s">
        <v>22</v>
      </c>
      <c r="F700" t="s">
        <v>23</v>
      </c>
      <c r="G700">
        <v>1109</v>
      </c>
      <c r="H700">
        <v>746</v>
      </c>
      <c r="I700">
        <v>32.700000000000003</v>
      </c>
      <c r="J700" t="s">
        <v>56</v>
      </c>
    </row>
    <row r="701" spans="1:10" x14ac:dyDescent="0.35">
      <c r="A701" s="1">
        <v>45453</v>
      </c>
      <c r="B701" t="s">
        <v>30</v>
      </c>
      <c r="C701" t="s">
        <v>31</v>
      </c>
      <c r="D701" t="s">
        <v>24</v>
      </c>
      <c r="E701" t="s">
        <v>25</v>
      </c>
      <c r="F701" t="s">
        <v>17</v>
      </c>
      <c r="G701">
        <v>1421</v>
      </c>
      <c r="H701">
        <v>1624</v>
      </c>
      <c r="I701">
        <v>14.3</v>
      </c>
      <c r="J701" t="s">
        <v>55</v>
      </c>
    </row>
    <row r="702" spans="1:10" x14ac:dyDescent="0.35">
      <c r="A702" s="1">
        <v>45453</v>
      </c>
      <c r="B702" t="s">
        <v>30</v>
      </c>
      <c r="C702" t="s">
        <v>31</v>
      </c>
      <c r="D702" t="s">
        <v>26</v>
      </c>
      <c r="E702" t="s">
        <v>27</v>
      </c>
      <c r="F702" t="s">
        <v>20</v>
      </c>
      <c r="G702">
        <v>1198</v>
      </c>
      <c r="H702">
        <v>1010</v>
      </c>
      <c r="I702">
        <v>15.7</v>
      </c>
      <c r="J702" t="s">
        <v>56</v>
      </c>
    </row>
    <row r="703" spans="1:10" x14ac:dyDescent="0.35">
      <c r="A703" s="1">
        <v>45453</v>
      </c>
      <c r="B703" t="s">
        <v>30</v>
      </c>
      <c r="C703" t="s">
        <v>31</v>
      </c>
      <c r="D703" t="s">
        <v>28</v>
      </c>
      <c r="E703" t="s">
        <v>29</v>
      </c>
      <c r="F703" t="s">
        <v>23</v>
      </c>
      <c r="G703">
        <v>1570</v>
      </c>
      <c r="H703">
        <v>2151</v>
      </c>
      <c r="I703">
        <v>37</v>
      </c>
      <c r="J703" t="s">
        <v>55</v>
      </c>
    </row>
    <row r="704" spans="1:10" x14ac:dyDescent="0.35">
      <c r="A704" s="1">
        <v>45453</v>
      </c>
      <c r="B704" t="s">
        <v>33</v>
      </c>
      <c r="C704" t="s">
        <v>34</v>
      </c>
      <c r="D704" t="s">
        <v>15</v>
      </c>
      <c r="E704" t="s">
        <v>16</v>
      </c>
      <c r="F704" t="s">
        <v>17</v>
      </c>
      <c r="G704">
        <v>1549</v>
      </c>
      <c r="H704">
        <v>967</v>
      </c>
      <c r="I704">
        <v>37.6</v>
      </c>
      <c r="J704" t="s">
        <v>56</v>
      </c>
    </row>
    <row r="705" spans="1:10" x14ac:dyDescent="0.35">
      <c r="A705" s="1">
        <v>45453</v>
      </c>
      <c r="B705" t="s">
        <v>33</v>
      </c>
      <c r="C705" t="s">
        <v>34</v>
      </c>
      <c r="D705" t="s">
        <v>18</v>
      </c>
      <c r="E705" t="s">
        <v>19</v>
      </c>
      <c r="F705" t="s">
        <v>20</v>
      </c>
      <c r="G705">
        <v>1484</v>
      </c>
      <c r="H705">
        <v>1200</v>
      </c>
      <c r="I705">
        <v>19.100000000000001</v>
      </c>
      <c r="J705" t="s">
        <v>56</v>
      </c>
    </row>
    <row r="706" spans="1:10" x14ac:dyDescent="0.35">
      <c r="A706" s="1">
        <v>45453</v>
      </c>
      <c r="B706" t="s">
        <v>33</v>
      </c>
      <c r="C706" t="s">
        <v>34</v>
      </c>
      <c r="D706" t="s">
        <v>21</v>
      </c>
      <c r="E706" t="s">
        <v>22</v>
      </c>
      <c r="F706" t="s">
        <v>23</v>
      </c>
      <c r="G706">
        <v>1045</v>
      </c>
      <c r="H706">
        <v>819</v>
      </c>
      <c r="I706">
        <v>21.6</v>
      </c>
      <c r="J706" t="s">
        <v>56</v>
      </c>
    </row>
    <row r="707" spans="1:10" x14ac:dyDescent="0.35">
      <c r="A707" s="1">
        <v>45453</v>
      </c>
      <c r="B707" t="s">
        <v>33</v>
      </c>
      <c r="C707" t="s">
        <v>34</v>
      </c>
      <c r="D707" t="s">
        <v>24</v>
      </c>
      <c r="E707" t="s">
        <v>25</v>
      </c>
      <c r="F707" t="s">
        <v>17</v>
      </c>
      <c r="G707">
        <v>719</v>
      </c>
      <c r="H707">
        <v>526</v>
      </c>
      <c r="I707">
        <v>26.8</v>
      </c>
      <c r="J707" t="s">
        <v>56</v>
      </c>
    </row>
    <row r="708" spans="1:10" x14ac:dyDescent="0.35">
      <c r="A708" s="1">
        <v>45453</v>
      </c>
      <c r="B708" t="s">
        <v>33</v>
      </c>
      <c r="C708" t="s">
        <v>34</v>
      </c>
      <c r="D708" t="s">
        <v>26</v>
      </c>
      <c r="E708" t="s">
        <v>27</v>
      </c>
      <c r="F708" t="s">
        <v>20</v>
      </c>
      <c r="G708">
        <v>1120</v>
      </c>
      <c r="H708">
        <v>840</v>
      </c>
      <c r="I708">
        <v>25</v>
      </c>
      <c r="J708" t="s">
        <v>56</v>
      </c>
    </row>
    <row r="709" spans="1:10" x14ac:dyDescent="0.35">
      <c r="A709" s="1">
        <v>45453</v>
      </c>
      <c r="B709" t="s">
        <v>33</v>
      </c>
      <c r="C709" t="s">
        <v>34</v>
      </c>
      <c r="D709" t="s">
        <v>28</v>
      </c>
      <c r="E709" t="s">
        <v>29</v>
      </c>
      <c r="F709" t="s">
        <v>23</v>
      </c>
      <c r="G709">
        <v>447</v>
      </c>
      <c r="H709">
        <v>310</v>
      </c>
      <c r="I709">
        <v>30.6</v>
      </c>
      <c r="J709" t="s">
        <v>56</v>
      </c>
    </row>
    <row r="710" spans="1:10" x14ac:dyDescent="0.35">
      <c r="A710" s="1">
        <v>45453</v>
      </c>
      <c r="B710" t="s">
        <v>36</v>
      </c>
      <c r="C710" t="s">
        <v>37</v>
      </c>
      <c r="D710" t="s">
        <v>15</v>
      </c>
      <c r="E710" t="s">
        <v>16</v>
      </c>
      <c r="F710" t="s">
        <v>17</v>
      </c>
      <c r="G710">
        <v>1405</v>
      </c>
      <c r="H710">
        <v>875</v>
      </c>
      <c r="I710">
        <v>37.700000000000003</v>
      </c>
      <c r="J710" t="s">
        <v>56</v>
      </c>
    </row>
    <row r="711" spans="1:10" x14ac:dyDescent="0.35">
      <c r="A711" s="1">
        <v>45453</v>
      </c>
      <c r="B711" t="s">
        <v>36</v>
      </c>
      <c r="C711" t="s">
        <v>37</v>
      </c>
      <c r="D711" t="s">
        <v>18</v>
      </c>
      <c r="E711" t="s">
        <v>19</v>
      </c>
      <c r="F711" t="s">
        <v>20</v>
      </c>
      <c r="G711">
        <v>1500</v>
      </c>
      <c r="H711">
        <v>1679</v>
      </c>
      <c r="I711">
        <v>11.9</v>
      </c>
      <c r="J711" t="s">
        <v>55</v>
      </c>
    </row>
    <row r="712" spans="1:10" x14ac:dyDescent="0.35">
      <c r="A712" s="1">
        <v>45453</v>
      </c>
      <c r="B712" t="s">
        <v>36</v>
      </c>
      <c r="C712" t="s">
        <v>37</v>
      </c>
      <c r="D712" t="s">
        <v>21</v>
      </c>
      <c r="E712" t="s">
        <v>22</v>
      </c>
      <c r="F712" t="s">
        <v>23</v>
      </c>
      <c r="G712">
        <v>652</v>
      </c>
      <c r="H712">
        <v>580</v>
      </c>
      <c r="I712">
        <v>11</v>
      </c>
      <c r="J712" t="s">
        <v>56</v>
      </c>
    </row>
    <row r="713" spans="1:10" x14ac:dyDescent="0.35">
      <c r="A713" s="1">
        <v>45453</v>
      </c>
      <c r="B713" t="s">
        <v>36</v>
      </c>
      <c r="C713" t="s">
        <v>37</v>
      </c>
      <c r="D713" t="s">
        <v>24</v>
      </c>
      <c r="E713" t="s">
        <v>25</v>
      </c>
      <c r="F713" t="s">
        <v>17</v>
      </c>
      <c r="G713">
        <v>626</v>
      </c>
      <c r="H713">
        <v>468</v>
      </c>
      <c r="I713">
        <v>25.2</v>
      </c>
      <c r="J713" t="s">
        <v>56</v>
      </c>
    </row>
    <row r="714" spans="1:10" x14ac:dyDescent="0.35">
      <c r="A714" s="1">
        <v>45453</v>
      </c>
      <c r="B714" t="s">
        <v>36</v>
      </c>
      <c r="C714" t="s">
        <v>37</v>
      </c>
      <c r="D714" t="s">
        <v>26</v>
      </c>
      <c r="E714" t="s">
        <v>27</v>
      </c>
      <c r="F714" t="s">
        <v>20</v>
      </c>
      <c r="G714">
        <v>725</v>
      </c>
      <c r="H714">
        <v>949</v>
      </c>
      <c r="I714">
        <v>30.9</v>
      </c>
      <c r="J714" t="s">
        <v>55</v>
      </c>
    </row>
    <row r="715" spans="1:10" x14ac:dyDescent="0.35">
      <c r="A715" s="1">
        <v>45453</v>
      </c>
      <c r="B715" t="s">
        <v>36</v>
      </c>
      <c r="C715" t="s">
        <v>37</v>
      </c>
      <c r="D715" t="s">
        <v>28</v>
      </c>
      <c r="E715" t="s">
        <v>29</v>
      </c>
      <c r="F715" t="s">
        <v>23</v>
      </c>
      <c r="G715">
        <v>1221</v>
      </c>
      <c r="H715">
        <v>921</v>
      </c>
      <c r="I715">
        <v>24.6</v>
      </c>
      <c r="J715" t="s">
        <v>56</v>
      </c>
    </row>
    <row r="716" spans="1:10" x14ac:dyDescent="0.35">
      <c r="A716" s="1">
        <v>45453</v>
      </c>
      <c r="B716" t="s">
        <v>39</v>
      </c>
      <c r="C716" t="s">
        <v>40</v>
      </c>
      <c r="D716" t="s">
        <v>15</v>
      </c>
      <c r="E716" t="s">
        <v>16</v>
      </c>
      <c r="F716" t="s">
        <v>17</v>
      </c>
      <c r="G716">
        <v>845</v>
      </c>
      <c r="H716">
        <v>1018</v>
      </c>
      <c r="I716">
        <v>20.5</v>
      </c>
      <c r="J716" t="s">
        <v>55</v>
      </c>
    </row>
    <row r="717" spans="1:10" x14ac:dyDescent="0.35">
      <c r="A717" s="1">
        <v>45453</v>
      </c>
      <c r="B717" t="s">
        <v>39</v>
      </c>
      <c r="C717" t="s">
        <v>40</v>
      </c>
      <c r="D717" t="s">
        <v>18</v>
      </c>
      <c r="E717" t="s">
        <v>19</v>
      </c>
      <c r="F717" t="s">
        <v>20</v>
      </c>
      <c r="G717">
        <v>1054</v>
      </c>
      <c r="H717">
        <v>1381</v>
      </c>
      <c r="I717">
        <v>31</v>
      </c>
      <c r="J717" t="s">
        <v>55</v>
      </c>
    </row>
    <row r="718" spans="1:10" x14ac:dyDescent="0.35">
      <c r="A718" s="1">
        <v>45453</v>
      </c>
      <c r="B718" t="s">
        <v>39</v>
      </c>
      <c r="C718" t="s">
        <v>40</v>
      </c>
      <c r="D718" t="s">
        <v>21</v>
      </c>
      <c r="E718" t="s">
        <v>22</v>
      </c>
      <c r="F718" t="s">
        <v>23</v>
      </c>
      <c r="G718">
        <v>1050</v>
      </c>
      <c r="H718">
        <v>1292</v>
      </c>
      <c r="I718">
        <v>23</v>
      </c>
      <c r="J718" t="s">
        <v>55</v>
      </c>
    </row>
    <row r="719" spans="1:10" x14ac:dyDescent="0.35">
      <c r="A719" s="1">
        <v>45453</v>
      </c>
      <c r="B719" t="s">
        <v>39</v>
      </c>
      <c r="C719" t="s">
        <v>40</v>
      </c>
      <c r="D719" t="s">
        <v>24</v>
      </c>
      <c r="E719" t="s">
        <v>25</v>
      </c>
      <c r="F719" t="s">
        <v>17</v>
      </c>
      <c r="G719">
        <v>861</v>
      </c>
      <c r="H719">
        <v>570</v>
      </c>
      <c r="I719">
        <v>33.799999999999997</v>
      </c>
      <c r="J719" t="s">
        <v>56</v>
      </c>
    </row>
    <row r="720" spans="1:10" x14ac:dyDescent="0.35">
      <c r="A720" s="1">
        <v>45453</v>
      </c>
      <c r="B720" t="s">
        <v>39</v>
      </c>
      <c r="C720" t="s">
        <v>40</v>
      </c>
      <c r="D720" t="s">
        <v>26</v>
      </c>
      <c r="E720" t="s">
        <v>27</v>
      </c>
      <c r="F720" t="s">
        <v>20</v>
      </c>
      <c r="G720">
        <v>1350</v>
      </c>
      <c r="H720">
        <v>1573</v>
      </c>
      <c r="I720">
        <v>16.5</v>
      </c>
      <c r="J720" t="s">
        <v>55</v>
      </c>
    </row>
    <row r="721" spans="1:10" x14ac:dyDescent="0.35">
      <c r="A721" s="1">
        <v>45453</v>
      </c>
      <c r="B721" t="s">
        <v>39</v>
      </c>
      <c r="C721" t="s">
        <v>40</v>
      </c>
      <c r="D721" t="s">
        <v>28</v>
      </c>
      <c r="E721" t="s">
        <v>29</v>
      </c>
      <c r="F721" t="s">
        <v>23</v>
      </c>
      <c r="G721">
        <v>721</v>
      </c>
      <c r="H721">
        <v>463</v>
      </c>
      <c r="I721">
        <v>35.799999999999997</v>
      </c>
      <c r="J721" t="s">
        <v>56</v>
      </c>
    </row>
    <row r="722" spans="1:10" x14ac:dyDescent="0.35">
      <c r="A722" s="1">
        <v>45460</v>
      </c>
      <c r="B722" t="s">
        <v>12</v>
      </c>
      <c r="C722" t="s">
        <v>13</v>
      </c>
      <c r="D722" t="s">
        <v>15</v>
      </c>
      <c r="E722" t="s">
        <v>16</v>
      </c>
      <c r="F722" t="s">
        <v>17</v>
      </c>
      <c r="G722">
        <v>990</v>
      </c>
      <c r="H722">
        <v>1070</v>
      </c>
      <c r="I722">
        <v>8.1</v>
      </c>
      <c r="J722" t="s">
        <v>55</v>
      </c>
    </row>
    <row r="723" spans="1:10" x14ac:dyDescent="0.35">
      <c r="A723" s="1">
        <v>45460</v>
      </c>
      <c r="B723" t="s">
        <v>12</v>
      </c>
      <c r="C723" t="s">
        <v>13</v>
      </c>
      <c r="D723" t="s">
        <v>18</v>
      </c>
      <c r="E723" t="s">
        <v>19</v>
      </c>
      <c r="F723" t="s">
        <v>20</v>
      </c>
      <c r="G723">
        <v>1350</v>
      </c>
      <c r="H723">
        <v>1723</v>
      </c>
      <c r="I723">
        <v>27.6</v>
      </c>
      <c r="J723" t="s">
        <v>55</v>
      </c>
    </row>
    <row r="724" spans="1:10" x14ac:dyDescent="0.35">
      <c r="A724" s="1">
        <v>45460</v>
      </c>
      <c r="B724" t="s">
        <v>12</v>
      </c>
      <c r="C724" t="s">
        <v>13</v>
      </c>
      <c r="D724" t="s">
        <v>21</v>
      </c>
      <c r="E724" t="s">
        <v>22</v>
      </c>
      <c r="F724" t="s">
        <v>23</v>
      </c>
      <c r="G724">
        <v>601</v>
      </c>
      <c r="H724">
        <v>718</v>
      </c>
      <c r="I724">
        <v>19.5</v>
      </c>
      <c r="J724" t="s">
        <v>55</v>
      </c>
    </row>
    <row r="725" spans="1:10" x14ac:dyDescent="0.35">
      <c r="A725" s="1">
        <v>45460</v>
      </c>
      <c r="B725" t="s">
        <v>12</v>
      </c>
      <c r="C725" t="s">
        <v>13</v>
      </c>
      <c r="D725" t="s">
        <v>24</v>
      </c>
      <c r="E725" t="s">
        <v>25</v>
      </c>
      <c r="F725" t="s">
        <v>17</v>
      </c>
      <c r="G725">
        <v>1256</v>
      </c>
      <c r="H725">
        <v>1511</v>
      </c>
      <c r="I725">
        <v>20.3</v>
      </c>
      <c r="J725" t="s">
        <v>55</v>
      </c>
    </row>
    <row r="726" spans="1:10" x14ac:dyDescent="0.35">
      <c r="A726" s="1">
        <v>45460</v>
      </c>
      <c r="B726" t="s">
        <v>12</v>
      </c>
      <c r="C726" t="s">
        <v>13</v>
      </c>
      <c r="D726" t="s">
        <v>26</v>
      </c>
      <c r="E726" t="s">
        <v>27</v>
      </c>
      <c r="F726" t="s">
        <v>20</v>
      </c>
      <c r="G726">
        <v>859</v>
      </c>
      <c r="H726">
        <v>963</v>
      </c>
      <c r="I726">
        <v>12.1</v>
      </c>
      <c r="J726" t="s">
        <v>55</v>
      </c>
    </row>
    <row r="727" spans="1:10" x14ac:dyDescent="0.35">
      <c r="A727" s="1">
        <v>45460</v>
      </c>
      <c r="B727" t="s">
        <v>12</v>
      </c>
      <c r="C727" t="s">
        <v>13</v>
      </c>
      <c r="D727" t="s">
        <v>28</v>
      </c>
      <c r="E727" t="s">
        <v>29</v>
      </c>
      <c r="F727" t="s">
        <v>23</v>
      </c>
      <c r="G727">
        <v>564</v>
      </c>
      <c r="H727">
        <v>710</v>
      </c>
      <c r="I727">
        <v>25.9</v>
      </c>
      <c r="J727" t="s">
        <v>55</v>
      </c>
    </row>
    <row r="728" spans="1:10" x14ac:dyDescent="0.35">
      <c r="A728" s="1">
        <v>45460</v>
      </c>
      <c r="B728" t="s">
        <v>30</v>
      </c>
      <c r="C728" t="s">
        <v>31</v>
      </c>
      <c r="D728" t="s">
        <v>15</v>
      </c>
      <c r="E728" t="s">
        <v>16</v>
      </c>
      <c r="F728" t="s">
        <v>17</v>
      </c>
      <c r="G728">
        <v>446</v>
      </c>
      <c r="H728">
        <v>366</v>
      </c>
      <c r="I728">
        <v>17.899999999999999</v>
      </c>
      <c r="J728" t="s">
        <v>56</v>
      </c>
    </row>
    <row r="729" spans="1:10" x14ac:dyDescent="0.35">
      <c r="A729" s="1">
        <v>45460</v>
      </c>
      <c r="B729" t="s">
        <v>30</v>
      </c>
      <c r="C729" t="s">
        <v>31</v>
      </c>
      <c r="D729" t="s">
        <v>18</v>
      </c>
      <c r="E729" t="s">
        <v>19</v>
      </c>
      <c r="F729" t="s">
        <v>20</v>
      </c>
      <c r="G729">
        <v>1565</v>
      </c>
      <c r="H729">
        <v>1983</v>
      </c>
      <c r="I729">
        <v>26.7</v>
      </c>
      <c r="J729" t="s">
        <v>55</v>
      </c>
    </row>
    <row r="730" spans="1:10" x14ac:dyDescent="0.35">
      <c r="A730" s="1">
        <v>45460</v>
      </c>
      <c r="B730" t="s">
        <v>30</v>
      </c>
      <c r="C730" t="s">
        <v>31</v>
      </c>
      <c r="D730" t="s">
        <v>21</v>
      </c>
      <c r="E730" t="s">
        <v>22</v>
      </c>
      <c r="F730" t="s">
        <v>23</v>
      </c>
      <c r="G730">
        <v>1158</v>
      </c>
      <c r="H730">
        <v>1258</v>
      </c>
      <c r="I730">
        <v>8.6</v>
      </c>
      <c r="J730" t="s">
        <v>55</v>
      </c>
    </row>
    <row r="731" spans="1:10" x14ac:dyDescent="0.35">
      <c r="A731" s="1">
        <v>45460</v>
      </c>
      <c r="B731" t="s">
        <v>30</v>
      </c>
      <c r="C731" t="s">
        <v>31</v>
      </c>
      <c r="D731" t="s">
        <v>24</v>
      </c>
      <c r="E731" t="s">
        <v>25</v>
      </c>
      <c r="F731" t="s">
        <v>17</v>
      </c>
      <c r="G731">
        <v>1197</v>
      </c>
      <c r="H731">
        <v>1491</v>
      </c>
      <c r="I731">
        <v>24.6</v>
      </c>
      <c r="J731" t="s">
        <v>55</v>
      </c>
    </row>
    <row r="732" spans="1:10" x14ac:dyDescent="0.35">
      <c r="A732" s="1">
        <v>45460</v>
      </c>
      <c r="B732" t="s">
        <v>30</v>
      </c>
      <c r="C732" t="s">
        <v>31</v>
      </c>
      <c r="D732" t="s">
        <v>26</v>
      </c>
      <c r="E732" t="s">
        <v>27</v>
      </c>
      <c r="F732" t="s">
        <v>20</v>
      </c>
      <c r="G732">
        <v>730</v>
      </c>
      <c r="H732">
        <v>888</v>
      </c>
      <c r="I732">
        <v>21.6</v>
      </c>
      <c r="J732" t="s">
        <v>55</v>
      </c>
    </row>
    <row r="733" spans="1:10" x14ac:dyDescent="0.35">
      <c r="A733" s="1">
        <v>45460</v>
      </c>
      <c r="B733" t="s">
        <v>30</v>
      </c>
      <c r="C733" t="s">
        <v>31</v>
      </c>
      <c r="D733" t="s">
        <v>28</v>
      </c>
      <c r="E733" t="s">
        <v>29</v>
      </c>
      <c r="F733" t="s">
        <v>23</v>
      </c>
      <c r="G733">
        <v>890</v>
      </c>
      <c r="H733">
        <v>1007</v>
      </c>
      <c r="I733">
        <v>13.1</v>
      </c>
      <c r="J733" t="s">
        <v>55</v>
      </c>
    </row>
    <row r="734" spans="1:10" x14ac:dyDescent="0.35">
      <c r="A734" s="1">
        <v>45460</v>
      </c>
      <c r="B734" t="s">
        <v>33</v>
      </c>
      <c r="C734" t="s">
        <v>34</v>
      </c>
      <c r="D734" t="s">
        <v>15</v>
      </c>
      <c r="E734" t="s">
        <v>16</v>
      </c>
      <c r="F734" t="s">
        <v>17</v>
      </c>
      <c r="G734">
        <v>809</v>
      </c>
      <c r="H734">
        <v>665</v>
      </c>
      <c r="I734">
        <v>17.8</v>
      </c>
      <c r="J734" t="s">
        <v>56</v>
      </c>
    </row>
    <row r="735" spans="1:10" x14ac:dyDescent="0.35">
      <c r="A735" s="1">
        <v>45460</v>
      </c>
      <c r="B735" t="s">
        <v>33</v>
      </c>
      <c r="C735" t="s">
        <v>34</v>
      </c>
      <c r="D735" t="s">
        <v>18</v>
      </c>
      <c r="E735" t="s">
        <v>19</v>
      </c>
      <c r="F735" t="s">
        <v>20</v>
      </c>
      <c r="G735">
        <v>463</v>
      </c>
      <c r="H735">
        <v>397</v>
      </c>
      <c r="I735">
        <v>14.3</v>
      </c>
      <c r="J735" t="s">
        <v>56</v>
      </c>
    </row>
    <row r="736" spans="1:10" x14ac:dyDescent="0.35">
      <c r="A736" s="1">
        <v>45460</v>
      </c>
      <c r="B736" t="s">
        <v>33</v>
      </c>
      <c r="C736" t="s">
        <v>34</v>
      </c>
      <c r="D736" t="s">
        <v>21</v>
      </c>
      <c r="E736" t="s">
        <v>22</v>
      </c>
      <c r="F736" t="s">
        <v>23</v>
      </c>
      <c r="G736">
        <v>901</v>
      </c>
      <c r="H736">
        <v>644</v>
      </c>
      <c r="I736">
        <v>28.5</v>
      </c>
      <c r="J736" t="s">
        <v>56</v>
      </c>
    </row>
    <row r="737" spans="1:10" x14ac:dyDescent="0.35">
      <c r="A737" s="1">
        <v>45460</v>
      </c>
      <c r="B737" t="s">
        <v>33</v>
      </c>
      <c r="C737" t="s">
        <v>34</v>
      </c>
      <c r="D737" t="s">
        <v>24</v>
      </c>
      <c r="E737" t="s">
        <v>25</v>
      </c>
      <c r="F737" t="s">
        <v>17</v>
      </c>
      <c r="G737">
        <v>895</v>
      </c>
      <c r="H737">
        <v>1180</v>
      </c>
      <c r="I737">
        <v>31.8</v>
      </c>
      <c r="J737" t="s">
        <v>55</v>
      </c>
    </row>
    <row r="738" spans="1:10" x14ac:dyDescent="0.35">
      <c r="A738" s="1">
        <v>45460</v>
      </c>
      <c r="B738" t="s">
        <v>33</v>
      </c>
      <c r="C738" t="s">
        <v>34</v>
      </c>
      <c r="D738" t="s">
        <v>26</v>
      </c>
      <c r="E738" t="s">
        <v>27</v>
      </c>
      <c r="F738" t="s">
        <v>20</v>
      </c>
      <c r="G738">
        <v>1424</v>
      </c>
      <c r="H738">
        <v>1811</v>
      </c>
      <c r="I738">
        <v>27.2</v>
      </c>
      <c r="J738" t="s">
        <v>55</v>
      </c>
    </row>
    <row r="739" spans="1:10" x14ac:dyDescent="0.35">
      <c r="A739" s="1">
        <v>45460</v>
      </c>
      <c r="B739" t="s">
        <v>33</v>
      </c>
      <c r="C739" t="s">
        <v>34</v>
      </c>
      <c r="D739" t="s">
        <v>28</v>
      </c>
      <c r="E739" t="s">
        <v>29</v>
      </c>
      <c r="F739" t="s">
        <v>23</v>
      </c>
      <c r="G739">
        <v>1078</v>
      </c>
      <c r="H739">
        <v>1446</v>
      </c>
      <c r="I739">
        <v>34.1</v>
      </c>
      <c r="J739" t="s">
        <v>55</v>
      </c>
    </row>
    <row r="740" spans="1:10" x14ac:dyDescent="0.35">
      <c r="A740" s="1">
        <v>45460</v>
      </c>
      <c r="B740" t="s">
        <v>36</v>
      </c>
      <c r="C740" t="s">
        <v>37</v>
      </c>
      <c r="D740" t="s">
        <v>15</v>
      </c>
      <c r="E740" t="s">
        <v>16</v>
      </c>
      <c r="F740" t="s">
        <v>17</v>
      </c>
      <c r="G740">
        <v>901</v>
      </c>
      <c r="H740">
        <v>1098</v>
      </c>
      <c r="I740">
        <v>21.9</v>
      </c>
      <c r="J740" t="s">
        <v>55</v>
      </c>
    </row>
    <row r="741" spans="1:10" x14ac:dyDescent="0.35">
      <c r="A741" s="1">
        <v>45460</v>
      </c>
      <c r="B741" t="s">
        <v>36</v>
      </c>
      <c r="C741" t="s">
        <v>37</v>
      </c>
      <c r="D741" t="s">
        <v>18</v>
      </c>
      <c r="E741" t="s">
        <v>19</v>
      </c>
      <c r="F741" t="s">
        <v>20</v>
      </c>
      <c r="G741">
        <v>414</v>
      </c>
      <c r="H741">
        <v>540</v>
      </c>
      <c r="I741">
        <v>30.4</v>
      </c>
      <c r="J741" t="s">
        <v>55</v>
      </c>
    </row>
    <row r="742" spans="1:10" x14ac:dyDescent="0.35">
      <c r="A742" s="1">
        <v>45460</v>
      </c>
      <c r="B742" t="s">
        <v>36</v>
      </c>
      <c r="C742" t="s">
        <v>37</v>
      </c>
      <c r="D742" t="s">
        <v>21</v>
      </c>
      <c r="E742" t="s">
        <v>22</v>
      </c>
      <c r="F742" t="s">
        <v>23</v>
      </c>
      <c r="G742">
        <v>1232</v>
      </c>
      <c r="H742">
        <v>1651</v>
      </c>
      <c r="I742">
        <v>34</v>
      </c>
      <c r="J742" t="s">
        <v>55</v>
      </c>
    </row>
    <row r="743" spans="1:10" x14ac:dyDescent="0.35">
      <c r="A743" s="1">
        <v>45460</v>
      </c>
      <c r="B743" t="s">
        <v>36</v>
      </c>
      <c r="C743" t="s">
        <v>37</v>
      </c>
      <c r="D743" t="s">
        <v>24</v>
      </c>
      <c r="E743" t="s">
        <v>25</v>
      </c>
      <c r="F743" t="s">
        <v>17</v>
      </c>
      <c r="G743">
        <v>1189</v>
      </c>
      <c r="H743">
        <v>1068</v>
      </c>
      <c r="I743">
        <v>10.199999999999999</v>
      </c>
      <c r="J743" t="s">
        <v>56</v>
      </c>
    </row>
    <row r="744" spans="1:10" x14ac:dyDescent="0.35">
      <c r="A744" s="1">
        <v>45460</v>
      </c>
      <c r="B744" t="s">
        <v>36</v>
      </c>
      <c r="C744" t="s">
        <v>37</v>
      </c>
      <c r="D744" t="s">
        <v>26</v>
      </c>
      <c r="E744" t="s">
        <v>27</v>
      </c>
      <c r="F744" t="s">
        <v>20</v>
      </c>
      <c r="G744">
        <v>932</v>
      </c>
      <c r="H744">
        <v>1253</v>
      </c>
      <c r="I744">
        <v>34.4</v>
      </c>
      <c r="J744" t="s">
        <v>55</v>
      </c>
    </row>
    <row r="745" spans="1:10" x14ac:dyDescent="0.35">
      <c r="A745" s="1">
        <v>45460</v>
      </c>
      <c r="B745" t="s">
        <v>36</v>
      </c>
      <c r="C745" t="s">
        <v>37</v>
      </c>
      <c r="D745" t="s">
        <v>28</v>
      </c>
      <c r="E745" t="s">
        <v>29</v>
      </c>
      <c r="F745" t="s">
        <v>23</v>
      </c>
      <c r="G745">
        <v>1493</v>
      </c>
      <c r="H745">
        <v>1053</v>
      </c>
      <c r="I745">
        <v>29.5</v>
      </c>
      <c r="J745" t="s">
        <v>56</v>
      </c>
    </row>
    <row r="746" spans="1:10" x14ac:dyDescent="0.35">
      <c r="A746" s="1">
        <v>45460</v>
      </c>
      <c r="B746" t="s">
        <v>39</v>
      </c>
      <c r="C746" t="s">
        <v>40</v>
      </c>
      <c r="D746" t="s">
        <v>15</v>
      </c>
      <c r="E746" t="s">
        <v>16</v>
      </c>
      <c r="F746" t="s">
        <v>17</v>
      </c>
      <c r="G746">
        <v>522</v>
      </c>
      <c r="H746">
        <v>434</v>
      </c>
      <c r="I746">
        <v>16.899999999999999</v>
      </c>
      <c r="J746" t="s">
        <v>56</v>
      </c>
    </row>
    <row r="747" spans="1:10" x14ac:dyDescent="0.35">
      <c r="A747" s="1">
        <v>45460</v>
      </c>
      <c r="B747" t="s">
        <v>39</v>
      </c>
      <c r="C747" t="s">
        <v>40</v>
      </c>
      <c r="D747" t="s">
        <v>18</v>
      </c>
      <c r="E747" t="s">
        <v>19</v>
      </c>
      <c r="F747" t="s">
        <v>20</v>
      </c>
      <c r="G747">
        <v>481</v>
      </c>
      <c r="H747">
        <v>571</v>
      </c>
      <c r="I747">
        <v>18.7</v>
      </c>
      <c r="J747" t="s">
        <v>55</v>
      </c>
    </row>
    <row r="748" spans="1:10" x14ac:dyDescent="0.35">
      <c r="A748" s="1">
        <v>45460</v>
      </c>
      <c r="B748" t="s">
        <v>39</v>
      </c>
      <c r="C748" t="s">
        <v>40</v>
      </c>
      <c r="D748" t="s">
        <v>21</v>
      </c>
      <c r="E748" t="s">
        <v>22</v>
      </c>
      <c r="F748" t="s">
        <v>23</v>
      </c>
      <c r="G748">
        <v>1447</v>
      </c>
      <c r="H748">
        <v>1058</v>
      </c>
      <c r="I748">
        <v>26.9</v>
      </c>
      <c r="J748" t="s">
        <v>56</v>
      </c>
    </row>
    <row r="749" spans="1:10" x14ac:dyDescent="0.35">
      <c r="A749" s="1">
        <v>45460</v>
      </c>
      <c r="B749" t="s">
        <v>39</v>
      </c>
      <c r="C749" t="s">
        <v>40</v>
      </c>
      <c r="D749" t="s">
        <v>24</v>
      </c>
      <c r="E749" t="s">
        <v>25</v>
      </c>
      <c r="F749" t="s">
        <v>17</v>
      </c>
      <c r="G749">
        <v>654</v>
      </c>
      <c r="H749">
        <v>726</v>
      </c>
      <c r="I749">
        <v>11</v>
      </c>
      <c r="J749" t="s">
        <v>55</v>
      </c>
    </row>
    <row r="750" spans="1:10" x14ac:dyDescent="0.35">
      <c r="A750" s="1">
        <v>45460</v>
      </c>
      <c r="B750" t="s">
        <v>39</v>
      </c>
      <c r="C750" t="s">
        <v>40</v>
      </c>
      <c r="D750" t="s">
        <v>26</v>
      </c>
      <c r="E750" t="s">
        <v>27</v>
      </c>
      <c r="F750" t="s">
        <v>20</v>
      </c>
      <c r="G750">
        <v>1587</v>
      </c>
      <c r="H750">
        <v>1101</v>
      </c>
      <c r="I750">
        <v>30.6</v>
      </c>
      <c r="J750" t="s">
        <v>56</v>
      </c>
    </row>
    <row r="751" spans="1:10" x14ac:dyDescent="0.35">
      <c r="A751" s="1">
        <v>45460</v>
      </c>
      <c r="B751" t="s">
        <v>39</v>
      </c>
      <c r="C751" t="s">
        <v>40</v>
      </c>
      <c r="D751" t="s">
        <v>28</v>
      </c>
      <c r="E751" t="s">
        <v>29</v>
      </c>
      <c r="F751" t="s">
        <v>23</v>
      </c>
      <c r="G751">
        <v>746</v>
      </c>
      <c r="H751">
        <v>887</v>
      </c>
      <c r="I751">
        <v>18.899999999999999</v>
      </c>
      <c r="J751" t="s">
        <v>55</v>
      </c>
    </row>
    <row r="752" spans="1:10" x14ac:dyDescent="0.35">
      <c r="A752" s="1">
        <v>45467</v>
      </c>
      <c r="B752" t="s">
        <v>12</v>
      </c>
      <c r="C752" t="s">
        <v>13</v>
      </c>
      <c r="D752" t="s">
        <v>15</v>
      </c>
      <c r="E752" t="s">
        <v>16</v>
      </c>
      <c r="F752" t="s">
        <v>17</v>
      </c>
      <c r="G752">
        <v>690</v>
      </c>
      <c r="H752">
        <v>934</v>
      </c>
      <c r="I752">
        <v>35.4</v>
      </c>
      <c r="J752" t="s">
        <v>55</v>
      </c>
    </row>
    <row r="753" spans="1:10" x14ac:dyDescent="0.35">
      <c r="A753" s="1">
        <v>45467</v>
      </c>
      <c r="B753" t="s">
        <v>12</v>
      </c>
      <c r="C753" t="s">
        <v>13</v>
      </c>
      <c r="D753" t="s">
        <v>18</v>
      </c>
      <c r="E753" t="s">
        <v>19</v>
      </c>
      <c r="F753" t="s">
        <v>20</v>
      </c>
      <c r="G753">
        <v>830</v>
      </c>
      <c r="H753">
        <v>697</v>
      </c>
      <c r="I753">
        <v>16</v>
      </c>
      <c r="J753" t="s">
        <v>56</v>
      </c>
    </row>
    <row r="754" spans="1:10" x14ac:dyDescent="0.35">
      <c r="A754" s="1">
        <v>45467</v>
      </c>
      <c r="B754" t="s">
        <v>12</v>
      </c>
      <c r="C754" t="s">
        <v>13</v>
      </c>
      <c r="D754" t="s">
        <v>21</v>
      </c>
      <c r="E754" t="s">
        <v>22</v>
      </c>
      <c r="F754" t="s">
        <v>23</v>
      </c>
      <c r="G754">
        <v>551</v>
      </c>
      <c r="H754">
        <v>670</v>
      </c>
      <c r="I754">
        <v>21.6</v>
      </c>
      <c r="J754" t="s">
        <v>55</v>
      </c>
    </row>
    <row r="755" spans="1:10" x14ac:dyDescent="0.35">
      <c r="A755" s="1">
        <v>45467</v>
      </c>
      <c r="B755" t="s">
        <v>12</v>
      </c>
      <c r="C755" t="s">
        <v>13</v>
      </c>
      <c r="D755" t="s">
        <v>24</v>
      </c>
      <c r="E755" t="s">
        <v>25</v>
      </c>
      <c r="F755" t="s">
        <v>17</v>
      </c>
      <c r="G755">
        <v>901</v>
      </c>
      <c r="H755">
        <v>624</v>
      </c>
      <c r="I755">
        <v>30.7</v>
      </c>
      <c r="J755" t="s">
        <v>56</v>
      </c>
    </row>
    <row r="756" spans="1:10" x14ac:dyDescent="0.35">
      <c r="A756" s="1">
        <v>45467</v>
      </c>
      <c r="B756" t="s">
        <v>12</v>
      </c>
      <c r="C756" t="s">
        <v>13</v>
      </c>
      <c r="D756" t="s">
        <v>26</v>
      </c>
      <c r="E756" t="s">
        <v>27</v>
      </c>
      <c r="F756" t="s">
        <v>20</v>
      </c>
      <c r="G756">
        <v>1310</v>
      </c>
      <c r="H756">
        <v>1075</v>
      </c>
      <c r="I756">
        <v>17.899999999999999</v>
      </c>
      <c r="J756" t="s">
        <v>56</v>
      </c>
    </row>
    <row r="757" spans="1:10" x14ac:dyDescent="0.35">
      <c r="A757" s="1">
        <v>45467</v>
      </c>
      <c r="B757" t="s">
        <v>12</v>
      </c>
      <c r="C757" t="s">
        <v>13</v>
      </c>
      <c r="D757" t="s">
        <v>28</v>
      </c>
      <c r="E757" t="s">
        <v>29</v>
      </c>
      <c r="F757" t="s">
        <v>23</v>
      </c>
      <c r="G757">
        <v>928</v>
      </c>
      <c r="H757">
        <v>1160</v>
      </c>
      <c r="I757">
        <v>25</v>
      </c>
      <c r="J757" t="s">
        <v>55</v>
      </c>
    </row>
    <row r="758" spans="1:10" x14ac:dyDescent="0.35">
      <c r="A758" s="1">
        <v>45467</v>
      </c>
      <c r="B758" t="s">
        <v>30</v>
      </c>
      <c r="C758" t="s">
        <v>31</v>
      </c>
      <c r="D758" t="s">
        <v>15</v>
      </c>
      <c r="E758" t="s">
        <v>16</v>
      </c>
      <c r="F758" t="s">
        <v>17</v>
      </c>
      <c r="G758">
        <v>686</v>
      </c>
      <c r="H758">
        <v>600</v>
      </c>
      <c r="I758">
        <v>12.5</v>
      </c>
      <c r="J758" t="s">
        <v>56</v>
      </c>
    </row>
    <row r="759" spans="1:10" x14ac:dyDescent="0.35">
      <c r="A759" s="1">
        <v>45467</v>
      </c>
      <c r="B759" t="s">
        <v>30</v>
      </c>
      <c r="C759" t="s">
        <v>31</v>
      </c>
      <c r="D759" t="s">
        <v>18</v>
      </c>
      <c r="E759" t="s">
        <v>19</v>
      </c>
      <c r="F759" t="s">
        <v>20</v>
      </c>
      <c r="G759">
        <v>852</v>
      </c>
      <c r="H759">
        <v>1145</v>
      </c>
      <c r="I759">
        <v>34.4</v>
      </c>
      <c r="J759" t="s">
        <v>55</v>
      </c>
    </row>
    <row r="760" spans="1:10" x14ac:dyDescent="0.35">
      <c r="A760" s="1">
        <v>45467</v>
      </c>
      <c r="B760" t="s">
        <v>30</v>
      </c>
      <c r="C760" t="s">
        <v>31</v>
      </c>
      <c r="D760" t="s">
        <v>21</v>
      </c>
      <c r="E760" t="s">
        <v>22</v>
      </c>
      <c r="F760" t="s">
        <v>23</v>
      </c>
      <c r="G760">
        <v>996</v>
      </c>
      <c r="H760">
        <v>1167</v>
      </c>
      <c r="I760">
        <v>17.2</v>
      </c>
      <c r="J760" t="s">
        <v>55</v>
      </c>
    </row>
    <row r="761" spans="1:10" x14ac:dyDescent="0.35">
      <c r="A761" s="1">
        <v>45467</v>
      </c>
      <c r="B761" t="s">
        <v>30</v>
      </c>
      <c r="C761" t="s">
        <v>31</v>
      </c>
      <c r="D761" t="s">
        <v>24</v>
      </c>
      <c r="E761" t="s">
        <v>25</v>
      </c>
      <c r="F761" t="s">
        <v>17</v>
      </c>
      <c r="G761">
        <v>1562</v>
      </c>
      <c r="H761">
        <v>1139</v>
      </c>
      <c r="I761">
        <v>27.1</v>
      </c>
      <c r="J761" t="s">
        <v>56</v>
      </c>
    </row>
    <row r="762" spans="1:10" x14ac:dyDescent="0.35">
      <c r="A762" s="1">
        <v>45467</v>
      </c>
      <c r="B762" t="s">
        <v>30</v>
      </c>
      <c r="C762" t="s">
        <v>31</v>
      </c>
      <c r="D762" t="s">
        <v>26</v>
      </c>
      <c r="E762" t="s">
        <v>27</v>
      </c>
      <c r="F762" t="s">
        <v>20</v>
      </c>
      <c r="G762">
        <v>1300</v>
      </c>
      <c r="H762">
        <v>933</v>
      </c>
      <c r="I762">
        <v>28.2</v>
      </c>
      <c r="J762" t="s">
        <v>56</v>
      </c>
    </row>
    <row r="763" spans="1:10" x14ac:dyDescent="0.35">
      <c r="A763" s="1">
        <v>45467</v>
      </c>
      <c r="B763" t="s">
        <v>30</v>
      </c>
      <c r="C763" t="s">
        <v>31</v>
      </c>
      <c r="D763" t="s">
        <v>28</v>
      </c>
      <c r="E763" t="s">
        <v>29</v>
      </c>
      <c r="F763" t="s">
        <v>23</v>
      </c>
      <c r="G763">
        <v>663</v>
      </c>
      <c r="H763">
        <v>580</v>
      </c>
      <c r="I763">
        <v>12.5</v>
      </c>
      <c r="J763" t="s">
        <v>56</v>
      </c>
    </row>
    <row r="764" spans="1:10" x14ac:dyDescent="0.35">
      <c r="A764" s="1">
        <v>45467</v>
      </c>
      <c r="B764" t="s">
        <v>33</v>
      </c>
      <c r="C764" t="s">
        <v>34</v>
      </c>
      <c r="D764" t="s">
        <v>15</v>
      </c>
      <c r="E764" t="s">
        <v>16</v>
      </c>
      <c r="F764" t="s">
        <v>17</v>
      </c>
      <c r="G764">
        <v>1186</v>
      </c>
      <c r="H764">
        <v>999</v>
      </c>
      <c r="I764">
        <v>15.8</v>
      </c>
      <c r="J764" t="s">
        <v>56</v>
      </c>
    </row>
    <row r="765" spans="1:10" x14ac:dyDescent="0.35">
      <c r="A765" s="1">
        <v>45467</v>
      </c>
      <c r="B765" t="s">
        <v>33</v>
      </c>
      <c r="C765" t="s">
        <v>34</v>
      </c>
      <c r="D765" t="s">
        <v>18</v>
      </c>
      <c r="E765" t="s">
        <v>19</v>
      </c>
      <c r="F765" t="s">
        <v>20</v>
      </c>
      <c r="G765">
        <v>833</v>
      </c>
      <c r="H765">
        <v>620</v>
      </c>
      <c r="I765">
        <v>25.6</v>
      </c>
      <c r="J765" t="s">
        <v>56</v>
      </c>
    </row>
    <row r="766" spans="1:10" x14ac:dyDescent="0.35">
      <c r="A766" s="1">
        <v>45467</v>
      </c>
      <c r="B766" t="s">
        <v>33</v>
      </c>
      <c r="C766" t="s">
        <v>34</v>
      </c>
      <c r="D766" t="s">
        <v>21</v>
      </c>
      <c r="E766" t="s">
        <v>22</v>
      </c>
      <c r="F766" t="s">
        <v>23</v>
      </c>
      <c r="G766">
        <v>424</v>
      </c>
      <c r="H766">
        <v>490</v>
      </c>
      <c r="I766">
        <v>15.6</v>
      </c>
      <c r="J766" t="s">
        <v>55</v>
      </c>
    </row>
    <row r="767" spans="1:10" x14ac:dyDescent="0.35">
      <c r="A767" s="1">
        <v>45467</v>
      </c>
      <c r="B767" t="s">
        <v>33</v>
      </c>
      <c r="C767" t="s">
        <v>34</v>
      </c>
      <c r="D767" t="s">
        <v>24</v>
      </c>
      <c r="E767" t="s">
        <v>25</v>
      </c>
      <c r="F767" t="s">
        <v>17</v>
      </c>
      <c r="G767">
        <v>1458</v>
      </c>
      <c r="H767">
        <v>1752</v>
      </c>
      <c r="I767">
        <v>20.2</v>
      </c>
      <c r="J767" t="s">
        <v>55</v>
      </c>
    </row>
    <row r="768" spans="1:10" x14ac:dyDescent="0.35">
      <c r="A768" s="1">
        <v>45467</v>
      </c>
      <c r="B768" t="s">
        <v>33</v>
      </c>
      <c r="C768" t="s">
        <v>34</v>
      </c>
      <c r="D768" t="s">
        <v>26</v>
      </c>
      <c r="E768" t="s">
        <v>27</v>
      </c>
      <c r="F768" t="s">
        <v>20</v>
      </c>
      <c r="G768">
        <v>748</v>
      </c>
      <c r="H768">
        <v>1026</v>
      </c>
      <c r="I768">
        <v>37.200000000000003</v>
      </c>
      <c r="J768" t="s">
        <v>55</v>
      </c>
    </row>
    <row r="769" spans="1:10" x14ac:dyDescent="0.35">
      <c r="A769" s="1">
        <v>45467</v>
      </c>
      <c r="B769" t="s">
        <v>33</v>
      </c>
      <c r="C769" t="s">
        <v>34</v>
      </c>
      <c r="D769" t="s">
        <v>28</v>
      </c>
      <c r="E769" t="s">
        <v>29</v>
      </c>
      <c r="F769" t="s">
        <v>23</v>
      </c>
      <c r="G769">
        <v>1426</v>
      </c>
      <c r="H769">
        <v>1177</v>
      </c>
      <c r="I769">
        <v>17.5</v>
      </c>
      <c r="J769" t="s">
        <v>56</v>
      </c>
    </row>
    <row r="770" spans="1:10" x14ac:dyDescent="0.35">
      <c r="A770" s="1">
        <v>45467</v>
      </c>
      <c r="B770" t="s">
        <v>36</v>
      </c>
      <c r="C770" t="s">
        <v>37</v>
      </c>
      <c r="D770" t="s">
        <v>15</v>
      </c>
      <c r="E770" t="s">
        <v>16</v>
      </c>
      <c r="F770" t="s">
        <v>17</v>
      </c>
      <c r="G770">
        <v>1393</v>
      </c>
      <c r="H770">
        <v>1775</v>
      </c>
      <c r="I770">
        <v>27.4</v>
      </c>
      <c r="J770" t="s">
        <v>55</v>
      </c>
    </row>
    <row r="771" spans="1:10" x14ac:dyDescent="0.35">
      <c r="A771" s="1">
        <v>45467</v>
      </c>
      <c r="B771" t="s">
        <v>36</v>
      </c>
      <c r="C771" t="s">
        <v>37</v>
      </c>
      <c r="D771" t="s">
        <v>18</v>
      </c>
      <c r="E771" t="s">
        <v>19</v>
      </c>
      <c r="F771" t="s">
        <v>20</v>
      </c>
      <c r="G771">
        <v>1387</v>
      </c>
      <c r="H771">
        <v>1570</v>
      </c>
      <c r="I771">
        <v>13.2</v>
      </c>
      <c r="J771" t="s">
        <v>55</v>
      </c>
    </row>
    <row r="772" spans="1:10" x14ac:dyDescent="0.35">
      <c r="A772" s="1">
        <v>45467</v>
      </c>
      <c r="B772" t="s">
        <v>36</v>
      </c>
      <c r="C772" t="s">
        <v>37</v>
      </c>
      <c r="D772" t="s">
        <v>21</v>
      </c>
      <c r="E772" t="s">
        <v>22</v>
      </c>
      <c r="F772" t="s">
        <v>23</v>
      </c>
      <c r="G772">
        <v>429</v>
      </c>
      <c r="H772">
        <v>308</v>
      </c>
      <c r="I772">
        <v>28.2</v>
      </c>
      <c r="J772" t="s">
        <v>56</v>
      </c>
    </row>
    <row r="773" spans="1:10" x14ac:dyDescent="0.35">
      <c r="A773" s="1">
        <v>45467</v>
      </c>
      <c r="B773" t="s">
        <v>36</v>
      </c>
      <c r="C773" t="s">
        <v>37</v>
      </c>
      <c r="D773" t="s">
        <v>24</v>
      </c>
      <c r="E773" t="s">
        <v>25</v>
      </c>
      <c r="F773" t="s">
        <v>17</v>
      </c>
      <c r="G773">
        <v>860</v>
      </c>
      <c r="H773">
        <v>711</v>
      </c>
      <c r="I773">
        <v>17.3</v>
      </c>
      <c r="J773" t="s">
        <v>56</v>
      </c>
    </row>
    <row r="774" spans="1:10" x14ac:dyDescent="0.35">
      <c r="A774" s="1">
        <v>45467</v>
      </c>
      <c r="B774" t="s">
        <v>36</v>
      </c>
      <c r="C774" t="s">
        <v>37</v>
      </c>
      <c r="D774" t="s">
        <v>26</v>
      </c>
      <c r="E774" t="s">
        <v>27</v>
      </c>
      <c r="F774" t="s">
        <v>20</v>
      </c>
      <c r="G774">
        <v>969</v>
      </c>
      <c r="H774">
        <v>1223</v>
      </c>
      <c r="I774">
        <v>26.2</v>
      </c>
      <c r="J774" t="s">
        <v>55</v>
      </c>
    </row>
    <row r="775" spans="1:10" x14ac:dyDescent="0.35">
      <c r="A775" s="1">
        <v>45467</v>
      </c>
      <c r="B775" t="s">
        <v>36</v>
      </c>
      <c r="C775" t="s">
        <v>37</v>
      </c>
      <c r="D775" t="s">
        <v>28</v>
      </c>
      <c r="E775" t="s">
        <v>29</v>
      </c>
      <c r="F775" t="s">
        <v>23</v>
      </c>
      <c r="G775">
        <v>644</v>
      </c>
      <c r="H775">
        <v>466</v>
      </c>
      <c r="I775">
        <v>27.6</v>
      </c>
      <c r="J775" t="s">
        <v>56</v>
      </c>
    </row>
    <row r="776" spans="1:10" x14ac:dyDescent="0.35">
      <c r="A776" s="1">
        <v>45467</v>
      </c>
      <c r="B776" t="s">
        <v>39</v>
      </c>
      <c r="C776" t="s">
        <v>40</v>
      </c>
      <c r="D776" t="s">
        <v>15</v>
      </c>
      <c r="E776" t="s">
        <v>16</v>
      </c>
      <c r="F776" t="s">
        <v>17</v>
      </c>
      <c r="G776">
        <v>1340</v>
      </c>
      <c r="H776">
        <v>1676</v>
      </c>
      <c r="I776">
        <v>25.1</v>
      </c>
      <c r="J776" t="s">
        <v>55</v>
      </c>
    </row>
    <row r="777" spans="1:10" x14ac:dyDescent="0.35">
      <c r="A777" s="1">
        <v>45467</v>
      </c>
      <c r="B777" t="s">
        <v>39</v>
      </c>
      <c r="C777" t="s">
        <v>40</v>
      </c>
      <c r="D777" t="s">
        <v>18</v>
      </c>
      <c r="E777" t="s">
        <v>19</v>
      </c>
      <c r="F777" t="s">
        <v>20</v>
      </c>
      <c r="G777">
        <v>424</v>
      </c>
      <c r="H777">
        <v>564</v>
      </c>
      <c r="I777">
        <v>33</v>
      </c>
      <c r="J777" t="s">
        <v>55</v>
      </c>
    </row>
    <row r="778" spans="1:10" x14ac:dyDescent="0.35">
      <c r="A778" s="1">
        <v>45467</v>
      </c>
      <c r="B778" t="s">
        <v>39</v>
      </c>
      <c r="C778" t="s">
        <v>40</v>
      </c>
      <c r="D778" t="s">
        <v>21</v>
      </c>
      <c r="E778" t="s">
        <v>22</v>
      </c>
      <c r="F778" t="s">
        <v>23</v>
      </c>
      <c r="G778">
        <v>1473</v>
      </c>
      <c r="H778">
        <v>1987</v>
      </c>
      <c r="I778">
        <v>34.9</v>
      </c>
      <c r="J778" t="s">
        <v>55</v>
      </c>
    </row>
    <row r="779" spans="1:10" x14ac:dyDescent="0.35">
      <c r="A779" s="1">
        <v>45467</v>
      </c>
      <c r="B779" t="s">
        <v>39</v>
      </c>
      <c r="C779" t="s">
        <v>40</v>
      </c>
      <c r="D779" t="s">
        <v>24</v>
      </c>
      <c r="E779" t="s">
        <v>25</v>
      </c>
      <c r="F779" t="s">
        <v>17</v>
      </c>
      <c r="G779">
        <v>1144</v>
      </c>
      <c r="H779">
        <v>824</v>
      </c>
      <c r="I779">
        <v>28</v>
      </c>
      <c r="J779" t="s">
        <v>56</v>
      </c>
    </row>
    <row r="780" spans="1:10" x14ac:dyDescent="0.35">
      <c r="A780" s="1">
        <v>45467</v>
      </c>
      <c r="B780" t="s">
        <v>39</v>
      </c>
      <c r="C780" t="s">
        <v>40</v>
      </c>
      <c r="D780" t="s">
        <v>26</v>
      </c>
      <c r="E780" t="s">
        <v>27</v>
      </c>
      <c r="F780" t="s">
        <v>20</v>
      </c>
      <c r="G780">
        <v>602</v>
      </c>
      <c r="H780">
        <v>822</v>
      </c>
      <c r="I780">
        <v>36.5</v>
      </c>
      <c r="J780" t="s">
        <v>55</v>
      </c>
    </row>
    <row r="781" spans="1:10" x14ac:dyDescent="0.35">
      <c r="A781" s="1">
        <v>45467</v>
      </c>
      <c r="B781" t="s">
        <v>39</v>
      </c>
      <c r="C781" t="s">
        <v>40</v>
      </c>
      <c r="D781" t="s">
        <v>28</v>
      </c>
      <c r="E781" t="s">
        <v>29</v>
      </c>
      <c r="F781" t="s">
        <v>23</v>
      </c>
      <c r="G781">
        <v>955</v>
      </c>
      <c r="H781">
        <v>1189</v>
      </c>
      <c r="I781">
        <v>24.5</v>
      </c>
      <c r="J781" t="s">
        <v>55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A9163-A6D0-45FF-9EEB-8F71834F88BF}">
  <dimension ref="A1:I2701"/>
  <sheetViews>
    <sheetView topLeftCell="A2" workbookViewId="0"/>
  </sheetViews>
  <sheetFormatPr defaultRowHeight="14.5" x14ac:dyDescent="0.35"/>
  <cols>
    <col min="1" max="1" width="9.08984375" bestFit="1" customWidth="1"/>
    <col min="2" max="2" width="14.36328125" bestFit="1" customWidth="1"/>
    <col min="3" max="3" width="18.1796875" bestFit="1" customWidth="1"/>
    <col min="4" max="4" width="12.08984375" bestFit="1" customWidth="1"/>
    <col min="5" max="5" width="15.26953125" bestFit="1" customWidth="1"/>
    <col min="6" max="6" width="13.90625" bestFit="1" customWidth="1"/>
    <col min="7" max="7" width="15" bestFit="1" customWidth="1"/>
    <col min="8" max="8" width="8.90625" bestFit="1" customWidth="1"/>
    <col min="9" max="9" width="16.36328125" bestFit="1" customWidth="1"/>
  </cols>
  <sheetData>
    <row r="1" spans="1:9" x14ac:dyDescent="0.35">
      <c r="A1" t="s">
        <v>41</v>
      </c>
      <c r="B1" t="s">
        <v>1</v>
      </c>
      <c r="C1" t="s">
        <v>2</v>
      </c>
      <c r="D1" t="s">
        <v>4</v>
      </c>
      <c r="E1" t="s">
        <v>5</v>
      </c>
      <c r="F1" t="s">
        <v>42</v>
      </c>
      <c r="G1" t="s">
        <v>43</v>
      </c>
      <c r="H1" t="s">
        <v>44</v>
      </c>
      <c r="I1" t="s">
        <v>45</v>
      </c>
    </row>
    <row r="2" spans="1:9" x14ac:dyDescent="0.35">
      <c r="A2" s="1">
        <v>45292</v>
      </c>
      <c r="B2" t="s">
        <v>12</v>
      </c>
      <c r="C2" t="s">
        <v>13</v>
      </c>
      <c r="D2" t="s">
        <v>15</v>
      </c>
      <c r="E2" t="s">
        <v>16</v>
      </c>
      <c r="F2">
        <v>34</v>
      </c>
      <c r="G2">
        <v>36</v>
      </c>
      <c r="H2" t="s">
        <v>46</v>
      </c>
      <c r="I2" t="s">
        <v>47</v>
      </c>
    </row>
    <row r="3" spans="1:9" x14ac:dyDescent="0.35">
      <c r="A3" s="1">
        <v>45292</v>
      </c>
      <c r="B3" t="s">
        <v>12</v>
      </c>
      <c r="C3" t="s">
        <v>13</v>
      </c>
      <c r="D3" t="s">
        <v>18</v>
      </c>
      <c r="E3" t="s">
        <v>19</v>
      </c>
      <c r="F3">
        <v>38</v>
      </c>
      <c r="G3">
        <v>40.4</v>
      </c>
      <c r="H3" t="s">
        <v>46</v>
      </c>
      <c r="I3" t="s">
        <v>47</v>
      </c>
    </row>
    <row r="4" spans="1:9" x14ac:dyDescent="0.35">
      <c r="A4" s="1">
        <v>45292</v>
      </c>
      <c r="B4" t="s">
        <v>12</v>
      </c>
      <c r="C4" t="s">
        <v>13</v>
      </c>
      <c r="D4" t="s">
        <v>21</v>
      </c>
      <c r="E4" t="s">
        <v>22</v>
      </c>
      <c r="F4">
        <v>32</v>
      </c>
      <c r="G4">
        <v>33.5</v>
      </c>
      <c r="H4" t="s">
        <v>46</v>
      </c>
      <c r="I4" t="s">
        <v>47</v>
      </c>
    </row>
    <row r="5" spans="1:9" x14ac:dyDescent="0.35">
      <c r="A5" s="1">
        <v>45292</v>
      </c>
      <c r="B5" t="s">
        <v>12</v>
      </c>
      <c r="C5" t="s">
        <v>13</v>
      </c>
      <c r="D5" t="s">
        <v>24</v>
      </c>
      <c r="E5" t="s">
        <v>25</v>
      </c>
      <c r="F5">
        <v>50</v>
      </c>
      <c r="G5">
        <v>52.5</v>
      </c>
      <c r="H5" t="s">
        <v>46</v>
      </c>
      <c r="I5" t="s">
        <v>47</v>
      </c>
    </row>
    <row r="6" spans="1:9" x14ac:dyDescent="0.35">
      <c r="A6" s="1">
        <v>45292</v>
      </c>
      <c r="B6" t="s">
        <v>12</v>
      </c>
      <c r="C6" t="s">
        <v>13</v>
      </c>
      <c r="D6" t="s">
        <v>26</v>
      </c>
      <c r="E6" t="s">
        <v>27</v>
      </c>
      <c r="F6">
        <v>38</v>
      </c>
      <c r="G6">
        <v>40.5</v>
      </c>
      <c r="H6" t="s">
        <v>46</v>
      </c>
      <c r="I6" t="s">
        <v>47</v>
      </c>
    </row>
    <row r="7" spans="1:9" x14ac:dyDescent="0.35">
      <c r="A7" s="1">
        <v>45292</v>
      </c>
      <c r="B7" t="s">
        <v>12</v>
      </c>
      <c r="C7" t="s">
        <v>13</v>
      </c>
      <c r="D7" t="s">
        <v>28</v>
      </c>
      <c r="E7" t="s">
        <v>29</v>
      </c>
      <c r="F7">
        <v>32</v>
      </c>
      <c r="G7">
        <v>34.799999999999997</v>
      </c>
      <c r="H7" t="s">
        <v>46</v>
      </c>
      <c r="I7" t="s">
        <v>47</v>
      </c>
    </row>
    <row r="8" spans="1:9" x14ac:dyDescent="0.35">
      <c r="A8" s="1">
        <v>45292</v>
      </c>
      <c r="B8" t="s">
        <v>30</v>
      </c>
      <c r="C8" t="s">
        <v>31</v>
      </c>
      <c r="D8" t="s">
        <v>15</v>
      </c>
      <c r="E8" t="s">
        <v>16</v>
      </c>
      <c r="F8">
        <v>34</v>
      </c>
      <c r="G8">
        <v>47</v>
      </c>
      <c r="H8" t="s">
        <v>48</v>
      </c>
      <c r="I8" t="s">
        <v>49</v>
      </c>
    </row>
    <row r="9" spans="1:9" x14ac:dyDescent="0.35">
      <c r="A9" s="1">
        <v>45292</v>
      </c>
      <c r="B9" t="s">
        <v>30</v>
      </c>
      <c r="C9" t="s">
        <v>31</v>
      </c>
      <c r="D9" t="s">
        <v>18</v>
      </c>
      <c r="E9" t="s">
        <v>19</v>
      </c>
      <c r="F9">
        <v>38</v>
      </c>
      <c r="G9">
        <v>44.3</v>
      </c>
      <c r="H9" t="s">
        <v>48</v>
      </c>
      <c r="I9" t="s">
        <v>50</v>
      </c>
    </row>
    <row r="10" spans="1:9" x14ac:dyDescent="0.35">
      <c r="A10" s="1">
        <v>45292</v>
      </c>
      <c r="B10" t="s">
        <v>30</v>
      </c>
      <c r="C10" t="s">
        <v>31</v>
      </c>
      <c r="D10" t="s">
        <v>21</v>
      </c>
      <c r="E10" t="s">
        <v>22</v>
      </c>
      <c r="F10">
        <v>32</v>
      </c>
      <c r="G10">
        <v>32.6</v>
      </c>
      <c r="H10" t="s">
        <v>46</v>
      </c>
      <c r="I10" t="s">
        <v>47</v>
      </c>
    </row>
    <row r="11" spans="1:9" x14ac:dyDescent="0.35">
      <c r="A11" s="1">
        <v>45292</v>
      </c>
      <c r="B11" t="s">
        <v>30</v>
      </c>
      <c r="C11" t="s">
        <v>31</v>
      </c>
      <c r="D11" t="s">
        <v>24</v>
      </c>
      <c r="E11" t="s">
        <v>25</v>
      </c>
      <c r="F11">
        <v>50</v>
      </c>
      <c r="G11">
        <v>49.3</v>
      </c>
      <c r="H11" t="s">
        <v>46</v>
      </c>
      <c r="I11" t="s">
        <v>47</v>
      </c>
    </row>
    <row r="12" spans="1:9" x14ac:dyDescent="0.35">
      <c r="A12" s="1">
        <v>45292</v>
      </c>
      <c r="B12" t="s">
        <v>30</v>
      </c>
      <c r="C12" t="s">
        <v>31</v>
      </c>
      <c r="D12" t="s">
        <v>26</v>
      </c>
      <c r="E12" t="s">
        <v>27</v>
      </c>
      <c r="F12">
        <v>38</v>
      </c>
      <c r="G12">
        <v>40</v>
      </c>
      <c r="H12" t="s">
        <v>46</v>
      </c>
      <c r="I12" t="s">
        <v>47</v>
      </c>
    </row>
    <row r="13" spans="1:9" x14ac:dyDescent="0.35">
      <c r="A13" s="1">
        <v>45292</v>
      </c>
      <c r="B13" t="s">
        <v>30</v>
      </c>
      <c r="C13" t="s">
        <v>31</v>
      </c>
      <c r="D13" t="s">
        <v>28</v>
      </c>
      <c r="E13" t="s">
        <v>29</v>
      </c>
      <c r="F13">
        <v>32</v>
      </c>
      <c r="G13">
        <v>31.8</v>
      </c>
      <c r="H13" t="s">
        <v>46</v>
      </c>
      <c r="I13" t="s">
        <v>47</v>
      </c>
    </row>
    <row r="14" spans="1:9" x14ac:dyDescent="0.35">
      <c r="A14" s="1">
        <v>45292</v>
      </c>
      <c r="B14" t="s">
        <v>33</v>
      </c>
      <c r="C14" t="s">
        <v>34</v>
      </c>
      <c r="D14" t="s">
        <v>15</v>
      </c>
      <c r="E14" t="s">
        <v>16</v>
      </c>
      <c r="F14">
        <v>34</v>
      </c>
      <c r="G14">
        <v>36.4</v>
      </c>
      <c r="H14" t="s">
        <v>46</v>
      </c>
      <c r="I14" t="s">
        <v>47</v>
      </c>
    </row>
    <row r="15" spans="1:9" x14ac:dyDescent="0.35">
      <c r="A15" s="1">
        <v>45292</v>
      </c>
      <c r="B15" t="s">
        <v>33</v>
      </c>
      <c r="C15" t="s">
        <v>34</v>
      </c>
      <c r="D15" t="s">
        <v>18</v>
      </c>
      <c r="E15" t="s">
        <v>19</v>
      </c>
      <c r="F15">
        <v>38</v>
      </c>
      <c r="G15">
        <v>45.5</v>
      </c>
      <c r="H15" t="s">
        <v>48</v>
      </c>
      <c r="I15" t="s">
        <v>50</v>
      </c>
    </row>
    <row r="16" spans="1:9" x14ac:dyDescent="0.35">
      <c r="A16" s="1">
        <v>45292</v>
      </c>
      <c r="B16" t="s">
        <v>33</v>
      </c>
      <c r="C16" t="s">
        <v>34</v>
      </c>
      <c r="D16" t="s">
        <v>21</v>
      </c>
      <c r="E16" t="s">
        <v>22</v>
      </c>
      <c r="F16">
        <v>32</v>
      </c>
      <c r="G16">
        <v>32</v>
      </c>
      <c r="H16" t="s">
        <v>46</v>
      </c>
      <c r="I16" t="s">
        <v>47</v>
      </c>
    </row>
    <row r="17" spans="1:9" x14ac:dyDescent="0.35">
      <c r="A17" s="1">
        <v>45292</v>
      </c>
      <c r="B17" t="s">
        <v>33</v>
      </c>
      <c r="C17" t="s">
        <v>34</v>
      </c>
      <c r="D17" t="s">
        <v>24</v>
      </c>
      <c r="E17" t="s">
        <v>25</v>
      </c>
      <c r="F17">
        <v>50</v>
      </c>
      <c r="G17">
        <v>61.4</v>
      </c>
      <c r="H17" t="s">
        <v>48</v>
      </c>
      <c r="I17" t="s">
        <v>49</v>
      </c>
    </row>
    <row r="18" spans="1:9" x14ac:dyDescent="0.35">
      <c r="A18" s="1">
        <v>45292</v>
      </c>
      <c r="B18" t="s">
        <v>33</v>
      </c>
      <c r="C18" t="s">
        <v>34</v>
      </c>
      <c r="D18" t="s">
        <v>26</v>
      </c>
      <c r="E18" t="s">
        <v>27</v>
      </c>
      <c r="F18">
        <v>38</v>
      </c>
      <c r="G18">
        <v>37.200000000000003</v>
      </c>
      <c r="H18" t="s">
        <v>46</v>
      </c>
      <c r="I18" t="s">
        <v>47</v>
      </c>
    </row>
    <row r="19" spans="1:9" x14ac:dyDescent="0.35">
      <c r="A19" s="1">
        <v>45292</v>
      </c>
      <c r="B19" t="s">
        <v>33</v>
      </c>
      <c r="C19" t="s">
        <v>34</v>
      </c>
      <c r="D19" t="s">
        <v>28</v>
      </c>
      <c r="E19" t="s">
        <v>29</v>
      </c>
      <c r="F19">
        <v>32</v>
      </c>
      <c r="G19">
        <v>35</v>
      </c>
      <c r="H19" t="s">
        <v>46</v>
      </c>
      <c r="I19" t="s">
        <v>47</v>
      </c>
    </row>
    <row r="20" spans="1:9" x14ac:dyDescent="0.35">
      <c r="A20" s="1">
        <v>45292</v>
      </c>
      <c r="B20" t="s">
        <v>36</v>
      </c>
      <c r="C20" t="s">
        <v>37</v>
      </c>
      <c r="D20" t="s">
        <v>15</v>
      </c>
      <c r="E20" t="s">
        <v>16</v>
      </c>
      <c r="F20">
        <v>34</v>
      </c>
      <c r="G20">
        <v>35.6</v>
      </c>
      <c r="H20" t="s">
        <v>46</v>
      </c>
      <c r="I20" t="s">
        <v>47</v>
      </c>
    </row>
    <row r="21" spans="1:9" x14ac:dyDescent="0.35">
      <c r="A21" s="1">
        <v>45292</v>
      </c>
      <c r="B21" t="s">
        <v>36</v>
      </c>
      <c r="C21" t="s">
        <v>37</v>
      </c>
      <c r="D21" t="s">
        <v>18</v>
      </c>
      <c r="E21" t="s">
        <v>19</v>
      </c>
      <c r="F21">
        <v>38</v>
      </c>
      <c r="G21">
        <v>49.4</v>
      </c>
      <c r="H21" t="s">
        <v>48</v>
      </c>
      <c r="I21" t="s">
        <v>49</v>
      </c>
    </row>
    <row r="22" spans="1:9" x14ac:dyDescent="0.35">
      <c r="A22" s="1">
        <v>45292</v>
      </c>
      <c r="B22" t="s">
        <v>36</v>
      </c>
      <c r="C22" t="s">
        <v>37</v>
      </c>
      <c r="D22" t="s">
        <v>21</v>
      </c>
      <c r="E22" t="s">
        <v>22</v>
      </c>
      <c r="F22">
        <v>32</v>
      </c>
      <c r="G22">
        <v>31.8</v>
      </c>
      <c r="H22" t="s">
        <v>46</v>
      </c>
      <c r="I22" t="s">
        <v>47</v>
      </c>
    </row>
    <row r="23" spans="1:9" x14ac:dyDescent="0.35">
      <c r="A23" s="1">
        <v>45292</v>
      </c>
      <c r="B23" t="s">
        <v>36</v>
      </c>
      <c r="C23" t="s">
        <v>37</v>
      </c>
      <c r="D23" t="s">
        <v>24</v>
      </c>
      <c r="E23" t="s">
        <v>25</v>
      </c>
      <c r="F23">
        <v>50</v>
      </c>
      <c r="G23">
        <v>52.8</v>
      </c>
      <c r="H23" t="s">
        <v>46</v>
      </c>
      <c r="I23" t="s">
        <v>47</v>
      </c>
    </row>
    <row r="24" spans="1:9" x14ac:dyDescent="0.35">
      <c r="A24" s="1">
        <v>45292</v>
      </c>
      <c r="B24" t="s">
        <v>36</v>
      </c>
      <c r="C24" t="s">
        <v>37</v>
      </c>
      <c r="D24" t="s">
        <v>26</v>
      </c>
      <c r="E24" t="s">
        <v>27</v>
      </c>
      <c r="F24">
        <v>38</v>
      </c>
      <c r="G24">
        <v>39.700000000000003</v>
      </c>
      <c r="H24" t="s">
        <v>46</v>
      </c>
      <c r="I24" t="s">
        <v>47</v>
      </c>
    </row>
    <row r="25" spans="1:9" x14ac:dyDescent="0.35">
      <c r="A25" s="1">
        <v>45292</v>
      </c>
      <c r="B25" t="s">
        <v>36</v>
      </c>
      <c r="C25" t="s">
        <v>37</v>
      </c>
      <c r="D25" t="s">
        <v>28</v>
      </c>
      <c r="E25" t="s">
        <v>29</v>
      </c>
      <c r="F25">
        <v>32</v>
      </c>
      <c r="G25">
        <v>32.1</v>
      </c>
      <c r="H25" t="s">
        <v>46</v>
      </c>
      <c r="I25" t="s">
        <v>47</v>
      </c>
    </row>
    <row r="26" spans="1:9" x14ac:dyDescent="0.35">
      <c r="A26" s="1">
        <v>45292</v>
      </c>
      <c r="B26" t="s">
        <v>39</v>
      </c>
      <c r="C26" t="s">
        <v>40</v>
      </c>
      <c r="D26" t="s">
        <v>15</v>
      </c>
      <c r="E26" t="s">
        <v>16</v>
      </c>
      <c r="F26">
        <v>34</v>
      </c>
      <c r="G26">
        <v>41.5</v>
      </c>
      <c r="H26" t="s">
        <v>48</v>
      </c>
      <c r="I26" t="s">
        <v>50</v>
      </c>
    </row>
    <row r="27" spans="1:9" x14ac:dyDescent="0.35">
      <c r="A27" s="1">
        <v>45292</v>
      </c>
      <c r="B27" t="s">
        <v>39</v>
      </c>
      <c r="C27" t="s">
        <v>40</v>
      </c>
      <c r="D27" t="s">
        <v>18</v>
      </c>
      <c r="E27" t="s">
        <v>19</v>
      </c>
      <c r="F27">
        <v>38</v>
      </c>
      <c r="G27">
        <v>38.299999999999997</v>
      </c>
      <c r="H27" t="s">
        <v>46</v>
      </c>
      <c r="I27" t="s">
        <v>47</v>
      </c>
    </row>
    <row r="28" spans="1:9" x14ac:dyDescent="0.35">
      <c r="A28" s="1">
        <v>45292</v>
      </c>
      <c r="B28" t="s">
        <v>39</v>
      </c>
      <c r="C28" t="s">
        <v>40</v>
      </c>
      <c r="D28" t="s">
        <v>21</v>
      </c>
      <c r="E28" t="s">
        <v>22</v>
      </c>
      <c r="F28">
        <v>32</v>
      </c>
      <c r="G28">
        <v>33.799999999999997</v>
      </c>
      <c r="H28" t="s">
        <v>46</v>
      </c>
      <c r="I28" t="s">
        <v>47</v>
      </c>
    </row>
    <row r="29" spans="1:9" x14ac:dyDescent="0.35">
      <c r="A29" s="1">
        <v>45292</v>
      </c>
      <c r="B29" t="s">
        <v>39</v>
      </c>
      <c r="C29" t="s">
        <v>40</v>
      </c>
      <c r="D29" t="s">
        <v>24</v>
      </c>
      <c r="E29" t="s">
        <v>25</v>
      </c>
      <c r="F29">
        <v>50</v>
      </c>
      <c r="G29">
        <v>60.5</v>
      </c>
      <c r="H29" t="s">
        <v>48</v>
      </c>
      <c r="I29" t="s">
        <v>49</v>
      </c>
    </row>
    <row r="30" spans="1:9" x14ac:dyDescent="0.35">
      <c r="A30" s="1">
        <v>45292</v>
      </c>
      <c r="B30" t="s">
        <v>39</v>
      </c>
      <c r="C30" t="s">
        <v>40</v>
      </c>
      <c r="D30" t="s">
        <v>26</v>
      </c>
      <c r="E30" t="s">
        <v>27</v>
      </c>
      <c r="F30">
        <v>38</v>
      </c>
      <c r="G30">
        <v>40.799999999999997</v>
      </c>
      <c r="H30" t="s">
        <v>46</v>
      </c>
      <c r="I30" t="s">
        <v>47</v>
      </c>
    </row>
    <row r="31" spans="1:9" x14ac:dyDescent="0.35">
      <c r="A31" s="1">
        <v>45292</v>
      </c>
      <c r="B31" t="s">
        <v>39</v>
      </c>
      <c r="C31" t="s">
        <v>40</v>
      </c>
      <c r="D31" t="s">
        <v>28</v>
      </c>
      <c r="E31" t="s">
        <v>29</v>
      </c>
      <c r="F31">
        <v>32</v>
      </c>
      <c r="G31">
        <v>40.5</v>
      </c>
      <c r="H31" t="s">
        <v>48</v>
      </c>
      <c r="I31" t="s">
        <v>50</v>
      </c>
    </row>
    <row r="32" spans="1:9" x14ac:dyDescent="0.35">
      <c r="A32" s="1">
        <v>45293</v>
      </c>
      <c r="B32" t="s">
        <v>12</v>
      </c>
      <c r="C32" t="s">
        <v>13</v>
      </c>
      <c r="D32" t="s">
        <v>15</v>
      </c>
      <c r="E32" t="s">
        <v>16</v>
      </c>
      <c r="F32">
        <v>34</v>
      </c>
      <c r="G32">
        <v>35.799999999999997</v>
      </c>
      <c r="H32" t="s">
        <v>46</v>
      </c>
      <c r="I32" t="s">
        <v>47</v>
      </c>
    </row>
    <row r="33" spans="1:9" x14ac:dyDescent="0.35">
      <c r="A33" s="1">
        <v>45293</v>
      </c>
      <c r="B33" t="s">
        <v>12</v>
      </c>
      <c r="C33" t="s">
        <v>13</v>
      </c>
      <c r="D33" t="s">
        <v>18</v>
      </c>
      <c r="E33" t="s">
        <v>19</v>
      </c>
      <c r="F33">
        <v>38</v>
      </c>
      <c r="G33">
        <v>38.1</v>
      </c>
      <c r="H33" t="s">
        <v>46</v>
      </c>
      <c r="I33" t="s">
        <v>47</v>
      </c>
    </row>
    <row r="34" spans="1:9" x14ac:dyDescent="0.35">
      <c r="A34" s="1">
        <v>45293</v>
      </c>
      <c r="B34" t="s">
        <v>12</v>
      </c>
      <c r="C34" t="s">
        <v>13</v>
      </c>
      <c r="D34" t="s">
        <v>21</v>
      </c>
      <c r="E34" t="s">
        <v>22</v>
      </c>
      <c r="F34">
        <v>32</v>
      </c>
      <c r="G34">
        <v>33.700000000000003</v>
      </c>
      <c r="H34" t="s">
        <v>46</v>
      </c>
      <c r="I34" t="s">
        <v>47</v>
      </c>
    </row>
    <row r="35" spans="1:9" x14ac:dyDescent="0.35">
      <c r="A35" s="1">
        <v>45293</v>
      </c>
      <c r="B35" t="s">
        <v>12</v>
      </c>
      <c r="C35" t="s">
        <v>13</v>
      </c>
      <c r="D35" t="s">
        <v>24</v>
      </c>
      <c r="E35" t="s">
        <v>25</v>
      </c>
      <c r="F35">
        <v>50</v>
      </c>
      <c r="G35">
        <v>50.9</v>
      </c>
      <c r="H35" t="s">
        <v>46</v>
      </c>
      <c r="I35" t="s">
        <v>47</v>
      </c>
    </row>
    <row r="36" spans="1:9" x14ac:dyDescent="0.35">
      <c r="A36" s="1">
        <v>45293</v>
      </c>
      <c r="B36" t="s">
        <v>12</v>
      </c>
      <c r="C36" t="s">
        <v>13</v>
      </c>
      <c r="D36" t="s">
        <v>26</v>
      </c>
      <c r="E36" t="s">
        <v>27</v>
      </c>
      <c r="F36">
        <v>38</v>
      </c>
      <c r="G36">
        <v>40.1</v>
      </c>
      <c r="H36" t="s">
        <v>46</v>
      </c>
      <c r="I36" t="s">
        <v>47</v>
      </c>
    </row>
    <row r="37" spans="1:9" x14ac:dyDescent="0.35">
      <c r="A37" s="1">
        <v>45293</v>
      </c>
      <c r="B37" t="s">
        <v>12</v>
      </c>
      <c r="C37" t="s">
        <v>13</v>
      </c>
      <c r="D37" t="s">
        <v>28</v>
      </c>
      <c r="E37" t="s">
        <v>29</v>
      </c>
      <c r="F37">
        <v>32</v>
      </c>
      <c r="G37">
        <v>31.4</v>
      </c>
      <c r="H37" t="s">
        <v>46</v>
      </c>
      <c r="I37" t="s">
        <v>47</v>
      </c>
    </row>
    <row r="38" spans="1:9" x14ac:dyDescent="0.35">
      <c r="A38" s="1">
        <v>45293</v>
      </c>
      <c r="B38" t="s">
        <v>30</v>
      </c>
      <c r="C38" t="s">
        <v>31</v>
      </c>
      <c r="D38" t="s">
        <v>15</v>
      </c>
      <c r="E38" t="s">
        <v>16</v>
      </c>
      <c r="F38">
        <v>34</v>
      </c>
      <c r="G38">
        <v>33.299999999999997</v>
      </c>
      <c r="H38" t="s">
        <v>46</v>
      </c>
      <c r="I38" t="s">
        <v>47</v>
      </c>
    </row>
    <row r="39" spans="1:9" x14ac:dyDescent="0.35">
      <c r="A39" s="1">
        <v>45293</v>
      </c>
      <c r="B39" t="s">
        <v>30</v>
      </c>
      <c r="C39" t="s">
        <v>31</v>
      </c>
      <c r="D39" t="s">
        <v>18</v>
      </c>
      <c r="E39" t="s">
        <v>19</v>
      </c>
      <c r="F39">
        <v>38</v>
      </c>
      <c r="G39">
        <v>40.299999999999997</v>
      </c>
      <c r="H39" t="s">
        <v>46</v>
      </c>
      <c r="I39" t="s">
        <v>47</v>
      </c>
    </row>
    <row r="40" spans="1:9" x14ac:dyDescent="0.35">
      <c r="A40" s="1">
        <v>45293</v>
      </c>
      <c r="B40" t="s">
        <v>30</v>
      </c>
      <c r="C40" t="s">
        <v>31</v>
      </c>
      <c r="D40" t="s">
        <v>21</v>
      </c>
      <c r="E40" t="s">
        <v>22</v>
      </c>
      <c r="F40">
        <v>32</v>
      </c>
      <c r="G40">
        <v>31.8</v>
      </c>
      <c r="H40" t="s">
        <v>46</v>
      </c>
      <c r="I40" t="s">
        <v>47</v>
      </c>
    </row>
    <row r="41" spans="1:9" x14ac:dyDescent="0.35">
      <c r="A41" s="1">
        <v>45293</v>
      </c>
      <c r="B41" t="s">
        <v>30</v>
      </c>
      <c r="C41" t="s">
        <v>31</v>
      </c>
      <c r="D41" t="s">
        <v>24</v>
      </c>
      <c r="E41" t="s">
        <v>25</v>
      </c>
      <c r="F41">
        <v>50</v>
      </c>
      <c r="G41">
        <v>51.5</v>
      </c>
      <c r="H41" t="s">
        <v>46</v>
      </c>
      <c r="I41" t="s">
        <v>47</v>
      </c>
    </row>
    <row r="42" spans="1:9" x14ac:dyDescent="0.35">
      <c r="A42" s="1">
        <v>45293</v>
      </c>
      <c r="B42" t="s">
        <v>30</v>
      </c>
      <c r="C42" t="s">
        <v>31</v>
      </c>
      <c r="D42" t="s">
        <v>26</v>
      </c>
      <c r="E42" t="s">
        <v>27</v>
      </c>
      <c r="F42">
        <v>38</v>
      </c>
      <c r="G42">
        <v>40.6</v>
      </c>
      <c r="H42" t="s">
        <v>46</v>
      </c>
      <c r="I42" t="s">
        <v>47</v>
      </c>
    </row>
    <row r="43" spans="1:9" x14ac:dyDescent="0.35">
      <c r="A43" s="1">
        <v>45293</v>
      </c>
      <c r="B43" t="s">
        <v>30</v>
      </c>
      <c r="C43" t="s">
        <v>31</v>
      </c>
      <c r="D43" t="s">
        <v>28</v>
      </c>
      <c r="E43" t="s">
        <v>29</v>
      </c>
      <c r="F43">
        <v>32</v>
      </c>
      <c r="G43">
        <v>33.5</v>
      </c>
      <c r="H43" t="s">
        <v>46</v>
      </c>
      <c r="I43" t="s">
        <v>47</v>
      </c>
    </row>
    <row r="44" spans="1:9" x14ac:dyDescent="0.35">
      <c r="A44" s="1">
        <v>45293</v>
      </c>
      <c r="B44" t="s">
        <v>33</v>
      </c>
      <c r="C44" t="s">
        <v>34</v>
      </c>
      <c r="D44" t="s">
        <v>15</v>
      </c>
      <c r="E44" t="s">
        <v>16</v>
      </c>
      <c r="F44">
        <v>34</v>
      </c>
      <c r="G44">
        <v>35.299999999999997</v>
      </c>
      <c r="H44" t="s">
        <v>46</v>
      </c>
      <c r="I44" t="s">
        <v>47</v>
      </c>
    </row>
    <row r="45" spans="1:9" x14ac:dyDescent="0.35">
      <c r="A45" s="1">
        <v>45293</v>
      </c>
      <c r="B45" t="s">
        <v>33</v>
      </c>
      <c r="C45" t="s">
        <v>34</v>
      </c>
      <c r="D45" t="s">
        <v>18</v>
      </c>
      <c r="E45" t="s">
        <v>19</v>
      </c>
      <c r="F45">
        <v>38</v>
      </c>
      <c r="G45">
        <v>37.9</v>
      </c>
      <c r="H45" t="s">
        <v>46</v>
      </c>
      <c r="I45" t="s">
        <v>47</v>
      </c>
    </row>
    <row r="46" spans="1:9" x14ac:dyDescent="0.35">
      <c r="A46" s="1">
        <v>45293</v>
      </c>
      <c r="B46" t="s">
        <v>33</v>
      </c>
      <c r="C46" t="s">
        <v>34</v>
      </c>
      <c r="D46" t="s">
        <v>21</v>
      </c>
      <c r="E46" t="s">
        <v>22</v>
      </c>
      <c r="F46">
        <v>32</v>
      </c>
      <c r="G46">
        <v>40.1</v>
      </c>
      <c r="H46" t="s">
        <v>48</v>
      </c>
      <c r="I46" t="s">
        <v>50</v>
      </c>
    </row>
    <row r="47" spans="1:9" x14ac:dyDescent="0.35">
      <c r="A47" s="1">
        <v>45293</v>
      </c>
      <c r="B47" t="s">
        <v>33</v>
      </c>
      <c r="C47" t="s">
        <v>34</v>
      </c>
      <c r="D47" t="s">
        <v>24</v>
      </c>
      <c r="E47" t="s">
        <v>25</v>
      </c>
      <c r="F47">
        <v>50</v>
      </c>
      <c r="G47">
        <v>51.2</v>
      </c>
      <c r="H47" t="s">
        <v>46</v>
      </c>
      <c r="I47" t="s">
        <v>47</v>
      </c>
    </row>
    <row r="48" spans="1:9" x14ac:dyDescent="0.35">
      <c r="A48" s="1">
        <v>45293</v>
      </c>
      <c r="B48" t="s">
        <v>33</v>
      </c>
      <c r="C48" t="s">
        <v>34</v>
      </c>
      <c r="D48" t="s">
        <v>26</v>
      </c>
      <c r="E48" t="s">
        <v>27</v>
      </c>
      <c r="F48">
        <v>38</v>
      </c>
      <c r="G48">
        <v>37.6</v>
      </c>
      <c r="H48" t="s">
        <v>46</v>
      </c>
      <c r="I48" t="s">
        <v>47</v>
      </c>
    </row>
    <row r="49" spans="1:9" x14ac:dyDescent="0.35">
      <c r="A49" s="1">
        <v>45293</v>
      </c>
      <c r="B49" t="s">
        <v>33</v>
      </c>
      <c r="C49" t="s">
        <v>34</v>
      </c>
      <c r="D49" t="s">
        <v>28</v>
      </c>
      <c r="E49" t="s">
        <v>29</v>
      </c>
      <c r="F49">
        <v>32</v>
      </c>
      <c r="G49">
        <v>34.6</v>
      </c>
      <c r="H49" t="s">
        <v>46</v>
      </c>
      <c r="I49" t="s">
        <v>47</v>
      </c>
    </row>
    <row r="50" spans="1:9" x14ac:dyDescent="0.35">
      <c r="A50" s="1">
        <v>45293</v>
      </c>
      <c r="B50" t="s">
        <v>36</v>
      </c>
      <c r="C50" t="s">
        <v>37</v>
      </c>
      <c r="D50" t="s">
        <v>15</v>
      </c>
      <c r="E50" t="s">
        <v>16</v>
      </c>
      <c r="F50">
        <v>34</v>
      </c>
      <c r="G50">
        <v>36.4</v>
      </c>
      <c r="H50" t="s">
        <v>46</v>
      </c>
      <c r="I50" t="s">
        <v>47</v>
      </c>
    </row>
    <row r="51" spans="1:9" x14ac:dyDescent="0.35">
      <c r="A51" s="1">
        <v>45293</v>
      </c>
      <c r="B51" t="s">
        <v>36</v>
      </c>
      <c r="C51" t="s">
        <v>37</v>
      </c>
      <c r="D51" t="s">
        <v>18</v>
      </c>
      <c r="E51" t="s">
        <v>19</v>
      </c>
      <c r="F51">
        <v>38</v>
      </c>
      <c r="G51">
        <v>48</v>
      </c>
      <c r="H51" t="s">
        <v>48</v>
      </c>
      <c r="I51" t="s">
        <v>49</v>
      </c>
    </row>
    <row r="52" spans="1:9" x14ac:dyDescent="0.35">
      <c r="A52" s="1">
        <v>45293</v>
      </c>
      <c r="B52" t="s">
        <v>36</v>
      </c>
      <c r="C52" t="s">
        <v>37</v>
      </c>
      <c r="D52" t="s">
        <v>21</v>
      </c>
      <c r="E52" t="s">
        <v>22</v>
      </c>
      <c r="F52">
        <v>32</v>
      </c>
      <c r="G52">
        <v>40.9</v>
      </c>
      <c r="H52" t="s">
        <v>48</v>
      </c>
      <c r="I52" t="s">
        <v>50</v>
      </c>
    </row>
    <row r="53" spans="1:9" x14ac:dyDescent="0.35">
      <c r="A53" s="1">
        <v>45293</v>
      </c>
      <c r="B53" t="s">
        <v>36</v>
      </c>
      <c r="C53" t="s">
        <v>37</v>
      </c>
      <c r="D53" t="s">
        <v>24</v>
      </c>
      <c r="E53" t="s">
        <v>25</v>
      </c>
      <c r="F53">
        <v>50</v>
      </c>
      <c r="G53">
        <v>57.9</v>
      </c>
      <c r="H53" t="s">
        <v>48</v>
      </c>
      <c r="I53" t="s">
        <v>50</v>
      </c>
    </row>
    <row r="54" spans="1:9" x14ac:dyDescent="0.35">
      <c r="A54" s="1">
        <v>45293</v>
      </c>
      <c r="B54" t="s">
        <v>36</v>
      </c>
      <c r="C54" t="s">
        <v>37</v>
      </c>
      <c r="D54" t="s">
        <v>26</v>
      </c>
      <c r="E54" t="s">
        <v>27</v>
      </c>
      <c r="F54">
        <v>38</v>
      </c>
      <c r="G54">
        <v>40.9</v>
      </c>
      <c r="H54" t="s">
        <v>46</v>
      </c>
      <c r="I54" t="s">
        <v>47</v>
      </c>
    </row>
    <row r="55" spans="1:9" x14ac:dyDescent="0.35">
      <c r="A55" s="1">
        <v>45293</v>
      </c>
      <c r="B55" t="s">
        <v>36</v>
      </c>
      <c r="C55" t="s">
        <v>37</v>
      </c>
      <c r="D55" t="s">
        <v>28</v>
      </c>
      <c r="E55" t="s">
        <v>29</v>
      </c>
      <c r="F55">
        <v>32</v>
      </c>
      <c r="G55">
        <v>34</v>
      </c>
      <c r="H55" t="s">
        <v>46</v>
      </c>
      <c r="I55" t="s">
        <v>47</v>
      </c>
    </row>
    <row r="56" spans="1:9" x14ac:dyDescent="0.35">
      <c r="A56" s="1">
        <v>45293</v>
      </c>
      <c r="B56" t="s">
        <v>39</v>
      </c>
      <c r="C56" t="s">
        <v>40</v>
      </c>
      <c r="D56" t="s">
        <v>15</v>
      </c>
      <c r="E56" t="s">
        <v>16</v>
      </c>
      <c r="F56">
        <v>34</v>
      </c>
      <c r="G56">
        <v>41.3</v>
      </c>
      <c r="H56" t="s">
        <v>48</v>
      </c>
      <c r="I56" t="s">
        <v>50</v>
      </c>
    </row>
    <row r="57" spans="1:9" x14ac:dyDescent="0.35">
      <c r="A57" s="1">
        <v>45293</v>
      </c>
      <c r="B57" t="s">
        <v>39</v>
      </c>
      <c r="C57" t="s">
        <v>40</v>
      </c>
      <c r="D57" t="s">
        <v>18</v>
      </c>
      <c r="E57" t="s">
        <v>19</v>
      </c>
      <c r="F57">
        <v>38</v>
      </c>
      <c r="G57">
        <v>39.299999999999997</v>
      </c>
      <c r="H57" t="s">
        <v>46</v>
      </c>
      <c r="I57" t="s">
        <v>47</v>
      </c>
    </row>
    <row r="58" spans="1:9" x14ac:dyDescent="0.35">
      <c r="A58" s="1">
        <v>45293</v>
      </c>
      <c r="B58" t="s">
        <v>39</v>
      </c>
      <c r="C58" t="s">
        <v>40</v>
      </c>
      <c r="D58" t="s">
        <v>21</v>
      </c>
      <c r="E58" t="s">
        <v>22</v>
      </c>
      <c r="F58">
        <v>32</v>
      </c>
      <c r="G58">
        <v>31.6</v>
      </c>
      <c r="H58" t="s">
        <v>46</v>
      </c>
      <c r="I58" t="s">
        <v>47</v>
      </c>
    </row>
    <row r="59" spans="1:9" x14ac:dyDescent="0.35">
      <c r="A59" s="1">
        <v>45293</v>
      </c>
      <c r="B59" t="s">
        <v>39</v>
      </c>
      <c r="C59" t="s">
        <v>40</v>
      </c>
      <c r="D59" t="s">
        <v>24</v>
      </c>
      <c r="E59" t="s">
        <v>25</v>
      </c>
      <c r="F59">
        <v>50</v>
      </c>
      <c r="G59">
        <v>52.8</v>
      </c>
      <c r="H59" t="s">
        <v>46</v>
      </c>
      <c r="I59" t="s">
        <v>47</v>
      </c>
    </row>
    <row r="60" spans="1:9" x14ac:dyDescent="0.35">
      <c r="A60" s="1">
        <v>45293</v>
      </c>
      <c r="B60" t="s">
        <v>39</v>
      </c>
      <c r="C60" t="s">
        <v>40</v>
      </c>
      <c r="D60" t="s">
        <v>26</v>
      </c>
      <c r="E60" t="s">
        <v>27</v>
      </c>
      <c r="F60">
        <v>38</v>
      </c>
      <c r="G60">
        <v>50.1</v>
      </c>
      <c r="H60" t="s">
        <v>48</v>
      </c>
      <c r="I60" t="s">
        <v>49</v>
      </c>
    </row>
    <row r="61" spans="1:9" x14ac:dyDescent="0.35">
      <c r="A61" s="1">
        <v>45293</v>
      </c>
      <c r="B61" t="s">
        <v>39</v>
      </c>
      <c r="C61" t="s">
        <v>40</v>
      </c>
      <c r="D61" t="s">
        <v>28</v>
      </c>
      <c r="E61" t="s">
        <v>29</v>
      </c>
      <c r="F61">
        <v>32</v>
      </c>
      <c r="G61">
        <v>32.1</v>
      </c>
      <c r="H61" t="s">
        <v>46</v>
      </c>
      <c r="I61" t="s">
        <v>47</v>
      </c>
    </row>
    <row r="62" spans="1:9" x14ac:dyDescent="0.35">
      <c r="A62" s="1">
        <v>45294</v>
      </c>
      <c r="B62" t="s">
        <v>12</v>
      </c>
      <c r="C62" t="s">
        <v>13</v>
      </c>
      <c r="D62" t="s">
        <v>15</v>
      </c>
      <c r="E62" t="s">
        <v>16</v>
      </c>
      <c r="F62">
        <v>34</v>
      </c>
      <c r="G62">
        <v>35.700000000000003</v>
      </c>
      <c r="H62" t="s">
        <v>46</v>
      </c>
      <c r="I62" t="s">
        <v>47</v>
      </c>
    </row>
    <row r="63" spans="1:9" x14ac:dyDescent="0.35">
      <c r="A63" s="1">
        <v>45294</v>
      </c>
      <c r="B63" t="s">
        <v>12</v>
      </c>
      <c r="C63" t="s">
        <v>13</v>
      </c>
      <c r="D63" t="s">
        <v>18</v>
      </c>
      <c r="E63" t="s">
        <v>19</v>
      </c>
      <c r="F63">
        <v>38</v>
      </c>
      <c r="G63">
        <v>40.200000000000003</v>
      </c>
      <c r="H63" t="s">
        <v>46</v>
      </c>
      <c r="I63" t="s">
        <v>47</v>
      </c>
    </row>
    <row r="64" spans="1:9" x14ac:dyDescent="0.35">
      <c r="A64" s="1">
        <v>45294</v>
      </c>
      <c r="B64" t="s">
        <v>12</v>
      </c>
      <c r="C64" t="s">
        <v>13</v>
      </c>
      <c r="D64" t="s">
        <v>21</v>
      </c>
      <c r="E64" t="s">
        <v>22</v>
      </c>
      <c r="F64">
        <v>32</v>
      </c>
      <c r="G64">
        <v>34.700000000000003</v>
      </c>
      <c r="H64" t="s">
        <v>46</v>
      </c>
      <c r="I64" t="s">
        <v>47</v>
      </c>
    </row>
    <row r="65" spans="1:9" x14ac:dyDescent="0.35">
      <c r="A65" s="1">
        <v>45294</v>
      </c>
      <c r="B65" t="s">
        <v>12</v>
      </c>
      <c r="C65" t="s">
        <v>13</v>
      </c>
      <c r="D65" t="s">
        <v>24</v>
      </c>
      <c r="E65" t="s">
        <v>25</v>
      </c>
      <c r="F65">
        <v>50</v>
      </c>
      <c r="G65">
        <v>49.2</v>
      </c>
      <c r="H65" t="s">
        <v>46</v>
      </c>
      <c r="I65" t="s">
        <v>47</v>
      </c>
    </row>
    <row r="66" spans="1:9" x14ac:dyDescent="0.35">
      <c r="A66" s="1">
        <v>45294</v>
      </c>
      <c r="B66" t="s">
        <v>12</v>
      </c>
      <c r="C66" t="s">
        <v>13</v>
      </c>
      <c r="D66" t="s">
        <v>26</v>
      </c>
      <c r="E66" t="s">
        <v>27</v>
      </c>
      <c r="F66">
        <v>38</v>
      </c>
      <c r="G66">
        <v>37.4</v>
      </c>
      <c r="H66" t="s">
        <v>46</v>
      </c>
      <c r="I66" t="s">
        <v>47</v>
      </c>
    </row>
    <row r="67" spans="1:9" x14ac:dyDescent="0.35">
      <c r="A67" s="1">
        <v>45294</v>
      </c>
      <c r="B67" t="s">
        <v>12</v>
      </c>
      <c r="C67" t="s">
        <v>13</v>
      </c>
      <c r="D67" t="s">
        <v>28</v>
      </c>
      <c r="E67" t="s">
        <v>29</v>
      </c>
      <c r="F67">
        <v>32</v>
      </c>
      <c r="G67">
        <v>33.5</v>
      </c>
      <c r="H67" t="s">
        <v>46</v>
      </c>
      <c r="I67" t="s">
        <v>47</v>
      </c>
    </row>
    <row r="68" spans="1:9" x14ac:dyDescent="0.35">
      <c r="A68" s="1">
        <v>45294</v>
      </c>
      <c r="B68" t="s">
        <v>30</v>
      </c>
      <c r="C68" t="s">
        <v>31</v>
      </c>
      <c r="D68" t="s">
        <v>15</v>
      </c>
      <c r="E68" t="s">
        <v>16</v>
      </c>
      <c r="F68">
        <v>34</v>
      </c>
      <c r="G68">
        <v>36</v>
      </c>
      <c r="H68" t="s">
        <v>46</v>
      </c>
      <c r="I68" t="s">
        <v>47</v>
      </c>
    </row>
    <row r="69" spans="1:9" x14ac:dyDescent="0.35">
      <c r="A69" s="1">
        <v>45294</v>
      </c>
      <c r="B69" t="s">
        <v>30</v>
      </c>
      <c r="C69" t="s">
        <v>31</v>
      </c>
      <c r="D69" t="s">
        <v>18</v>
      </c>
      <c r="E69" t="s">
        <v>19</v>
      </c>
      <c r="F69">
        <v>38</v>
      </c>
      <c r="G69">
        <v>39.299999999999997</v>
      </c>
      <c r="H69" t="s">
        <v>46</v>
      </c>
      <c r="I69" t="s">
        <v>47</v>
      </c>
    </row>
    <row r="70" spans="1:9" x14ac:dyDescent="0.35">
      <c r="A70" s="1">
        <v>45294</v>
      </c>
      <c r="B70" t="s">
        <v>30</v>
      </c>
      <c r="C70" t="s">
        <v>31</v>
      </c>
      <c r="D70" t="s">
        <v>21</v>
      </c>
      <c r="E70" t="s">
        <v>22</v>
      </c>
      <c r="F70">
        <v>32</v>
      </c>
      <c r="G70">
        <v>32.5</v>
      </c>
      <c r="H70" t="s">
        <v>46</v>
      </c>
      <c r="I70" t="s">
        <v>47</v>
      </c>
    </row>
    <row r="71" spans="1:9" x14ac:dyDescent="0.35">
      <c r="A71" s="1">
        <v>45294</v>
      </c>
      <c r="B71" t="s">
        <v>30</v>
      </c>
      <c r="C71" t="s">
        <v>31</v>
      </c>
      <c r="D71" t="s">
        <v>24</v>
      </c>
      <c r="E71" t="s">
        <v>25</v>
      </c>
      <c r="F71">
        <v>50</v>
      </c>
      <c r="G71">
        <v>52.6</v>
      </c>
      <c r="H71" t="s">
        <v>46</v>
      </c>
      <c r="I71" t="s">
        <v>47</v>
      </c>
    </row>
    <row r="72" spans="1:9" x14ac:dyDescent="0.35">
      <c r="A72" s="1">
        <v>45294</v>
      </c>
      <c r="B72" t="s">
        <v>30</v>
      </c>
      <c r="C72" t="s">
        <v>31</v>
      </c>
      <c r="D72" t="s">
        <v>26</v>
      </c>
      <c r="E72" t="s">
        <v>27</v>
      </c>
      <c r="F72">
        <v>38</v>
      </c>
      <c r="G72">
        <v>46</v>
      </c>
      <c r="H72" t="s">
        <v>48</v>
      </c>
      <c r="I72" t="s">
        <v>50</v>
      </c>
    </row>
    <row r="73" spans="1:9" x14ac:dyDescent="0.35">
      <c r="A73" s="1">
        <v>45294</v>
      </c>
      <c r="B73" t="s">
        <v>30</v>
      </c>
      <c r="C73" t="s">
        <v>31</v>
      </c>
      <c r="D73" t="s">
        <v>28</v>
      </c>
      <c r="E73" t="s">
        <v>29</v>
      </c>
      <c r="F73">
        <v>32</v>
      </c>
      <c r="G73">
        <v>31.9</v>
      </c>
      <c r="H73" t="s">
        <v>46</v>
      </c>
      <c r="I73" t="s">
        <v>47</v>
      </c>
    </row>
    <row r="74" spans="1:9" x14ac:dyDescent="0.35">
      <c r="A74" s="1">
        <v>45294</v>
      </c>
      <c r="B74" t="s">
        <v>33</v>
      </c>
      <c r="C74" t="s">
        <v>34</v>
      </c>
      <c r="D74" t="s">
        <v>15</v>
      </c>
      <c r="E74" t="s">
        <v>16</v>
      </c>
      <c r="F74">
        <v>34</v>
      </c>
      <c r="G74">
        <v>36.299999999999997</v>
      </c>
      <c r="H74" t="s">
        <v>46</v>
      </c>
      <c r="I74" t="s">
        <v>47</v>
      </c>
    </row>
    <row r="75" spans="1:9" x14ac:dyDescent="0.35">
      <c r="A75" s="1">
        <v>45294</v>
      </c>
      <c r="B75" t="s">
        <v>33</v>
      </c>
      <c r="C75" t="s">
        <v>34</v>
      </c>
      <c r="D75" t="s">
        <v>18</v>
      </c>
      <c r="E75" t="s">
        <v>19</v>
      </c>
      <c r="F75">
        <v>38</v>
      </c>
      <c r="G75">
        <v>40.200000000000003</v>
      </c>
      <c r="H75" t="s">
        <v>46</v>
      </c>
      <c r="I75" t="s">
        <v>47</v>
      </c>
    </row>
    <row r="76" spans="1:9" x14ac:dyDescent="0.35">
      <c r="A76" s="1">
        <v>45294</v>
      </c>
      <c r="B76" t="s">
        <v>33</v>
      </c>
      <c r="C76" t="s">
        <v>34</v>
      </c>
      <c r="D76" t="s">
        <v>21</v>
      </c>
      <c r="E76" t="s">
        <v>22</v>
      </c>
      <c r="F76">
        <v>32</v>
      </c>
      <c r="G76">
        <v>31</v>
      </c>
      <c r="H76" t="s">
        <v>46</v>
      </c>
      <c r="I76" t="s">
        <v>47</v>
      </c>
    </row>
    <row r="77" spans="1:9" x14ac:dyDescent="0.35">
      <c r="A77" s="1">
        <v>45294</v>
      </c>
      <c r="B77" t="s">
        <v>33</v>
      </c>
      <c r="C77" t="s">
        <v>34</v>
      </c>
      <c r="D77" t="s">
        <v>24</v>
      </c>
      <c r="E77" t="s">
        <v>25</v>
      </c>
      <c r="F77">
        <v>50</v>
      </c>
      <c r="G77">
        <v>50.8</v>
      </c>
      <c r="H77" t="s">
        <v>46</v>
      </c>
      <c r="I77" t="s">
        <v>47</v>
      </c>
    </row>
    <row r="78" spans="1:9" x14ac:dyDescent="0.35">
      <c r="A78" s="1">
        <v>45294</v>
      </c>
      <c r="B78" t="s">
        <v>33</v>
      </c>
      <c r="C78" t="s">
        <v>34</v>
      </c>
      <c r="D78" t="s">
        <v>26</v>
      </c>
      <c r="E78" t="s">
        <v>27</v>
      </c>
      <c r="F78">
        <v>38</v>
      </c>
      <c r="G78">
        <v>39.1</v>
      </c>
      <c r="H78" t="s">
        <v>46</v>
      </c>
      <c r="I78" t="s">
        <v>47</v>
      </c>
    </row>
    <row r="79" spans="1:9" x14ac:dyDescent="0.35">
      <c r="A79" s="1">
        <v>45294</v>
      </c>
      <c r="B79" t="s">
        <v>33</v>
      </c>
      <c r="C79" t="s">
        <v>34</v>
      </c>
      <c r="D79" t="s">
        <v>28</v>
      </c>
      <c r="E79" t="s">
        <v>29</v>
      </c>
      <c r="F79">
        <v>32</v>
      </c>
      <c r="G79">
        <v>31.6</v>
      </c>
      <c r="H79" t="s">
        <v>46</v>
      </c>
      <c r="I79" t="s">
        <v>47</v>
      </c>
    </row>
    <row r="80" spans="1:9" x14ac:dyDescent="0.35">
      <c r="A80" s="1">
        <v>45294</v>
      </c>
      <c r="B80" t="s">
        <v>36</v>
      </c>
      <c r="C80" t="s">
        <v>37</v>
      </c>
      <c r="D80" t="s">
        <v>15</v>
      </c>
      <c r="E80" t="s">
        <v>16</v>
      </c>
      <c r="F80">
        <v>34</v>
      </c>
      <c r="G80">
        <v>44.8</v>
      </c>
      <c r="H80" t="s">
        <v>48</v>
      </c>
      <c r="I80" t="s">
        <v>49</v>
      </c>
    </row>
    <row r="81" spans="1:9" x14ac:dyDescent="0.35">
      <c r="A81" s="1">
        <v>45294</v>
      </c>
      <c r="B81" t="s">
        <v>36</v>
      </c>
      <c r="C81" t="s">
        <v>37</v>
      </c>
      <c r="D81" t="s">
        <v>18</v>
      </c>
      <c r="E81" t="s">
        <v>19</v>
      </c>
      <c r="F81">
        <v>38</v>
      </c>
      <c r="G81">
        <v>39.6</v>
      </c>
      <c r="H81" t="s">
        <v>46</v>
      </c>
      <c r="I81" t="s">
        <v>47</v>
      </c>
    </row>
    <row r="82" spans="1:9" x14ac:dyDescent="0.35">
      <c r="A82" s="1">
        <v>45294</v>
      </c>
      <c r="B82" t="s">
        <v>36</v>
      </c>
      <c r="C82" t="s">
        <v>37</v>
      </c>
      <c r="D82" t="s">
        <v>21</v>
      </c>
      <c r="E82" t="s">
        <v>22</v>
      </c>
      <c r="F82">
        <v>32</v>
      </c>
      <c r="G82">
        <v>32.299999999999997</v>
      </c>
      <c r="H82" t="s">
        <v>46</v>
      </c>
      <c r="I82" t="s">
        <v>47</v>
      </c>
    </row>
    <row r="83" spans="1:9" x14ac:dyDescent="0.35">
      <c r="A83" s="1">
        <v>45294</v>
      </c>
      <c r="B83" t="s">
        <v>36</v>
      </c>
      <c r="C83" t="s">
        <v>37</v>
      </c>
      <c r="D83" t="s">
        <v>24</v>
      </c>
      <c r="E83" t="s">
        <v>25</v>
      </c>
      <c r="F83">
        <v>50</v>
      </c>
      <c r="G83">
        <v>61.4</v>
      </c>
      <c r="H83" t="s">
        <v>48</v>
      </c>
      <c r="I83" t="s">
        <v>49</v>
      </c>
    </row>
    <row r="84" spans="1:9" x14ac:dyDescent="0.35">
      <c r="A84" s="1">
        <v>45294</v>
      </c>
      <c r="B84" t="s">
        <v>36</v>
      </c>
      <c r="C84" t="s">
        <v>37</v>
      </c>
      <c r="D84" t="s">
        <v>26</v>
      </c>
      <c r="E84" t="s">
        <v>27</v>
      </c>
      <c r="F84">
        <v>38</v>
      </c>
      <c r="G84">
        <v>39.4</v>
      </c>
      <c r="H84" t="s">
        <v>46</v>
      </c>
      <c r="I84" t="s">
        <v>47</v>
      </c>
    </row>
    <row r="85" spans="1:9" x14ac:dyDescent="0.35">
      <c r="A85" s="1">
        <v>45294</v>
      </c>
      <c r="B85" t="s">
        <v>36</v>
      </c>
      <c r="C85" t="s">
        <v>37</v>
      </c>
      <c r="D85" t="s">
        <v>28</v>
      </c>
      <c r="E85" t="s">
        <v>29</v>
      </c>
      <c r="F85">
        <v>32</v>
      </c>
      <c r="G85">
        <v>32.6</v>
      </c>
      <c r="H85" t="s">
        <v>46</v>
      </c>
      <c r="I85" t="s">
        <v>47</v>
      </c>
    </row>
    <row r="86" spans="1:9" x14ac:dyDescent="0.35">
      <c r="A86" s="1">
        <v>45294</v>
      </c>
      <c r="B86" t="s">
        <v>39</v>
      </c>
      <c r="C86" t="s">
        <v>40</v>
      </c>
      <c r="D86" t="s">
        <v>15</v>
      </c>
      <c r="E86" t="s">
        <v>16</v>
      </c>
      <c r="F86">
        <v>34</v>
      </c>
      <c r="G86">
        <v>33.5</v>
      </c>
      <c r="H86" t="s">
        <v>46</v>
      </c>
      <c r="I86" t="s">
        <v>47</v>
      </c>
    </row>
    <row r="87" spans="1:9" x14ac:dyDescent="0.35">
      <c r="A87" s="1">
        <v>45294</v>
      </c>
      <c r="B87" t="s">
        <v>39</v>
      </c>
      <c r="C87" t="s">
        <v>40</v>
      </c>
      <c r="D87" t="s">
        <v>18</v>
      </c>
      <c r="E87" t="s">
        <v>19</v>
      </c>
      <c r="F87">
        <v>38</v>
      </c>
      <c r="G87">
        <v>37.5</v>
      </c>
      <c r="H87" t="s">
        <v>46</v>
      </c>
      <c r="I87" t="s">
        <v>47</v>
      </c>
    </row>
    <row r="88" spans="1:9" x14ac:dyDescent="0.35">
      <c r="A88" s="1">
        <v>45294</v>
      </c>
      <c r="B88" t="s">
        <v>39</v>
      </c>
      <c r="C88" t="s">
        <v>40</v>
      </c>
      <c r="D88" t="s">
        <v>21</v>
      </c>
      <c r="E88" t="s">
        <v>22</v>
      </c>
      <c r="F88">
        <v>32</v>
      </c>
      <c r="G88">
        <v>34.6</v>
      </c>
      <c r="H88" t="s">
        <v>46</v>
      </c>
      <c r="I88" t="s">
        <v>47</v>
      </c>
    </row>
    <row r="89" spans="1:9" x14ac:dyDescent="0.35">
      <c r="A89" s="1">
        <v>45294</v>
      </c>
      <c r="B89" t="s">
        <v>39</v>
      </c>
      <c r="C89" t="s">
        <v>40</v>
      </c>
      <c r="D89" t="s">
        <v>24</v>
      </c>
      <c r="E89" t="s">
        <v>25</v>
      </c>
      <c r="F89">
        <v>50</v>
      </c>
      <c r="G89">
        <v>57.3</v>
      </c>
      <c r="H89" t="s">
        <v>48</v>
      </c>
      <c r="I89" t="s">
        <v>50</v>
      </c>
    </row>
    <row r="90" spans="1:9" x14ac:dyDescent="0.35">
      <c r="A90" s="1">
        <v>45294</v>
      </c>
      <c r="B90" t="s">
        <v>39</v>
      </c>
      <c r="C90" t="s">
        <v>40</v>
      </c>
      <c r="D90" t="s">
        <v>26</v>
      </c>
      <c r="E90" t="s">
        <v>27</v>
      </c>
      <c r="F90">
        <v>38</v>
      </c>
      <c r="G90">
        <v>39.1</v>
      </c>
      <c r="H90" t="s">
        <v>46</v>
      </c>
      <c r="I90" t="s">
        <v>47</v>
      </c>
    </row>
    <row r="91" spans="1:9" x14ac:dyDescent="0.35">
      <c r="A91" s="1">
        <v>45294</v>
      </c>
      <c r="B91" t="s">
        <v>39</v>
      </c>
      <c r="C91" t="s">
        <v>40</v>
      </c>
      <c r="D91" t="s">
        <v>28</v>
      </c>
      <c r="E91" t="s">
        <v>29</v>
      </c>
      <c r="F91">
        <v>32</v>
      </c>
      <c r="G91">
        <v>34.9</v>
      </c>
      <c r="H91" t="s">
        <v>46</v>
      </c>
      <c r="I91" t="s">
        <v>47</v>
      </c>
    </row>
    <row r="92" spans="1:9" x14ac:dyDescent="0.35">
      <c r="A92" s="1">
        <v>45295</v>
      </c>
      <c r="B92" t="s">
        <v>12</v>
      </c>
      <c r="C92" t="s">
        <v>13</v>
      </c>
      <c r="D92" t="s">
        <v>15</v>
      </c>
      <c r="E92" t="s">
        <v>16</v>
      </c>
      <c r="F92">
        <v>34</v>
      </c>
      <c r="G92">
        <v>36.5</v>
      </c>
      <c r="H92" t="s">
        <v>46</v>
      </c>
      <c r="I92" t="s">
        <v>47</v>
      </c>
    </row>
    <row r="93" spans="1:9" x14ac:dyDescent="0.35">
      <c r="A93" s="1">
        <v>45295</v>
      </c>
      <c r="B93" t="s">
        <v>12</v>
      </c>
      <c r="C93" t="s">
        <v>13</v>
      </c>
      <c r="D93" t="s">
        <v>18</v>
      </c>
      <c r="E93" t="s">
        <v>19</v>
      </c>
      <c r="F93">
        <v>38</v>
      </c>
      <c r="G93">
        <v>40.299999999999997</v>
      </c>
      <c r="H93" t="s">
        <v>46</v>
      </c>
      <c r="I93" t="s">
        <v>47</v>
      </c>
    </row>
    <row r="94" spans="1:9" x14ac:dyDescent="0.35">
      <c r="A94" s="1">
        <v>45295</v>
      </c>
      <c r="B94" t="s">
        <v>12</v>
      </c>
      <c r="C94" t="s">
        <v>13</v>
      </c>
      <c r="D94" t="s">
        <v>21</v>
      </c>
      <c r="E94" t="s">
        <v>22</v>
      </c>
      <c r="F94">
        <v>32</v>
      </c>
      <c r="G94">
        <v>31.9</v>
      </c>
      <c r="H94" t="s">
        <v>46</v>
      </c>
      <c r="I94" t="s">
        <v>47</v>
      </c>
    </row>
    <row r="95" spans="1:9" x14ac:dyDescent="0.35">
      <c r="A95" s="1">
        <v>45295</v>
      </c>
      <c r="B95" t="s">
        <v>12</v>
      </c>
      <c r="C95" t="s">
        <v>13</v>
      </c>
      <c r="D95" t="s">
        <v>24</v>
      </c>
      <c r="E95" t="s">
        <v>25</v>
      </c>
      <c r="F95">
        <v>50</v>
      </c>
      <c r="G95">
        <v>50.9</v>
      </c>
      <c r="H95" t="s">
        <v>46</v>
      </c>
      <c r="I95" t="s">
        <v>47</v>
      </c>
    </row>
    <row r="96" spans="1:9" x14ac:dyDescent="0.35">
      <c r="A96" s="1">
        <v>45295</v>
      </c>
      <c r="B96" t="s">
        <v>12</v>
      </c>
      <c r="C96" t="s">
        <v>13</v>
      </c>
      <c r="D96" t="s">
        <v>26</v>
      </c>
      <c r="E96" t="s">
        <v>27</v>
      </c>
      <c r="F96">
        <v>38</v>
      </c>
      <c r="G96">
        <v>37.9</v>
      </c>
      <c r="H96" t="s">
        <v>46</v>
      </c>
      <c r="I96" t="s">
        <v>47</v>
      </c>
    </row>
    <row r="97" spans="1:9" x14ac:dyDescent="0.35">
      <c r="A97" s="1">
        <v>45295</v>
      </c>
      <c r="B97" t="s">
        <v>12</v>
      </c>
      <c r="C97" t="s">
        <v>13</v>
      </c>
      <c r="D97" t="s">
        <v>28</v>
      </c>
      <c r="E97" t="s">
        <v>29</v>
      </c>
      <c r="F97">
        <v>32</v>
      </c>
      <c r="G97">
        <v>31.6</v>
      </c>
      <c r="H97" t="s">
        <v>46</v>
      </c>
      <c r="I97" t="s">
        <v>47</v>
      </c>
    </row>
    <row r="98" spans="1:9" x14ac:dyDescent="0.35">
      <c r="A98" s="1">
        <v>45295</v>
      </c>
      <c r="B98" t="s">
        <v>30</v>
      </c>
      <c r="C98" t="s">
        <v>31</v>
      </c>
      <c r="D98" t="s">
        <v>15</v>
      </c>
      <c r="E98" t="s">
        <v>16</v>
      </c>
      <c r="F98">
        <v>34</v>
      </c>
      <c r="G98">
        <v>36.1</v>
      </c>
      <c r="H98" t="s">
        <v>46</v>
      </c>
      <c r="I98" t="s">
        <v>47</v>
      </c>
    </row>
    <row r="99" spans="1:9" x14ac:dyDescent="0.35">
      <c r="A99" s="1">
        <v>45295</v>
      </c>
      <c r="B99" t="s">
        <v>30</v>
      </c>
      <c r="C99" t="s">
        <v>31</v>
      </c>
      <c r="D99" t="s">
        <v>18</v>
      </c>
      <c r="E99" t="s">
        <v>19</v>
      </c>
      <c r="F99">
        <v>38</v>
      </c>
      <c r="G99">
        <v>39</v>
      </c>
      <c r="H99" t="s">
        <v>46</v>
      </c>
      <c r="I99" t="s">
        <v>47</v>
      </c>
    </row>
    <row r="100" spans="1:9" x14ac:dyDescent="0.35">
      <c r="A100" s="1">
        <v>45295</v>
      </c>
      <c r="B100" t="s">
        <v>30</v>
      </c>
      <c r="C100" t="s">
        <v>31</v>
      </c>
      <c r="D100" t="s">
        <v>21</v>
      </c>
      <c r="E100" t="s">
        <v>22</v>
      </c>
      <c r="F100">
        <v>32</v>
      </c>
      <c r="G100">
        <v>43.5</v>
      </c>
      <c r="H100" t="s">
        <v>48</v>
      </c>
      <c r="I100" t="s">
        <v>49</v>
      </c>
    </row>
    <row r="101" spans="1:9" x14ac:dyDescent="0.35">
      <c r="A101" s="1">
        <v>45295</v>
      </c>
      <c r="B101" t="s">
        <v>30</v>
      </c>
      <c r="C101" t="s">
        <v>31</v>
      </c>
      <c r="D101" t="s">
        <v>24</v>
      </c>
      <c r="E101" t="s">
        <v>25</v>
      </c>
      <c r="F101">
        <v>50</v>
      </c>
      <c r="G101">
        <v>51.4</v>
      </c>
      <c r="H101" t="s">
        <v>46</v>
      </c>
      <c r="I101" t="s">
        <v>47</v>
      </c>
    </row>
    <row r="102" spans="1:9" x14ac:dyDescent="0.35">
      <c r="A102" s="1">
        <v>45295</v>
      </c>
      <c r="B102" t="s">
        <v>30</v>
      </c>
      <c r="C102" t="s">
        <v>31</v>
      </c>
      <c r="D102" t="s">
        <v>26</v>
      </c>
      <c r="E102" t="s">
        <v>27</v>
      </c>
      <c r="F102">
        <v>38</v>
      </c>
      <c r="G102">
        <v>47</v>
      </c>
      <c r="H102" t="s">
        <v>48</v>
      </c>
      <c r="I102" t="s">
        <v>50</v>
      </c>
    </row>
    <row r="103" spans="1:9" x14ac:dyDescent="0.35">
      <c r="A103" s="1">
        <v>45295</v>
      </c>
      <c r="B103" t="s">
        <v>30</v>
      </c>
      <c r="C103" t="s">
        <v>31</v>
      </c>
      <c r="D103" t="s">
        <v>28</v>
      </c>
      <c r="E103" t="s">
        <v>29</v>
      </c>
      <c r="F103">
        <v>32</v>
      </c>
      <c r="G103">
        <v>38.1</v>
      </c>
      <c r="H103" t="s">
        <v>48</v>
      </c>
      <c r="I103" t="s">
        <v>50</v>
      </c>
    </row>
    <row r="104" spans="1:9" x14ac:dyDescent="0.35">
      <c r="A104" s="1">
        <v>45295</v>
      </c>
      <c r="B104" t="s">
        <v>33</v>
      </c>
      <c r="C104" t="s">
        <v>34</v>
      </c>
      <c r="D104" t="s">
        <v>15</v>
      </c>
      <c r="E104" t="s">
        <v>16</v>
      </c>
      <c r="F104">
        <v>34</v>
      </c>
      <c r="G104">
        <v>36.6</v>
      </c>
      <c r="H104" t="s">
        <v>46</v>
      </c>
      <c r="I104" t="s">
        <v>47</v>
      </c>
    </row>
    <row r="105" spans="1:9" x14ac:dyDescent="0.35">
      <c r="A105" s="1">
        <v>45295</v>
      </c>
      <c r="B105" t="s">
        <v>33</v>
      </c>
      <c r="C105" t="s">
        <v>34</v>
      </c>
      <c r="D105" t="s">
        <v>18</v>
      </c>
      <c r="E105" t="s">
        <v>19</v>
      </c>
      <c r="F105">
        <v>38</v>
      </c>
      <c r="G105">
        <v>40.299999999999997</v>
      </c>
      <c r="H105" t="s">
        <v>46</v>
      </c>
      <c r="I105" t="s">
        <v>47</v>
      </c>
    </row>
    <row r="106" spans="1:9" x14ac:dyDescent="0.35">
      <c r="A106" s="1">
        <v>45295</v>
      </c>
      <c r="B106" t="s">
        <v>33</v>
      </c>
      <c r="C106" t="s">
        <v>34</v>
      </c>
      <c r="D106" t="s">
        <v>21</v>
      </c>
      <c r="E106" t="s">
        <v>22</v>
      </c>
      <c r="F106">
        <v>32</v>
      </c>
      <c r="G106">
        <v>31.7</v>
      </c>
      <c r="H106" t="s">
        <v>46</v>
      </c>
      <c r="I106" t="s">
        <v>47</v>
      </c>
    </row>
    <row r="107" spans="1:9" x14ac:dyDescent="0.35">
      <c r="A107" s="1">
        <v>45295</v>
      </c>
      <c r="B107" t="s">
        <v>33</v>
      </c>
      <c r="C107" t="s">
        <v>34</v>
      </c>
      <c r="D107" t="s">
        <v>24</v>
      </c>
      <c r="E107" t="s">
        <v>25</v>
      </c>
      <c r="F107">
        <v>50</v>
      </c>
      <c r="G107">
        <v>51.4</v>
      </c>
      <c r="H107" t="s">
        <v>46</v>
      </c>
      <c r="I107" t="s">
        <v>47</v>
      </c>
    </row>
    <row r="108" spans="1:9" x14ac:dyDescent="0.35">
      <c r="A108" s="1">
        <v>45295</v>
      </c>
      <c r="B108" t="s">
        <v>33</v>
      </c>
      <c r="C108" t="s">
        <v>34</v>
      </c>
      <c r="D108" t="s">
        <v>26</v>
      </c>
      <c r="E108" t="s">
        <v>27</v>
      </c>
      <c r="F108">
        <v>38</v>
      </c>
      <c r="G108">
        <v>39.1</v>
      </c>
      <c r="H108" t="s">
        <v>46</v>
      </c>
      <c r="I108" t="s">
        <v>47</v>
      </c>
    </row>
    <row r="109" spans="1:9" x14ac:dyDescent="0.35">
      <c r="A109" s="1">
        <v>45295</v>
      </c>
      <c r="B109" t="s">
        <v>33</v>
      </c>
      <c r="C109" t="s">
        <v>34</v>
      </c>
      <c r="D109" t="s">
        <v>28</v>
      </c>
      <c r="E109" t="s">
        <v>29</v>
      </c>
      <c r="F109">
        <v>32</v>
      </c>
      <c r="G109">
        <v>31.4</v>
      </c>
      <c r="H109" t="s">
        <v>46</v>
      </c>
      <c r="I109" t="s">
        <v>47</v>
      </c>
    </row>
    <row r="110" spans="1:9" x14ac:dyDescent="0.35">
      <c r="A110" s="1">
        <v>45295</v>
      </c>
      <c r="B110" t="s">
        <v>36</v>
      </c>
      <c r="C110" t="s">
        <v>37</v>
      </c>
      <c r="D110" t="s">
        <v>15</v>
      </c>
      <c r="E110" t="s">
        <v>16</v>
      </c>
      <c r="F110">
        <v>34</v>
      </c>
      <c r="G110">
        <v>36.6</v>
      </c>
      <c r="H110" t="s">
        <v>46</v>
      </c>
      <c r="I110" t="s">
        <v>47</v>
      </c>
    </row>
    <row r="111" spans="1:9" x14ac:dyDescent="0.35">
      <c r="A111" s="1">
        <v>45295</v>
      </c>
      <c r="B111" t="s">
        <v>36</v>
      </c>
      <c r="C111" t="s">
        <v>37</v>
      </c>
      <c r="D111" t="s">
        <v>18</v>
      </c>
      <c r="E111" t="s">
        <v>19</v>
      </c>
      <c r="F111">
        <v>38</v>
      </c>
      <c r="G111">
        <v>37</v>
      </c>
      <c r="H111" t="s">
        <v>46</v>
      </c>
      <c r="I111" t="s">
        <v>47</v>
      </c>
    </row>
    <row r="112" spans="1:9" x14ac:dyDescent="0.35">
      <c r="A112" s="1">
        <v>45295</v>
      </c>
      <c r="B112" t="s">
        <v>36</v>
      </c>
      <c r="C112" t="s">
        <v>37</v>
      </c>
      <c r="D112" t="s">
        <v>21</v>
      </c>
      <c r="E112" t="s">
        <v>22</v>
      </c>
      <c r="F112">
        <v>32</v>
      </c>
      <c r="G112">
        <v>33.700000000000003</v>
      </c>
      <c r="H112" t="s">
        <v>46</v>
      </c>
      <c r="I112" t="s">
        <v>47</v>
      </c>
    </row>
    <row r="113" spans="1:9" x14ac:dyDescent="0.35">
      <c r="A113" s="1">
        <v>45295</v>
      </c>
      <c r="B113" t="s">
        <v>36</v>
      </c>
      <c r="C113" t="s">
        <v>37</v>
      </c>
      <c r="D113" t="s">
        <v>24</v>
      </c>
      <c r="E113" t="s">
        <v>25</v>
      </c>
      <c r="F113">
        <v>50</v>
      </c>
      <c r="G113">
        <v>50.7</v>
      </c>
      <c r="H113" t="s">
        <v>46</v>
      </c>
      <c r="I113" t="s">
        <v>47</v>
      </c>
    </row>
    <row r="114" spans="1:9" x14ac:dyDescent="0.35">
      <c r="A114" s="1">
        <v>45295</v>
      </c>
      <c r="B114" t="s">
        <v>36</v>
      </c>
      <c r="C114" t="s">
        <v>37</v>
      </c>
      <c r="D114" t="s">
        <v>26</v>
      </c>
      <c r="E114" t="s">
        <v>27</v>
      </c>
      <c r="F114">
        <v>38</v>
      </c>
      <c r="G114">
        <v>39.799999999999997</v>
      </c>
      <c r="H114" t="s">
        <v>46</v>
      </c>
      <c r="I114" t="s">
        <v>47</v>
      </c>
    </row>
    <row r="115" spans="1:9" x14ac:dyDescent="0.35">
      <c r="A115" s="1">
        <v>45295</v>
      </c>
      <c r="B115" t="s">
        <v>36</v>
      </c>
      <c r="C115" t="s">
        <v>37</v>
      </c>
      <c r="D115" t="s">
        <v>28</v>
      </c>
      <c r="E115" t="s">
        <v>29</v>
      </c>
      <c r="F115">
        <v>32</v>
      </c>
      <c r="G115">
        <v>34.799999999999997</v>
      </c>
      <c r="H115" t="s">
        <v>46</v>
      </c>
      <c r="I115" t="s">
        <v>47</v>
      </c>
    </row>
    <row r="116" spans="1:9" x14ac:dyDescent="0.35">
      <c r="A116" s="1">
        <v>45295</v>
      </c>
      <c r="B116" t="s">
        <v>39</v>
      </c>
      <c r="C116" t="s">
        <v>40</v>
      </c>
      <c r="D116" t="s">
        <v>15</v>
      </c>
      <c r="E116" t="s">
        <v>16</v>
      </c>
      <c r="F116">
        <v>34</v>
      </c>
      <c r="G116">
        <v>36.1</v>
      </c>
      <c r="H116" t="s">
        <v>46</v>
      </c>
      <c r="I116" t="s">
        <v>47</v>
      </c>
    </row>
    <row r="117" spans="1:9" x14ac:dyDescent="0.35">
      <c r="A117" s="1">
        <v>45295</v>
      </c>
      <c r="B117" t="s">
        <v>39</v>
      </c>
      <c r="C117" t="s">
        <v>40</v>
      </c>
      <c r="D117" t="s">
        <v>18</v>
      </c>
      <c r="E117" t="s">
        <v>19</v>
      </c>
      <c r="F117">
        <v>38</v>
      </c>
      <c r="G117">
        <v>40.200000000000003</v>
      </c>
      <c r="H117" t="s">
        <v>46</v>
      </c>
      <c r="I117" t="s">
        <v>47</v>
      </c>
    </row>
    <row r="118" spans="1:9" x14ac:dyDescent="0.35">
      <c r="A118" s="1">
        <v>45295</v>
      </c>
      <c r="B118" t="s">
        <v>39</v>
      </c>
      <c r="C118" t="s">
        <v>40</v>
      </c>
      <c r="D118" t="s">
        <v>21</v>
      </c>
      <c r="E118" t="s">
        <v>22</v>
      </c>
      <c r="F118">
        <v>32</v>
      </c>
      <c r="G118">
        <v>34.299999999999997</v>
      </c>
      <c r="H118" t="s">
        <v>46</v>
      </c>
      <c r="I118" t="s">
        <v>47</v>
      </c>
    </row>
    <row r="119" spans="1:9" x14ac:dyDescent="0.35">
      <c r="A119" s="1">
        <v>45295</v>
      </c>
      <c r="B119" t="s">
        <v>39</v>
      </c>
      <c r="C119" t="s">
        <v>40</v>
      </c>
      <c r="D119" t="s">
        <v>24</v>
      </c>
      <c r="E119" t="s">
        <v>25</v>
      </c>
      <c r="F119">
        <v>50</v>
      </c>
      <c r="G119">
        <v>50.7</v>
      </c>
      <c r="H119" t="s">
        <v>46</v>
      </c>
      <c r="I119" t="s">
        <v>47</v>
      </c>
    </row>
    <row r="120" spans="1:9" x14ac:dyDescent="0.35">
      <c r="A120" s="1">
        <v>45295</v>
      </c>
      <c r="B120" t="s">
        <v>39</v>
      </c>
      <c r="C120" t="s">
        <v>40</v>
      </c>
      <c r="D120" t="s">
        <v>26</v>
      </c>
      <c r="E120" t="s">
        <v>27</v>
      </c>
      <c r="F120">
        <v>38</v>
      </c>
      <c r="G120">
        <v>40.1</v>
      </c>
      <c r="H120" t="s">
        <v>46</v>
      </c>
      <c r="I120" t="s">
        <v>47</v>
      </c>
    </row>
    <row r="121" spans="1:9" x14ac:dyDescent="0.35">
      <c r="A121" s="1">
        <v>45295</v>
      </c>
      <c r="B121" t="s">
        <v>39</v>
      </c>
      <c r="C121" t="s">
        <v>40</v>
      </c>
      <c r="D121" t="s">
        <v>28</v>
      </c>
      <c r="E121" t="s">
        <v>29</v>
      </c>
      <c r="F121">
        <v>32</v>
      </c>
      <c r="G121">
        <v>31.3</v>
      </c>
      <c r="H121" t="s">
        <v>46</v>
      </c>
      <c r="I121" t="s">
        <v>47</v>
      </c>
    </row>
    <row r="122" spans="1:9" x14ac:dyDescent="0.35">
      <c r="A122" s="1">
        <v>45296</v>
      </c>
      <c r="B122" t="s">
        <v>12</v>
      </c>
      <c r="C122" t="s">
        <v>13</v>
      </c>
      <c r="D122" t="s">
        <v>15</v>
      </c>
      <c r="E122" t="s">
        <v>16</v>
      </c>
      <c r="F122">
        <v>34</v>
      </c>
      <c r="G122">
        <v>35.200000000000003</v>
      </c>
      <c r="H122" t="s">
        <v>46</v>
      </c>
      <c r="I122" t="s">
        <v>47</v>
      </c>
    </row>
    <row r="123" spans="1:9" x14ac:dyDescent="0.35">
      <c r="A123" s="1">
        <v>45296</v>
      </c>
      <c r="B123" t="s">
        <v>12</v>
      </c>
      <c r="C123" t="s">
        <v>13</v>
      </c>
      <c r="D123" t="s">
        <v>18</v>
      </c>
      <c r="E123" t="s">
        <v>19</v>
      </c>
      <c r="F123">
        <v>38</v>
      </c>
      <c r="G123">
        <v>37</v>
      </c>
      <c r="H123" t="s">
        <v>46</v>
      </c>
      <c r="I123" t="s">
        <v>47</v>
      </c>
    </row>
    <row r="124" spans="1:9" x14ac:dyDescent="0.35">
      <c r="A124" s="1">
        <v>45296</v>
      </c>
      <c r="B124" t="s">
        <v>12</v>
      </c>
      <c r="C124" t="s">
        <v>13</v>
      </c>
      <c r="D124" t="s">
        <v>21</v>
      </c>
      <c r="E124" t="s">
        <v>22</v>
      </c>
      <c r="F124">
        <v>32</v>
      </c>
      <c r="G124">
        <v>31</v>
      </c>
      <c r="H124" t="s">
        <v>46</v>
      </c>
      <c r="I124" t="s">
        <v>47</v>
      </c>
    </row>
    <row r="125" spans="1:9" x14ac:dyDescent="0.35">
      <c r="A125" s="1">
        <v>45296</v>
      </c>
      <c r="B125" t="s">
        <v>12</v>
      </c>
      <c r="C125" t="s">
        <v>13</v>
      </c>
      <c r="D125" t="s">
        <v>24</v>
      </c>
      <c r="E125" t="s">
        <v>25</v>
      </c>
      <c r="F125">
        <v>50</v>
      </c>
      <c r="G125">
        <v>51.1</v>
      </c>
      <c r="H125" t="s">
        <v>46</v>
      </c>
      <c r="I125" t="s">
        <v>47</v>
      </c>
    </row>
    <row r="126" spans="1:9" x14ac:dyDescent="0.35">
      <c r="A126" s="1">
        <v>45296</v>
      </c>
      <c r="B126" t="s">
        <v>12</v>
      </c>
      <c r="C126" t="s">
        <v>13</v>
      </c>
      <c r="D126" t="s">
        <v>26</v>
      </c>
      <c r="E126" t="s">
        <v>27</v>
      </c>
      <c r="F126">
        <v>38</v>
      </c>
      <c r="G126">
        <v>37.799999999999997</v>
      </c>
      <c r="H126" t="s">
        <v>46</v>
      </c>
      <c r="I126" t="s">
        <v>47</v>
      </c>
    </row>
    <row r="127" spans="1:9" x14ac:dyDescent="0.35">
      <c r="A127" s="1">
        <v>45296</v>
      </c>
      <c r="B127" t="s">
        <v>12</v>
      </c>
      <c r="C127" t="s">
        <v>13</v>
      </c>
      <c r="D127" t="s">
        <v>28</v>
      </c>
      <c r="E127" t="s">
        <v>29</v>
      </c>
      <c r="F127">
        <v>32</v>
      </c>
      <c r="G127">
        <v>32.6</v>
      </c>
      <c r="H127" t="s">
        <v>46</v>
      </c>
      <c r="I127" t="s">
        <v>47</v>
      </c>
    </row>
    <row r="128" spans="1:9" x14ac:dyDescent="0.35">
      <c r="A128" s="1">
        <v>45296</v>
      </c>
      <c r="B128" t="s">
        <v>30</v>
      </c>
      <c r="C128" t="s">
        <v>31</v>
      </c>
      <c r="D128" t="s">
        <v>15</v>
      </c>
      <c r="E128" t="s">
        <v>16</v>
      </c>
      <c r="F128">
        <v>34</v>
      </c>
      <c r="G128">
        <v>43.4</v>
      </c>
      <c r="H128" t="s">
        <v>48</v>
      </c>
      <c r="I128" t="s">
        <v>50</v>
      </c>
    </row>
    <row r="129" spans="1:9" x14ac:dyDescent="0.35">
      <c r="A129" s="1">
        <v>45296</v>
      </c>
      <c r="B129" t="s">
        <v>30</v>
      </c>
      <c r="C129" t="s">
        <v>31</v>
      </c>
      <c r="D129" t="s">
        <v>18</v>
      </c>
      <c r="E129" t="s">
        <v>19</v>
      </c>
      <c r="F129">
        <v>38</v>
      </c>
      <c r="G129">
        <v>38</v>
      </c>
      <c r="H129" t="s">
        <v>46</v>
      </c>
      <c r="I129" t="s">
        <v>47</v>
      </c>
    </row>
    <row r="130" spans="1:9" x14ac:dyDescent="0.35">
      <c r="A130" s="1">
        <v>45296</v>
      </c>
      <c r="B130" t="s">
        <v>30</v>
      </c>
      <c r="C130" t="s">
        <v>31</v>
      </c>
      <c r="D130" t="s">
        <v>21</v>
      </c>
      <c r="E130" t="s">
        <v>22</v>
      </c>
      <c r="F130">
        <v>32</v>
      </c>
      <c r="G130">
        <v>33.299999999999997</v>
      </c>
      <c r="H130" t="s">
        <v>46</v>
      </c>
      <c r="I130" t="s">
        <v>47</v>
      </c>
    </row>
    <row r="131" spans="1:9" x14ac:dyDescent="0.35">
      <c r="A131" s="1">
        <v>45296</v>
      </c>
      <c r="B131" t="s">
        <v>30</v>
      </c>
      <c r="C131" t="s">
        <v>31</v>
      </c>
      <c r="D131" t="s">
        <v>24</v>
      </c>
      <c r="E131" t="s">
        <v>25</v>
      </c>
      <c r="F131">
        <v>50</v>
      </c>
      <c r="G131">
        <v>53</v>
      </c>
      <c r="H131" t="s">
        <v>46</v>
      </c>
      <c r="I131" t="s">
        <v>47</v>
      </c>
    </row>
    <row r="132" spans="1:9" x14ac:dyDescent="0.35">
      <c r="A132" s="1">
        <v>45296</v>
      </c>
      <c r="B132" t="s">
        <v>30</v>
      </c>
      <c r="C132" t="s">
        <v>31</v>
      </c>
      <c r="D132" t="s">
        <v>26</v>
      </c>
      <c r="E132" t="s">
        <v>27</v>
      </c>
      <c r="F132">
        <v>38</v>
      </c>
      <c r="G132">
        <v>37.799999999999997</v>
      </c>
      <c r="H132" t="s">
        <v>46</v>
      </c>
      <c r="I132" t="s">
        <v>47</v>
      </c>
    </row>
    <row r="133" spans="1:9" x14ac:dyDescent="0.35">
      <c r="A133" s="1">
        <v>45296</v>
      </c>
      <c r="B133" t="s">
        <v>30</v>
      </c>
      <c r="C133" t="s">
        <v>31</v>
      </c>
      <c r="D133" t="s">
        <v>28</v>
      </c>
      <c r="E133" t="s">
        <v>29</v>
      </c>
      <c r="F133">
        <v>32</v>
      </c>
      <c r="G133">
        <v>33.200000000000003</v>
      </c>
      <c r="H133" t="s">
        <v>46</v>
      </c>
      <c r="I133" t="s">
        <v>47</v>
      </c>
    </row>
    <row r="134" spans="1:9" x14ac:dyDescent="0.35">
      <c r="A134" s="1">
        <v>45296</v>
      </c>
      <c r="B134" t="s">
        <v>33</v>
      </c>
      <c r="C134" t="s">
        <v>34</v>
      </c>
      <c r="D134" t="s">
        <v>15</v>
      </c>
      <c r="E134" t="s">
        <v>16</v>
      </c>
      <c r="F134">
        <v>34</v>
      </c>
      <c r="G134">
        <v>44.5</v>
      </c>
      <c r="H134" t="s">
        <v>48</v>
      </c>
      <c r="I134" t="s">
        <v>49</v>
      </c>
    </row>
    <row r="135" spans="1:9" x14ac:dyDescent="0.35">
      <c r="A135" s="1">
        <v>45296</v>
      </c>
      <c r="B135" t="s">
        <v>33</v>
      </c>
      <c r="C135" t="s">
        <v>34</v>
      </c>
      <c r="D135" t="s">
        <v>18</v>
      </c>
      <c r="E135" t="s">
        <v>19</v>
      </c>
      <c r="F135">
        <v>38</v>
      </c>
      <c r="G135">
        <v>41</v>
      </c>
      <c r="H135" t="s">
        <v>46</v>
      </c>
      <c r="I135" t="s">
        <v>47</v>
      </c>
    </row>
    <row r="136" spans="1:9" x14ac:dyDescent="0.35">
      <c r="A136" s="1">
        <v>45296</v>
      </c>
      <c r="B136" t="s">
        <v>33</v>
      </c>
      <c r="C136" t="s">
        <v>34</v>
      </c>
      <c r="D136" t="s">
        <v>21</v>
      </c>
      <c r="E136" t="s">
        <v>22</v>
      </c>
      <c r="F136">
        <v>32</v>
      </c>
      <c r="G136">
        <v>34.1</v>
      </c>
      <c r="H136" t="s">
        <v>46</v>
      </c>
      <c r="I136" t="s">
        <v>47</v>
      </c>
    </row>
    <row r="137" spans="1:9" x14ac:dyDescent="0.35">
      <c r="A137" s="1">
        <v>45296</v>
      </c>
      <c r="B137" t="s">
        <v>33</v>
      </c>
      <c r="C137" t="s">
        <v>34</v>
      </c>
      <c r="D137" t="s">
        <v>24</v>
      </c>
      <c r="E137" t="s">
        <v>25</v>
      </c>
      <c r="F137">
        <v>50</v>
      </c>
      <c r="G137">
        <v>49.6</v>
      </c>
      <c r="H137" t="s">
        <v>46</v>
      </c>
      <c r="I137" t="s">
        <v>47</v>
      </c>
    </row>
    <row r="138" spans="1:9" x14ac:dyDescent="0.35">
      <c r="A138" s="1">
        <v>45296</v>
      </c>
      <c r="B138" t="s">
        <v>33</v>
      </c>
      <c r="C138" t="s">
        <v>34</v>
      </c>
      <c r="D138" t="s">
        <v>26</v>
      </c>
      <c r="E138" t="s">
        <v>27</v>
      </c>
      <c r="F138">
        <v>38</v>
      </c>
      <c r="G138">
        <v>37.5</v>
      </c>
      <c r="H138" t="s">
        <v>46</v>
      </c>
      <c r="I138" t="s">
        <v>47</v>
      </c>
    </row>
    <row r="139" spans="1:9" x14ac:dyDescent="0.35">
      <c r="A139" s="1">
        <v>45296</v>
      </c>
      <c r="B139" t="s">
        <v>33</v>
      </c>
      <c r="C139" t="s">
        <v>34</v>
      </c>
      <c r="D139" t="s">
        <v>28</v>
      </c>
      <c r="E139" t="s">
        <v>29</v>
      </c>
      <c r="F139">
        <v>32</v>
      </c>
      <c r="G139">
        <v>34.1</v>
      </c>
      <c r="H139" t="s">
        <v>46</v>
      </c>
      <c r="I139" t="s">
        <v>47</v>
      </c>
    </row>
    <row r="140" spans="1:9" x14ac:dyDescent="0.35">
      <c r="A140" s="1">
        <v>45296</v>
      </c>
      <c r="B140" t="s">
        <v>36</v>
      </c>
      <c r="C140" t="s">
        <v>37</v>
      </c>
      <c r="D140" t="s">
        <v>15</v>
      </c>
      <c r="E140" t="s">
        <v>16</v>
      </c>
      <c r="F140">
        <v>34</v>
      </c>
      <c r="G140">
        <v>33.4</v>
      </c>
      <c r="H140" t="s">
        <v>46</v>
      </c>
      <c r="I140" t="s">
        <v>47</v>
      </c>
    </row>
    <row r="141" spans="1:9" x14ac:dyDescent="0.35">
      <c r="A141" s="1">
        <v>45296</v>
      </c>
      <c r="B141" t="s">
        <v>36</v>
      </c>
      <c r="C141" t="s">
        <v>37</v>
      </c>
      <c r="D141" t="s">
        <v>18</v>
      </c>
      <c r="E141" t="s">
        <v>19</v>
      </c>
      <c r="F141">
        <v>38</v>
      </c>
      <c r="G141">
        <v>40.1</v>
      </c>
      <c r="H141" t="s">
        <v>46</v>
      </c>
      <c r="I141" t="s">
        <v>47</v>
      </c>
    </row>
    <row r="142" spans="1:9" x14ac:dyDescent="0.35">
      <c r="A142" s="1">
        <v>45296</v>
      </c>
      <c r="B142" t="s">
        <v>36</v>
      </c>
      <c r="C142" t="s">
        <v>37</v>
      </c>
      <c r="D142" t="s">
        <v>21</v>
      </c>
      <c r="E142" t="s">
        <v>22</v>
      </c>
      <c r="F142">
        <v>32</v>
      </c>
      <c r="G142">
        <v>33.5</v>
      </c>
      <c r="H142" t="s">
        <v>46</v>
      </c>
      <c r="I142" t="s">
        <v>47</v>
      </c>
    </row>
    <row r="143" spans="1:9" x14ac:dyDescent="0.35">
      <c r="A143" s="1">
        <v>45296</v>
      </c>
      <c r="B143" t="s">
        <v>36</v>
      </c>
      <c r="C143" t="s">
        <v>37</v>
      </c>
      <c r="D143" t="s">
        <v>24</v>
      </c>
      <c r="E143" t="s">
        <v>25</v>
      </c>
      <c r="F143">
        <v>50</v>
      </c>
      <c r="G143">
        <v>49.2</v>
      </c>
      <c r="H143" t="s">
        <v>46</v>
      </c>
      <c r="I143" t="s">
        <v>47</v>
      </c>
    </row>
    <row r="144" spans="1:9" x14ac:dyDescent="0.35">
      <c r="A144" s="1">
        <v>45296</v>
      </c>
      <c r="B144" t="s">
        <v>36</v>
      </c>
      <c r="C144" t="s">
        <v>37</v>
      </c>
      <c r="D144" t="s">
        <v>26</v>
      </c>
      <c r="E144" t="s">
        <v>27</v>
      </c>
      <c r="F144">
        <v>38</v>
      </c>
      <c r="G144">
        <v>39.5</v>
      </c>
      <c r="H144" t="s">
        <v>46</v>
      </c>
      <c r="I144" t="s">
        <v>47</v>
      </c>
    </row>
    <row r="145" spans="1:9" x14ac:dyDescent="0.35">
      <c r="A145" s="1">
        <v>45296</v>
      </c>
      <c r="B145" t="s">
        <v>36</v>
      </c>
      <c r="C145" t="s">
        <v>37</v>
      </c>
      <c r="D145" t="s">
        <v>28</v>
      </c>
      <c r="E145" t="s">
        <v>29</v>
      </c>
      <c r="F145">
        <v>32</v>
      </c>
      <c r="G145">
        <v>34.299999999999997</v>
      </c>
      <c r="H145" t="s">
        <v>46</v>
      </c>
      <c r="I145" t="s">
        <v>47</v>
      </c>
    </row>
    <row r="146" spans="1:9" x14ac:dyDescent="0.35">
      <c r="A146" s="1">
        <v>45296</v>
      </c>
      <c r="B146" t="s">
        <v>39</v>
      </c>
      <c r="C146" t="s">
        <v>40</v>
      </c>
      <c r="D146" t="s">
        <v>15</v>
      </c>
      <c r="E146" t="s">
        <v>16</v>
      </c>
      <c r="F146">
        <v>34</v>
      </c>
      <c r="G146">
        <v>35.4</v>
      </c>
      <c r="H146" t="s">
        <v>46</v>
      </c>
      <c r="I146" t="s">
        <v>47</v>
      </c>
    </row>
    <row r="147" spans="1:9" x14ac:dyDescent="0.35">
      <c r="A147" s="1">
        <v>45296</v>
      </c>
      <c r="B147" t="s">
        <v>39</v>
      </c>
      <c r="C147" t="s">
        <v>40</v>
      </c>
      <c r="D147" t="s">
        <v>18</v>
      </c>
      <c r="E147" t="s">
        <v>19</v>
      </c>
      <c r="F147">
        <v>38</v>
      </c>
      <c r="G147">
        <v>46.1</v>
      </c>
      <c r="H147" t="s">
        <v>48</v>
      </c>
      <c r="I147" t="s">
        <v>50</v>
      </c>
    </row>
    <row r="148" spans="1:9" x14ac:dyDescent="0.35">
      <c r="A148" s="1">
        <v>45296</v>
      </c>
      <c r="B148" t="s">
        <v>39</v>
      </c>
      <c r="C148" t="s">
        <v>40</v>
      </c>
      <c r="D148" t="s">
        <v>21</v>
      </c>
      <c r="E148" t="s">
        <v>22</v>
      </c>
      <c r="F148">
        <v>32</v>
      </c>
      <c r="G148">
        <v>33.4</v>
      </c>
      <c r="H148" t="s">
        <v>46</v>
      </c>
      <c r="I148" t="s">
        <v>47</v>
      </c>
    </row>
    <row r="149" spans="1:9" x14ac:dyDescent="0.35">
      <c r="A149" s="1">
        <v>45296</v>
      </c>
      <c r="B149" t="s">
        <v>39</v>
      </c>
      <c r="C149" t="s">
        <v>40</v>
      </c>
      <c r="D149" t="s">
        <v>24</v>
      </c>
      <c r="E149" t="s">
        <v>25</v>
      </c>
      <c r="F149">
        <v>50</v>
      </c>
      <c r="G149">
        <v>52.7</v>
      </c>
      <c r="H149" t="s">
        <v>46</v>
      </c>
      <c r="I149" t="s">
        <v>47</v>
      </c>
    </row>
    <row r="150" spans="1:9" x14ac:dyDescent="0.35">
      <c r="A150" s="1">
        <v>45296</v>
      </c>
      <c r="B150" t="s">
        <v>39</v>
      </c>
      <c r="C150" t="s">
        <v>40</v>
      </c>
      <c r="D150" t="s">
        <v>26</v>
      </c>
      <c r="E150" t="s">
        <v>27</v>
      </c>
      <c r="F150">
        <v>38</v>
      </c>
      <c r="G150">
        <v>39.6</v>
      </c>
      <c r="H150" t="s">
        <v>46</v>
      </c>
      <c r="I150" t="s">
        <v>47</v>
      </c>
    </row>
    <row r="151" spans="1:9" x14ac:dyDescent="0.35">
      <c r="A151" s="1">
        <v>45296</v>
      </c>
      <c r="B151" t="s">
        <v>39</v>
      </c>
      <c r="C151" t="s">
        <v>40</v>
      </c>
      <c r="D151" t="s">
        <v>28</v>
      </c>
      <c r="E151" t="s">
        <v>29</v>
      </c>
      <c r="F151">
        <v>32</v>
      </c>
      <c r="G151">
        <v>34.9</v>
      </c>
      <c r="H151" t="s">
        <v>46</v>
      </c>
      <c r="I151" t="s">
        <v>47</v>
      </c>
    </row>
    <row r="152" spans="1:9" x14ac:dyDescent="0.35">
      <c r="A152" s="1">
        <v>45297</v>
      </c>
      <c r="B152" t="s">
        <v>12</v>
      </c>
      <c r="C152" t="s">
        <v>13</v>
      </c>
      <c r="D152" t="s">
        <v>15</v>
      </c>
      <c r="E152" t="s">
        <v>16</v>
      </c>
      <c r="F152">
        <v>34</v>
      </c>
      <c r="G152">
        <v>46.2</v>
      </c>
      <c r="H152" t="s">
        <v>48</v>
      </c>
      <c r="I152" t="s">
        <v>49</v>
      </c>
    </row>
    <row r="153" spans="1:9" x14ac:dyDescent="0.35">
      <c r="A153" s="1">
        <v>45297</v>
      </c>
      <c r="B153" t="s">
        <v>12</v>
      </c>
      <c r="C153" t="s">
        <v>13</v>
      </c>
      <c r="D153" t="s">
        <v>18</v>
      </c>
      <c r="E153" t="s">
        <v>19</v>
      </c>
      <c r="F153">
        <v>38</v>
      </c>
      <c r="G153">
        <v>48</v>
      </c>
      <c r="H153" t="s">
        <v>48</v>
      </c>
      <c r="I153" t="s">
        <v>50</v>
      </c>
    </row>
    <row r="154" spans="1:9" x14ac:dyDescent="0.35">
      <c r="A154" s="1">
        <v>45297</v>
      </c>
      <c r="B154" t="s">
        <v>12</v>
      </c>
      <c r="C154" t="s">
        <v>13</v>
      </c>
      <c r="D154" t="s">
        <v>21</v>
      </c>
      <c r="E154" t="s">
        <v>22</v>
      </c>
      <c r="F154">
        <v>32</v>
      </c>
      <c r="G154">
        <v>44.8</v>
      </c>
      <c r="H154" t="s">
        <v>48</v>
      </c>
      <c r="I154" t="s">
        <v>49</v>
      </c>
    </row>
    <row r="155" spans="1:9" x14ac:dyDescent="0.35">
      <c r="A155" s="1">
        <v>45297</v>
      </c>
      <c r="B155" t="s">
        <v>12</v>
      </c>
      <c r="C155" t="s">
        <v>13</v>
      </c>
      <c r="D155" t="s">
        <v>24</v>
      </c>
      <c r="E155" t="s">
        <v>25</v>
      </c>
      <c r="F155">
        <v>50</v>
      </c>
      <c r="G155">
        <v>51.1</v>
      </c>
      <c r="H155" t="s">
        <v>46</v>
      </c>
      <c r="I155" t="s">
        <v>47</v>
      </c>
    </row>
    <row r="156" spans="1:9" x14ac:dyDescent="0.35">
      <c r="A156" s="1">
        <v>45297</v>
      </c>
      <c r="B156" t="s">
        <v>12</v>
      </c>
      <c r="C156" t="s">
        <v>13</v>
      </c>
      <c r="D156" t="s">
        <v>26</v>
      </c>
      <c r="E156" t="s">
        <v>27</v>
      </c>
      <c r="F156">
        <v>38</v>
      </c>
      <c r="G156">
        <v>40.1</v>
      </c>
      <c r="H156" t="s">
        <v>46</v>
      </c>
      <c r="I156" t="s">
        <v>47</v>
      </c>
    </row>
    <row r="157" spans="1:9" x14ac:dyDescent="0.35">
      <c r="A157" s="1">
        <v>45297</v>
      </c>
      <c r="B157" t="s">
        <v>12</v>
      </c>
      <c r="C157" t="s">
        <v>13</v>
      </c>
      <c r="D157" t="s">
        <v>28</v>
      </c>
      <c r="E157" t="s">
        <v>29</v>
      </c>
      <c r="F157">
        <v>32</v>
      </c>
      <c r="G157">
        <v>33.799999999999997</v>
      </c>
      <c r="H157" t="s">
        <v>46</v>
      </c>
      <c r="I157" t="s">
        <v>47</v>
      </c>
    </row>
    <row r="158" spans="1:9" x14ac:dyDescent="0.35">
      <c r="A158" s="1">
        <v>45297</v>
      </c>
      <c r="B158" t="s">
        <v>30</v>
      </c>
      <c r="C158" t="s">
        <v>31</v>
      </c>
      <c r="D158" t="s">
        <v>15</v>
      </c>
      <c r="E158" t="s">
        <v>16</v>
      </c>
      <c r="F158">
        <v>34</v>
      </c>
      <c r="G158">
        <v>35.700000000000003</v>
      </c>
      <c r="H158" t="s">
        <v>46</v>
      </c>
      <c r="I158" t="s">
        <v>47</v>
      </c>
    </row>
    <row r="159" spans="1:9" x14ac:dyDescent="0.35">
      <c r="A159" s="1">
        <v>45297</v>
      </c>
      <c r="B159" t="s">
        <v>30</v>
      </c>
      <c r="C159" t="s">
        <v>31</v>
      </c>
      <c r="D159" t="s">
        <v>18</v>
      </c>
      <c r="E159" t="s">
        <v>19</v>
      </c>
      <c r="F159">
        <v>38</v>
      </c>
      <c r="G159">
        <v>39.6</v>
      </c>
      <c r="H159" t="s">
        <v>46</v>
      </c>
      <c r="I159" t="s">
        <v>47</v>
      </c>
    </row>
    <row r="160" spans="1:9" x14ac:dyDescent="0.35">
      <c r="A160" s="1">
        <v>45297</v>
      </c>
      <c r="B160" t="s">
        <v>30</v>
      </c>
      <c r="C160" t="s">
        <v>31</v>
      </c>
      <c r="D160" t="s">
        <v>21</v>
      </c>
      <c r="E160" t="s">
        <v>22</v>
      </c>
      <c r="F160">
        <v>32</v>
      </c>
      <c r="G160">
        <v>31.3</v>
      </c>
      <c r="H160" t="s">
        <v>46</v>
      </c>
      <c r="I160" t="s">
        <v>47</v>
      </c>
    </row>
    <row r="161" spans="1:9" x14ac:dyDescent="0.35">
      <c r="A161" s="1">
        <v>45297</v>
      </c>
      <c r="B161" t="s">
        <v>30</v>
      </c>
      <c r="C161" t="s">
        <v>31</v>
      </c>
      <c r="D161" t="s">
        <v>24</v>
      </c>
      <c r="E161" t="s">
        <v>25</v>
      </c>
      <c r="F161">
        <v>50</v>
      </c>
      <c r="G161">
        <v>50.6</v>
      </c>
      <c r="H161" t="s">
        <v>46</v>
      </c>
      <c r="I161" t="s">
        <v>47</v>
      </c>
    </row>
    <row r="162" spans="1:9" x14ac:dyDescent="0.35">
      <c r="A162" s="1">
        <v>45297</v>
      </c>
      <c r="B162" t="s">
        <v>30</v>
      </c>
      <c r="C162" t="s">
        <v>31</v>
      </c>
      <c r="D162" t="s">
        <v>26</v>
      </c>
      <c r="E162" t="s">
        <v>27</v>
      </c>
      <c r="F162">
        <v>38</v>
      </c>
      <c r="G162">
        <v>38.6</v>
      </c>
      <c r="H162" t="s">
        <v>46</v>
      </c>
      <c r="I162" t="s">
        <v>47</v>
      </c>
    </row>
    <row r="163" spans="1:9" x14ac:dyDescent="0.35">
      <c r="A163" s="1">
        <v>45297</v>
      </c>
      <c r="B163" t="s">
        <v>30</v>
      </c>
      <c r="C163" t="s">
        <v>31</v>
      </c>
      <c r="D163" t="s">
        <v>28</v>
      </c>
      <c r="E163" t="s">
        <v>29</v>
      </c>
      <c r="F163">
        <v>32</v>
      </c>
      <c r="G163">
        <v>31.1</v>
      </c>
      <c r="H163" t="s">
        <v>46</v>
      </c>
      <c r="I163" t="s">
        <v>47</v>
      </c>
    </row>
    <row r="164" spans="1:9" x14ac:dyDescent="0.35">
      <c r="A164" s="1">
        <v>45297</v>
      </c>
      <c r="B164" t="s">
        <v>33</v>
      </c>
      <c r="C164" t="s">
        <v>34</v>
      </c>
      <c r="D164" t="s">
        <v>15</v>
      </c>
      <c r="E164" t="s">
        <v>16</v>
      </c>
      <c r="F164">
        <v>34</v>
      </c>
      <c r="G164">
        <v>36.700000000000003</v>
      </c>
      <c r="H164" t="s">
        <v>46</v>
      </c>
      <c r="I164" t="s">
        <v>47</v>
      </c>
    </row>
    <row r="165" spans="1:9" x14ac:dyDescent="0.35">
      <c r="A165" s="1">
        <v>45297</v>
      </c>
      <c r="B165" t="s">
        <v>33</v>
      </c>
      <c r="C165" t="s">
        <v>34</v>
      </c>
      <c r="D165" t="s">
        <v>18</v>
      </c>
      <c r="E165" t="s">
        <v>19</v>
      </c>
      <c r="F165">
        <v>38</v>
      </c>
      <c r="G165">
        <v>39.9</v>
      </c>
      <c r="H165" t="s">
        <v>46</v>
      </c>
      <c r="I165" t="s">
        <v>47</v>
      </c>
    </row>
    <row r="166" spans="1:9" x14ac:dyDescent="0.35">
      <c r="A166" s="1">
        <v>45297</v>
      </c>
      <c r="B166" t="s">
        <v>33</v>
      </c>
      <c r="C166" t="s">
        <v>34</v>
      </c>
      <c r="D166" t="s">
        <v>21</v>
      </c>
      <c r="E166" t="s">
        <v>22</v>
      </c>
      <c r="F166">
        <v>32</v>
      </c>
      <c r="G166">
        <v>33.299999999999997</v>
      </c>
      <c r="H166" t="s">
        <v>46</v>
      </c>
      <c r="I166" t="s">
        <v>47</v>
      </c>
    </row>
    <row r="167" spans="1:9" x14ac:dyDescent="0.35">
      <c r="A167" s="1">
        <v>45297</v>
      </c>
      <c r="B167" t="s">
        <v>33</v>
      </c>
      <c r="C167" t="s">
        <v>34</v>
      </c>
      <c r="D167" t="s">
        <v>24</v>
      </c>
      <c r="E167" t="s">
        <v>25</v>
      </c>
      <c r="F167">
        <v>50</v>
      </c>
      <c r="G167">
        <v>52.3</v>
      </c>
      <c r="H167" t="s">
        <v>46</v>
      </c>
      <c r="I167" t="s">
        <v>47</v>
      </c>
    </row>
    <row r="168" spans="1:9" x14ac:dyDescent="0.35">
      <c r="A168" s="1">
        <v>45297</v>
      </c>
      <c r="B168" t="s">
        <v>33</v>
      </c>
      <c r="C168" t="s">
        <v>34</v>
      </c>
      <c r="D168" t="s">
        <v>26</v>
      </c>
      <c r="E168" t="s">
        <v>27</v>
      </c>
      <c r="F168">
        <v>38</v>
      </c>
      <c r="G168">
        <v>40.9</v>
      </c>
      <c r="H168" t="s">
        <v>46</v>
      </c>
      <c r="I168" t="s">
        <v>47</v>
      </c>
    </row>
    <row r="169" spans="1:9" x14ac:dyDescent="0.35">
      <c r="A169" s="1">
        <v>45297</v>
      </c>
      <c r="B169" t="s">
        <v>33</v>
      </c>
      <c r="C169" t="s">
        <v>34</v>
      </c>
      <c r="D169" t="s">
        <v>28</v>
      </c>
      <c r="E169" t="s">
        <v>29</v>
      </c>
      <c r="F169">
        <v>32</v>
      </c>
      <c r="G169">
        <v>32.6</v>
      </c>
      <c r="H169" t="s">
        <v>46</v>
      </c>
      <c r="I169" t="s">
        <v>47</v>
      </c>
    </row>
    <row r="170" spans="1:9" x14ac:dyDescent="0.35">
      <c r="A170" s="1">
        <v>45297</v>
      </c>
      <c r="B170" t="s">
        <v>36</v>
      </c>
      <c r="C170" t="s">
        <v>37</v>
      </c>
      <c r="D170" t="s">
        <v>15</v>
      </c>
      <c r="E170" t="s">
        <v>16</v>
      </c>
      <c r="F170">
        <v>34</v>
      </c>
      <c r="G170">
        <v>41.4</v>
      </c>
      <c r="H170" t="s">
        <v>48</v>
      </c>
      <c r="I170" t="s">
        <v>50</v>
      </c>
    </row>
    <row r="171" spans="1:9" x14ac:dyDescent="0.35">
      <c r="A171" s="1">
        <v>45297</v>
      </c>
      <c r="B171" t="s">
        <v>36</v>
      </c>
      <c r="C171" t="s">
        <v>37</v>
      </c>
      <c r="D171" t="s">
        <v>18</v>
      </c>
      <c r="E171" t="s">
        <v>19</v>
      </c>
      <c r="F171">
        <v>38</v>
      </c>
      <c r="G171">
        <v>39.200000000000003</v>
      </c>
      <c r="H171" t="s">
        <v>46</v>
      </c>
      <c r="I171" t="s">
        <v>47</v>
      </c>
    </row>
    <row r="172" spans="1:9" x14ac:dyDescent="0.35">
      <c r="A172" s="1">
        <v>45297</v>
      </c>
      <c r="B172" t="s">
        <v>36</v>
      </c>
      <c r="C172" t="s">
        <v>37</v>
      </c>
      <c r="D172" t="s">
        <v>21</v>
      </c>
      <c r="E172" t="s">
        <v>22</v>
      </c>
      <c r="F172">
        <v>32</v>
      </c>
      <c r="G172">
        <v>32.4</v>
      </c>
      <c r="H172" t="s">
        <v>46</v>
      </c>
      <c r="I172" t="s">
        <v>47</v>
      </c>
    </row>
    <row r="173" spans="1:9" x14ac:dyDescent="0.35">
      <c r="A173" s="1">
        <v>45297</v>
      </c>
      <c r="B173" t="s">
        <v>36</v>
      </c>
      <c r="C173" t="s">
        <v>37</v>
      </c>
      <c r="D173" t="s">
        <v>24</v>
      </c>
      <c r="E173" t="s">
        <v>25</v>
      </c>
      <c r="F173">
        <v>50</v>
      </c>
      <c r="G173">
        <v>60.1</v>
      </c>
      <c r="H173" t="s">
        <v>48</v>
      </c>
      <c r="I173" t="s">
        <v>49</v>
      </c>
    </row>
    <row r="174" spans="1:9" x14ac:dyDescent="0.35">
      <c r="A174" s="1">
        <v>45297</v>
      </c>
      <c r="B174" t="s">
        <v>36</v>
      </c>
      <c r="C174" t="s">
        <v>37</v>
      </c>
      <c r="D174" t="s">
        <v>26</v>
      </c>
      <c r="E174" t="s">
        <v>27</v>
      </c>
      <c r="F174">
        <v>38</v>
      </c>
      <c r="G174">
        <v>39.200000000000003</v>
      </c>
      <c r="H174" t="s">
        <v>46</v>
      </c>
      <c r="I174" t="s">
        <v>47</v>
      </c>
    </row>
    <row r="175" spans="1:9" x14ac:dyDescent="0.35">
      <c r="A175" s="1">
        <v>45297</v>
      </c>
      <c r="B175" t="s">
        <v>36</v>
      </c>
      <c r="C175" t="s">
        <v>37</v>
      </c>
      <c r="D175" t="s">
        <v>28</v>
      </c>
      <c r="E175" t="s">
        <v>29</v>
      </c>
      <c r="F175">
        <v>32</v>
      </c>
      <c r="G175">
        <v>32</v>
      </c>
      <c r="H175" t="s">
        <v>46</v>
      </c>
      <c r="I175" t="s">
        <v>47</v>
      </c>
    </row>
    <row r="176" spans="1:9" x14ac:dyDescent="0.35">
      <c r="A176" s="1">
        <v>45297</v>
      </c>
      <c r="B176" t="s">
        <v>39</v>
      </c>
      <c r="C176" t="s">
        <v>40</v>
      </c>
      <c r="D176" t="s">
        <v>15</v>
      </c>
      <c r="E176" t="s">
        <v>16</v>
      </c>
      <c r="F176">
        <v>34</v>
      </c>
      <c r="G176">
        <v>34.5</v>
      </c>
      <c r="H176" t="s">
        <v>46</v>
      </c>
      <c r="I176" t="s">
        <v>47</v>
      </c>
    </row>
    <row r="177" spans="1:9" x14ac:dyDescent="0.35">
      <c r="A177" s="1">
        <v>45297</v>
      </c>
      <c r="B177" t="s">
        <v>39</v>
      </c>
      <c r="C177" t="s">
        <v>40</v>
      </c>
      <c r="D177" t="s">
        <v>18</v>
      </c>
      <c r="E177" t="s">
        <v>19</v>
      </c>
      <c r="F177">
        <v>38</v>
      </c>
      <c r="G177">
        <v>38</v>
      </c>
      <c r="H177" t="s">
        <v>46</v>
      </c>
      <c r="I177" t="s">
        <v>47</v>
      </c>
    </row>
    <row r="178" spans="1:9" x14ac:dyDescent="0.35">
      <c r="A178" s="1">
        <v>45297</v>
      </c>
      <c r="B178" t="s">
        <v>39</v>
      </c>
      <c r="C178" t="s">
        <v>40</v>
      </c>
      <c r="D178" t="s">
        <v>21</v>
      </c>
      <c r="E178" t="s">
        <v>22</v>
      </c>
      <c r="F178">
        <v>32</v>
      </c>
      <c r="G178">
        <v>34.1</v>
      </c>
      <c r="H178" t="s">
        <v>46</v>
      </c>
      <c r="I178" t="s">
        <v>47</v>
      </c>
    </row>
    <row r="179" spans="1:9" x14ac:dyDescent="0.35">
      <c r="A179" s="1">
        <v>45297</v>
      </c>
      <c r="B179" t="s">
        <v>39</v>
      </c>
      <c r="C179" t="s">
        <v>40</v>
      </c>
      <c r="D179" t="s">
        <v>24</v>
      </c>
      <c r="E179" t="s">
        <v>25</v>
      </c>
      <c r="F179">
        <v>50</v>
      </c>
      <c r="G179">
        <v>52.6</v>
      </c>
      <c r="H179" t="s">
        <v>46</v>
      </c>
      <c r="I179" t="s">
        <v>47</v>
      </c>
    </row>
    <row r="180" spans="1:9" x14ac:dyDescent="0.35">
      <c r="A180" s="1">
        <v>45297</v>
      </c>
      <c r="B180" t="s">
        <v>39</v>
      </c>
      <c r="C180" t="s">
        <v>40</v>
      </c>
      <c r="D180" t="s">
        <v>26</v>
      </c>
      <c r="E180" t="s">
        <v>27</v>
      </c>
      <c r="F180">
        <v>38</v>
      </c>
      <c r="G180">
        <v>38.9</v>
      </c>
      <c r="H180" t="s">
        <v>46</v>
      </c>
      <c r="I180" t="s">
        <v>47</v>
      </c>
    </row>
    <row r="181" spans="1:9" x14ac:dyDescent="0.35">
      <c r="A181" s="1">
        <v>45297</v>
      </c>
      <c r="B181" t="s">
        <v>39</v>
      </c>
      <c r="C181" t="s">
        <v>40</v>
      </c>
      <c r="D181" t="s">
        <v>28</v>
      </c>
      <c r="E181" t="s">
        <v>29</v>
      </c>
      <c r="F181">
        <v>32</v>
      </c>
      <c r="G181">
        <v>32.5</v>
      </c>
      <c r="H181" t="s">
        <v>46</v>
      </c>
      <c r="I181" t="s">
        <v>47</v>
      </c>
    </row>
    <row r="182" spans="1:9" x14ac:dyDescent="0.35">
      <c r="A182" s="1">
        <v>45298</v>
      </c>
      <c r="B182" t="s">
        <v>12</v>
      </c>
      <c r="C182" t="s">
        <v>13</v>
      </c>
      <c r="D182" t="s">
        <v>15</v>
      </c>
      <c r="E182" t="s">
        <v>16</v>
      </c>
      <c r="F182">
        <v>34</v>
      </c>
      <c r="G182">
        <v>33.9</v>
      </c>
      <c r="H182" t="s">
        <v>46</v>
      </c>
      <c r="I182" t="s">
        <v>47</v>
      </c>
    </row>
    <row r="183" spans="1:9" x14ac:dyDescent="0.35">
      <c r="A183" s="1">
        <v>45298</v>
      </c>
      <c r="B183" t="s">
        <v>12</v>
      </c>
      <c r="C183" t="s">
        <v>13</v>
      </c>
      <c r="D183" t="s">
        <v>18</v>
      </c>
      <c r="E183" t="s">
        <v>19</v>
      </c>
      <c r="F183">
        <v>38</v>
      </c>
      <c r="G183">
        <v>40.200000000000003</v>
      </c>
      <c r="H183" t="s">
        <v>46</v>
      </c>
      <c r="I183" t="s">
        <v>47</v>
      </c>
    </row>
    <row r="184" spans="1:9" x14ac:dyDescent="0.35">
      <c r="A184" s="1">
        <v>45298</v>
      </c>
      <c r="B184" t="s">
        <v>12</v>
      </c>
      <c r="C184" t="s">
        <v>13</v>
      </c>
      <c r="D184" t="s">
        <v>21</v>
      </c>
      <c r="E184" t="s">
        <v>22</v>
      </c>
      <c r="F184">
        <v>32</v>
      </c>
      <c r="G184">
        <v>32.4</v>
      </c>
      <c r="H184" t="s">
        <v>46</v>
      </c>
      <c r="I184" t="s">
        <v>47</v>
      </c>
    </row>
    <row r="185" spans="1:9" x14ac:dyDescent="0.35">
      <c r="A185" s="1">
        <v>45298</v>
      </c>
      <c r="B185" t="s">
        <v>12</v>
      </c>
      <c r="C185" t="s">
        <v>13</v>
      </c>
      <c r="D185" t="s">
        <v>24</v>
      </c>
      <c r="E185" t="s">
        <v>25</v>
      </c>
      <c r="F185">
        <v>50</v>
      </c>
      <c r="G185">
        <v>51.8</v>
      </c>
      <c r="H185" t="s">
        <v>46</v>
      </c>
      <c r="I185" t="s">
        <v>47</v>
      </c>
    </row>
    <row r="186" spans="1:9" x14ac:dyDescent="0.35">
      <c r="A186" s="1">
        <v>45298</v>
      </c>
      <c r="B186" t="s">
        <v>12</v>
      </c>
      <c r="C186" t="s">
        <v>13</v>
      </c>
      <c r="D186" t="s">
        <v>26</v>
      </c>
      <c r="E186" t="s">
        <v>27</v>
      </c>
      <c r="F186">
        <v>38</v>
      </c>
      <c r="G186">
        <v>38.1</v>
      </c>
      <c r="H186" t="s">
        <v>46</v>
      </c>
      <c r="I186" t="s">
        <v>47</v>
      </c>
    </row>
    <row r="187" spans="1:9" x14ac:dyDescent="0.35">
      <c r="A187" s="1">
        <v>45298</v>
      </c>
      <c r="B187" t="s">
        <v>12</v>
      </c>
      <c r="C187" t="s">
        <v>13</v>
      </c>
      <c r="D187" t="s">
        <v>28</v>
      </c>
      <c r="E187" t="s">
        <v>29</v>
      </c>
      <c r="F187">
        <v>32</v>
      </c>
      <c r="G187">
        <v>34</v>
      </c>
      <c r="H187" t="s">
        <v>46</v>
      </c>
      <c r="I187" t="s">
        <v>47</v>
      </c>
    </row>
    <row r="188" spans="1:9" x14ac:dyDescent="0.35">
      <c r="A188" s="1">
        <v>45298</v>
      </c>
      <c r="B188" t="s">
        <v>30</v>
      </c>
      <c r="C188" t="s">
        <v>31</v>
      </c>
      <c r="D188" t="s">
        <v>15</v>
      </c>
      <c r="E188" t="s">
        <v>16</v>
      </c>
      <c r="F188">
        <v>34</v>
      </c>
      <c r="G188">
        <v>35.200000000000003</v>
      </c>
      <c r="H188" t="s">
        <v>46</v>
      </c>
      <c r="I188" t="s">
        <v>47</v>
      </c>
    </row>
    <row r="189" spans="1:9" x14ac:dyDescent="0.35">
      <c r="A189" s="1">
        <v>45298</v>
      </c>
      <c r="B189" t="s">
        <v>30</v>
      </c>
      <c r="C189" t="s">
        <v>31</v>
      </c>
      <c r="D189" t="s">
        <v>18</v>
      </c>
      <c r="E189" t="s">
        <v>19</v>
      </c>
      <c r="F189">
        <v>38</v>
      </c>
      <c r="G189">
        <v>46.5</v>
      </c>
      <c r="H189" t="s">
        <v>48</v>
      </c>
      <c r="I189" t="s">
        <v>50</v>
      </c>
    </row>
    <row r="190" spans="1:9" x14ac:dyDescent="0.35">
      <c r="A190" s="1">
        <v>45298</v>
      </c>
      <c r="B190" t="s">
        <v>30</v>
      </c>
      <c r="C190" t="s">
        <v>31</v>
      </c>
      <c r="D190" t="s">
        <v>21</v>
      </c>
      <c r="E190" t="s">
        <v>22</v>
      </c>
      <c r="F190">
        <v>32</v>
      </c>
      <c r="G190">
        <v>33.299999999999997</v>
      </c>
      <c r="H190" t="s">
        <v>46</v>
      </c>
      <c r="I190" t="s">
        <v>47</v>
      </c>
    </row>
    <row r="191" spans="1:9" x14ac:dyDescent="0.35">
      <c r="A191" s="1">
        <v>45298</v>
      </c>
      <c r="B191" t="s">
        <v>30</v>
      </c>
      <c r="C191" t="s">
        <v>31</v>
      </c>
      <c r="D191" t="s">
        <v>24</v>
      </c>
      <c r="E191" t="s">
        <v>25</v>
      </c>
      <c r="F191">
        <v>50</v>
      </c>
      <c r="G191">
        <v>52</v>
      </c>
      <c r="H191" t="s">
        <v>46</v>
      </c>
      <c r="I191" t="s">
        <v>47</v>
      </c>
    </row>
    <row r="192" spans="1:9" x14ac:dyDescent="0.35">
      <c r="A192" s="1">
        <v>45298</v>
      </c>
      <c r="B192" t="s">
        <v>30</v>
      </c>
      <c r="C192" t="s">
        <v>31</v>
      </c>
      <c r="D192" t="s">
        <v>26</v>
      </c>
      <c r="E192" t="s">
        <v>27</v>
      </c>
      <c r="F192">
        <v>38</v>
      </c>
      <c r="G192">
        <v>37.799999999999997</v>
      </c>
      <c r="H192" t="s">
        <v>46</v>
      </c>
      <c r="I192" t="s">
        <v>47</v>
      </c>
    </row>
    <row r="193" spans="1:9" x14ac:dyDescent="0.35">
      <c r="A193" s="1">
        <v>45298</v>
      </c>
      <c r="B193" t="s">
        <v>30</v>
      </c>
      <c r="C193" t="s">
        <v>31</v>
      </c>
      <c r="D193" t="s">
        <v>28</v>
      </c>
      <c r="E193" t="s">
        <v>29</v>
      </c>
      <c r="F193">
        <v>32</v>
      </c>
      <c r="G193">
        <v>31.9</v>
      </c>
      <c r="H193" t="s">
        <v>46</v>
      </c>
      <c r="I193" t="s">
        <v>47</v>
      </c>
    </row>
    <row r="194" spans="1:9" x14ac:dyDescent="0.35">
      <c r="A194" s="1">
        <v>45298</v>
      </c>
      <c r="B194" t="s">
        <v>33</v>
      </c>
      <c r="C194" t="s">
        <v>34</v>
      </c>
      <c r="D194" t="s">
        <v>15</v>
      </c>
      <c r="E194" t="s">
        <v>16</v>
      </c>
      <c r="F194">
        <v>34</v>
      </c>
      <c r="G194">
        <v>34.1</v>
      </c>
      <c r="H194" t="s">
        <v>46</v>
      </c>
      <c r="I194" t="s">
        <v>47</v>
      </c>
    </row>
    <row r="195" spans="1:9" x14ac:dyDescent="0.35">
      <c r="A195" s="1">
        <v>45298</v>
      </c>
      <c r="B195" t="s">
        <v>33</v>
      </c>
      <c r="C195" t="s">
        <v>34</v>
      </c>
      <c r="D195" t="s">
        <v>18</v>
      </c>
      <c r="E195" t="s">
        <v>19</v>
      </c>
      <c r="F195">
        <v>38</v>
      </c>
      <c r="G195">
        <v>40.299999999999997</v>
      </c>
      <c r="H195" t="s">
        <v>46</v>
      </c>
      <c r="I195" t="s">
        <v>47</v>
      </c>
    </row>
    <row r="196" spans="1:9" x14ac:dyDescent="0.35">
      <c r="A196" s="1">
        <v>45298</v>
      </c>
      <c r="B196" t="s">
        <v>33</v>
      </c>
      <c r="C196" t="s">
        <v>34</v>
      </c>
      <c r="D196" t="s">
        <v>21</v>
      </c>
      <c r="E196" t="s">
        <v>22</v>
      </c>
      <c r="F196">
        <v>32</v>
      </c>
      <c r="G196">
        <v>32.4</v>
      </c>
      <c r="H196" t="s">
        <v>46</v>
      </c>
      <c r="I196" t="s">
        <v>47</v>
      </c>
    </row>
    <row r="197" spans="1:9" x14ac:dyDescent="0.35">
      <c r="A197" s="1">
        <v>45298</v>
      </c>
      <c r="B197" t="s">
        <v>33</v>
      </c>
      <c r="C197" t="s">
        <v>34</v>
      </c>
      <c r="D197" t="s">
        <v>24</v>
      </c>
      <c r="E197" t="s">
        <v>25</v>
      </c>
      <c r="F197">
        <v>50</v>
      </c>
      <c r="G197">
        <v>49.5</v>
      </c>
      <c r="H197" t="s">
        <v>46</v>
      </c>
      <c r="I197" t="s">
        <v>47</v>
      </c>
    </row>
    <row r="198" spans="1:9" x14ac:dyDescent="0.35">
      <c r="A198" s="1">
        <v>45298</v>
      </c>
      <c r="B198" t="s">
        <v>33</v>
      </c>
      <c r="C198" t="s">
        <v>34</v>
      </c>
      <c r="D198" t="s">
        <v>26</v>
      </c>
      <c r="E198" t="s">
        <v>27</v>
      </c>
      <c r="F198">
        <v>38</v>
      </c>
      <c r="G198">
        <v>51.6</v>
      </c>
      <c r="H198" t="s">
        <v>48</v>
      </c>
      <c r="I198" t="s">
        <v>49</v>
      </c>
    </row>
    <row r="199" spans="1:9" x14ac:dyDescent="0.35">
      <c r="A199" s="1">
        <v>45298</v>
      </c>
      <c r="B199" t="s">
        <v>33</v>
      </c>
      <c r="C199" t="s">
        <v>34</v>
      </c>
      <c r="D199" t="s">
        <v>28</v>
      </c>
      <c r="E199" t="s">
        <v>29</v>
      </c>
      <c r="F199">
        <v>32</v>
      </c>
      <c r="G199">
        <v>31</v>
      </c>
      <c r="H199" t="s">
        <v>46</v>
      </c>
      <c r="I199" t="s">
        <v>47</v>
      </c>
    </row>
    <row r="200" spans="1:9" x14ac:dyDescent="0.35">
      <c r="A200" s="1">
        <v>45298</v>
      </c>
      <c r="B200" t="s">
        <v>36</v>
      </c>
      <c r="C200" t="s">
        <v>37</v>
      </c>
      <c r="D200" t="s">
        <v>15</v>
      </c>
      <c r="E200" t="s">
        <v>16</v>
      </c>
      <c r="F200">
        <v>34</v>
      </c>
      <c r="G200">
        <v>36.799999999999997</v>
      </c>
      <c r="H200" t="s">
        <v>46</v>
      </c>
      <c r="I200" t="s">
        <v>47</v>
      </c>
    </row>
    <row r="201" spans="1:9" x14ac:dyDescent="0.35">
      <c r="A201" s="1">
        <v>45298</v>
      </c>
      <c r="B201" t="s">
        <v>36</v>
      </c>
      <c r="C201" t="s">
        <v>37</v>
      </c>
      <c r="D201" t="s">
        <v>18</v>
      </c>
      <c r="E201" t="s">
        <v>19</v>
      </c>
      <c r="F201">
        <v>38</v>
      </c>
      <c r="G201">
        <v>38.5</v>
      </c>
      <c r="H201" t="s">
        <v>46</v>
      </c>
      <c r="I201" t="s">
        <v>47</v>
      </c>
    </row>
    <row r="202" spans="1:9" x14ac:dyDescent="0.35">
      <c r="A202" s="1">
        <v>45298</v>
      </c>
      <c r="B202" t="s">
        <v>36</v>
      </c>
      <c r="C202" t="s">
        <v>37</v>
      </c>
      <c r="D202" t="s">
        <v>21</v>
      </c>
      <c r="E202" t="s">
        <v>22</v>
      </c>
      <c r="F202">
        <v>32</v>
      </c>
      <c r="G202">
        <v>34.6</v>
      </c>
      <c r="H202" t="s">
        <v>46</v>
      </c>
      <c r="I202" t="s">
        <v>47</v>
      </c>
    </row>
    <row r="203" spans="1:9" x14ac:dyDescent="0.35">
      <c r="A203" s="1">
        <v>45298</v>
      </c>
      <c r="B203" t="s">
        <v>36</v>
      </c>
      <c r="C203" t="s">
        <v>37</v>
      </c>
      <c r="D203" t="s">
        <v>24</v>
      </c>
      <c r="E203" t="s">
        <v>25</v>
      </c>
      <c r="F203">
        <v>50</v>
      </c>
      <c r="G203">
        <v>51.3</v>
      </c>
      <c r="H203" t="s">
        <v>46</v>
      </c>
      <c r="I203" t="s">
        <v>47</v>
      </c>
    </row>
    <row r="204" spans="1:9" x14ac:dyDescent="0.35">
      <c r="A204" s="1">
        <v>45298</v>
      </c>
      <c r="B204" t="s">
        <v>36</v>
      </c>
      <c r="C204" t="s">
        <v>37</v>
      </c>
      <c r="D204" t="s">
        <v>26</v>
      </c>
      <c r="E204" t="s">
        <v>27</v>
      </c>
      <c r="F204">
        <v>38</v>
      </c>
      <c r="G204">
        <v>37.700000000000003</v>
      </c>
      <c r="H204" t="s">
        <v>46</v>
      </c>
      <c r="I204" t="s">
        <v>47</v>
      </c>
    </row>
    <row r="205" spans="1:9" x14ac:dyDescent="0.35">
      <c r="A205" s="1">
        <v>45298</v>
      </c>
      <c r="B205" t="s">
        <v>36</v>
      </c>
      <c r="C205" t="s">
        <v>37</v>
      </c>
      <c r="D205" t="s">
        <v>28</v>
      </c>
      <c r="E205" t="s">
        <v>29</v>
      </c>
      <c r="F205">
        <v>32</v>
      </c>
      <c r="G205">
        <v>33</v>
      </c>
      <c r="H205" t="s">
        <v>46</v>
      </c>
      <c r="I205" t="s">
        <v>47</v>
      </c>
    </row>
    <row r="206" spans="1:9" x14ac:dyDescent="0.35">
      <c r="A206" s="1">
        <v>45298</v>
      </c>
      <c r="B206" t="s">
        <v>39</v>
      </c>
      <c r="C206" t="s">
        <v>40</v>
      </c>
      <c r="D206" t="s">
        <v>15</v>
      </c>
      <c r="E206" t="s">
        <v>16</v>
      </c>
      <c r="F206">
        <v>34</v>
      </c>
      <c r="G206">
        <v>36</v>
      </c>
      <c r="H206" t="s">
        <v>46</v>
      </c>
      <c r="I206" t="s">
        <v>47</v>
      </c>
    </row>
    <row r="207" spans="1:9" x14ac:dyDescent="0.35">
      <c r="A207" s="1">
        <v>45298</v>
      </c>
      <c r="B207" t="s">
        <v>39</v>
      </c>
      <c r="C207" t="s">
        <v>40</v>
      </c>
      <c r="D207" t="s">
        <v>18</v>
      </c>
      <c r="E207" t="s">
        <v>19</v>
      </c>
      <c r="F207">
        <v>38</v>
      </c>
      <c r="G207">
        <v>48.2</v>
      </c>
      <c r="H207" t="s">
        <v>48</v>
      </c>
      <c r="I207" t="s">
        <v>49</v>
      </c>
    </row>
    <row r="208" spans="1:9" x14ac:dyDescent="0.35">
      <c r="A208" s="1">
        <v>45298</v>
      </c>
      <c r="B208" t="s">
        <v>39</v>
      </c>
      <c r="C208" t="s">
        <v>40</v>
      </c>
      <c r="D208" t="s">
        <v>21</v>
      </c>
      <c r="E208" t="s">
        <v>22</v>
      </c>
      <c r="F208">
        <v>32</v>
      </c>
      <c r="G208">
        <v>34.799999999999997</v>
      </c>
      <c r="H208" t="s">
        <v>46</v>
      </c>
      <c r="I208" t="s">
        <v>47</v>
      </c>
    </row>
    <row r="209" spans="1:9" x14ac:dyDescent="0.35">
      <c r="A209" s="1">
        <v>45298</v>
      </c>
      <c r="B209" t="s">
        <v>39</v>
      </c>
      <c r="C209" t="s">
        <v>40</v>
      </c>
      <c r="D209" t="s">
        <v>24</v>
      </c>
      <c r="E209" t="s">
        <v>25</v>
      </c>
      <c r="F209">
        <v>50</v>
      </c>
      <c r="G209">
        <v>58.8</v>
      </c>
      <c r="H209" t="s">
        <v>48</v>
      </c>
      <c r="I209" t="s">
        <v>50</v>
      </c>
    </row>
    <row r="210" spans="1:9" x14ac:dyDescent="0.35">
      <c r="A210" s="1">
        <v>45298</v>
      </c>
      <c r="B210" t="s">
        <v>39</v>
      </c>
      <c r="C210" t="s">
        <v>40</v>
      </c>
      <c r="D210" t="s">
        <v>26</v>
      </c>
      <c r="E210" t="s">
        <v>27</v>
      </c>
      <c r="F210">
        <v>38</v>
      </c>
      <c r="G210">
        <v>40.1</v>
      </c>
      <c r="H210" t="s">
        <v>46</v>
      </c>
      <c r="I210" t="s">
        <v>47</v>
      </c>
    </row>
    <row r="211" spans="1:9" x14ac:dyDescent="0.35">
      <c r="A211" s="1">
        <v>45298</v>
      </c>
      <c r="B211" t="s">
        <v>39</v>
      </c>
      <c r="C211" t="s">
        <v>40</v>
      </c>
      <c r="D211" t="s">
        <v>28</v>
      </c>
      <c r="E211" t="s">
        <v>29</v>
      </c>
      <c r="F211">
        <v>32</v>
      </c>
      <c r="G211">
        <v>31.5</v>
      </c>
      <c r="H211" t="s">
        <v>46</v>
      </c>
      <c r="I211" t="s">
        <v>47</v>
      </c>
    </row>
    <row r="212" spans="1:9" x14ac:dyDescent="0.35">
      <c r="A212" s="1">
        <v>45299</v>
      </c>
      <c r="B212" t="s">
        <v>12</v>
      </c>
      <c r="C212" t="s">
        <v>13</v>
      </c>
      <c r="D212" t="s">
        <v>15</v>
      </c>
      <c r="E212" t="s">
        <v>16</v>
      </c>
      <c r="F212">
        <v>34</v>
      </c>
      <c r="G212">
        <v>34.299999999999997</v>
      </c>
      <c r="H212" t="s">
        <v>46</v>
      </c>
      <c r="I212" t="s">
        <v>47</v>
      </c>
    </row>
    <row r="213" spans="1:9" x14ac:dyDescent="0.35">
      <c r="A213" s="1">
        <v>45299</v>
      </c>
      <c r="B213" t="s">
        <v>12</v>
      </c>
      <c r="C213" t="s">
        <v>13</v>
      </c>
      <c r="D213" t="s">
        <v>18</v>
      </c>
      <c r="E213" t="s">
        <v>19</v>
      </c>
      <c r="F213">
        <v>38</v>
      </c>
      <c r="G213">
        <v>49.4</v>
      </c>
      <c r="H213" t="s">
        <v>48</v>
      </c>
      <c r="I213" t="s">
        <v>49</v>
      </c>
    </row>
    <row r="214" spans="1:9" x14ac:dyDescent="0.35">
      <c r="A214" s="1">
        <v>45299</v>
      </c>
      <c r="B214" t="s">
        <v>12</v>
      </c>
      <c r="C214" t="s">
        <v>13</v>
      </c>
      <c r="D214" t="s">
        <v>21</v>
      </c>
      <c r="E214" t="s">
        <v>22</v>
      </c>
      <c r="F214">
        <v>32</v>
      </c>
      <c r="G214">
        <v>31.4</v>
      </c>
      <c r="H214" t="s">
        <v>46</v>
      </c>
      <c r="I214" t="s">
        <v>47</v>
      </c>
    </row>
    <row r="215" spans="1:9" x14ac:dyDescent="0.35">
      <c r="A215" s="1">
        <v>45299</v>
      </c>
      <c r="B215" t="s">
        <v>12</v>
      </c>
      <c r="C215" t="s">
        <v>13</v>
      </c>
      <c r="D215" t="s">
        <v>24</v>
      </c>
      <c r="E215" t="s">
        <v>25</v>
      </c>
      <c r="F215">
        <v>50</v>
      </c>
      <c r="G215">
        <v>52.4</v>
      </c>
      <c r="H215" t="s">
        <v>46</v>
      </c>
      <c r="I215" t="s">
        <v>47</v>
      </c>
    </row>
    <row r="216" spans="1:9" x14ac:dyDescent="0.35">
      <c r="A216" s="1">
        <v>45299</v>
      </c>
      <c r="B216" t="s">
        <v>12</v>
      </c>
      <c r="C216" t="s">
        <v>13</v>
      </c>
      <c r="D216" t="s">
        <v>26</v>
      </c>
      <c r="E216" t="s">
        <v>27</v>
      </c>
      <c r="F216">
        <v>38</v>
      </c>
      <c r="G216">
        <v>38.1</v>
      </c>
      <c r="H216" t="s">
        <v>46</v>
      </c>
      <c r="I216" t="s">
        <v>47</v>
      </c>
    </row>
    <row r="217" spans="1:9" x14ac:dyDescent="0.35">
      <c r="A217" s="1">
        <v>45299</v>
      </c>
      <c r="B217" t="s">
        <v>12</v>
      </c>
      <c r="C217" t="s">
        <v>13</v>
      </c>
      <c r="D217" t="s">
        <v>28</v>
      </c>
      <c r="E217" t="s">
        <v>29</v>
      </c>
      <c r="F217">
        <v>32</v>
      </c>
      <c r="G217">
        <v>34.799999999999997</v>
      </c>
      <c r="H217" t="s">
        <v>46</v>
      </c>
      <c r="I217" t="s">
        <v>47</v>
      </c>
    </row>
    <row r="218" spans="1:9" x14ac:dyDescent="0.35">
      <c r="A218" s="1">
        <v>45299</v>
      </c>
      <c r="B218" t="s">
        <v>30</v>
      </c>
      <c r="C218" t="s">
        <v>31</v>
      </c>
      <c r="D218" t="s">
        <v>15</v>
      </c>
      <c r="E218" t="s">
        <v>16</v>
      </c>
      <c r="F218">
        <v>34</v>
      </c>
      <c r="G218">
        <v>33.700000000000003</v>
      </c>
      <c r="H218" t="s">
        <v>46</v>
      </c>
      <c r="I218" t="s">
        <v>47</v>
      </c>
    </row>
    <row r="219" spans="1:9" x14ac:dyDescent="0.35">
      <c r="A219" s="1">
        <v>45299</v>
      </c>
      <c r="B219" t="s">
        <v>30</v>
      </c>
      <c r="C219" t="s">
        <v>31</v>
      </c>
      <c r="D219" t="s">
        <v>18</v>
      </c>
      <c r="E219" t="s">
        <v>19</v>
      </c>
      <c r="F219">
        <v>38</v>
      </c>
      <c r="G219">
        <v>38.700000000000003</v>
      </c>
      <c r="H219" t="s">
        <v>46</v>
      </c>
      <c r="I219" t="s">
        <v>47</v>
      </c>
    </row>
    <row r="220" spans="1:9" x14ac:dyDescent="0.35">
      <c r="A220" s="1">
        <v>45299</v>
      </c>
      <c r="B220" t="s">
        <v>30</v>
      </c>
      <c r="C220" t="s">
        <v>31</v>
      </c>
      <c r="D220" t="s">
        <v>21</v>
      </c>
      <c r="E220" t="s">
        <v>22</v>
      </c>
      <c r="F220">
        <v>32</v>
      </c>
      <c r="G220">
        <v>32.5</v>
      </c>
      <c r="H220" t="s">
        <v>46</v>
      </c>
      <c r="I220" t="s">
        <v>47</v>
      </c>
    </row>
    <row r="221" spans="1:9" x14ac:dyDescent="0.35">
      <c r="A221" s="1">
        <v>45299</v>
      </c>
      <c r="B221" t="s">
        <v>30</v>
      </c>
      <c r="C221" t="s">
        <v>31</v>
      </c>
      <c r="D221" t="s">
        <v>24</v>
      </c>
      <c r="E221" t="s">
        <v>25</v>
      </c>
      <c r="F221">
        <v>50</v>
      </c>
      <c r="G221">
        <v>50.8</v>
      </c>
      <c r="H221" t="s">
        <v>46</v>
      </c>
      <c r="I221" t="s">
        <v>47</v>
      </c>
    </row>
    <row r="222" spans="1:9" x14ac:dyDescent="0.35">
      <c r="A222" s="1">
        <v>45299</v>
      </c>
      <c r="B222" t="s">
        <v>30</v>
      </c>
      <c r="C222" t="s">
        <v>31</v>
      </c>
      <c r="D222" t="s">
        <v>26</v>
      </c>
      <c r="E222" t="s">
        <v>27</v>
      </c>
      <c r="F222">
        <v>38</v>
      </c>
      <c r="G222">
        <v>40.9</v>
      </c>
      <c r="H222" t="s">
        <v>46</v>
      </c>
      <c r="I222" t="s">
        <v>47</v>
      </c>
    </row>
    <row r="223" spans="1:9" x14ac:dyDescent="0.35">
      <c r="A223" s="1">
        <v>45299</v>
      </c>
      <c r="B223" t="s">
        <v>30</v>
      </c>
      <c r="C223" t="s">
        <v>31</v>
      </c>
      <c r="D223" t="s">
        <v>28</v>
      </c>
      <c r="E223" t="s">
        <v>29</v>
      </c>
      <c r="F223">
        <v>32</v>
      </c>
      <c r="G223">
        <v>34.299999999999997</v>
      </c>
      <c r="H223" t="s">
        <v>46</v>
      </c>
      <c r="I223" t="s">
        <v>47</v>
      </c>
    </row>
    <row r="224" spans="1:9" x14ac:dyDescent="0.35">
      <c r="A224" s="1">
        <v>45299</v>
      </c>
      <c r="B224" t="s">
        <v>33</v>
      </c>
      <c r="C224" t="s">
        <v>34</v>
      </c>
      <c r="D224" t="s">
        <v>15</v>
      </c>
      <c r="E224" t="s">
        <v>16</v>
      </c>
      <c r="F224">
        <v>34</v>
      </c>
      <c r="G224">
        <v>36.200000000000003</v>
      </c>
      <c r="H224" t="s">
        <v>46</v>
      </c>
      <c r="I224" t="s">
        <v>47</v>
      </c>
    </row>
    <row r="225" spans="1:9" x14ac:dyDescent="0.35">
      <c r="A225" s="1">
        <v>45299</v>
      </c>
      <c r="B225" t="s">
        <v>33</v>
      </c>
      <c r="C225" t="s">
        <v>34</v>
      </c>
      <c r="D225" t="s">
        <v>18</v>
      </c>
      <c r="E225" t="s">
        <v>19</v>
      </c>
      <c r="F225">
        <v>38</v>
      </c>
      <c r="G225">
        <v>40.4</v>
      </c>
      <c r="H225" t="s">
        <v>46</v>
      </c>
      <c r="I225" t="s">
        <v>47</v>
      </c>
    </row>
    <row r="226" spans="1:9" x14ac:dyDescent="0.35">
      <c r="A226" s="1">
        <v>45299</v>
      </c>
      <c r="B226" t="s">
        <v>33</v>
      </c>
      <c r="C226" t="s">
        <v>34</v>
      </c>
      <c r="D226" t="s">
        <v>21</v>
      </c>
      <c r="E226" t="s">
        <v>22</v>
      </c>
      <c r="F226">
        <v>32</v>
      </c>
      <c r="G226">
        <v>34.200000000000003</v>
      </c>
      <c r="H226" t="s">
        <v>46</v>
      </c>
      <c r="I226" t="s">
        <v>47</v>
      </c>
    </row>
    <row r="227" spans="1:9" x14ac:dyDescent="0.35">
      <c r="A227" s="1">
        <v>45299</v>
      </c>
      <c r="B227" t="s">
        <v>33</v>
      </c>
      <c r="C227" t="s">
        <v>34</v>
      </c>
      <c r="D227" t="s">
        <v>24</v>
      </c>
      <c r="E227" t="s">
        <v>25</v>
      </c>
      <c r="F227">
        <v>50</v>
      </c>
      <c r="G227">
        <v>50.9</v>
      </c>
      <c r="H227" t="s">
        <v>46</v>
      </c>
      <c r="I227" t="s">
        <v>47</v>
      </c>
    </row>
    <row r="228" spans="1:9" x14ac:dyDescent="0.35">
      <c r="A228" s="1">
        <v>45299</v>
      </c>
      <c r="B228" t="s">
        <v>33</v>
      </c>
      <c r="C228" t="s">
        <v>34</v>
      </c>
      <c r="D228" t="s">
        <v>26</v>
      </c>
      <c r="E228" t="s">
        <v>27</v>
      </c>
      <c r="F228">
        <v>38</v>
      </c>
      <c r="G228">
        <v>47.4</v>
      </c>
      <c r="H228" t="s">
        <v>48</v>
      </c>
      <c r="I228" t="s">
        <v>50</v>
      </c>
    </row>
    <row r="229" spans="1:9" x14ac:dyDescent="0.35">
      <c r="A229" s="1">
        <v>45299</v>
      </c>
      <c r="B229" t="s">
        <v>33</v>
      </c>
      <c r="C229" t="s">
        <v>34</v>
      </c>
      <c r="D229" t="s">
        <v>28</v>
      </c>
      <c r="E229" t="s">
        <v>29</v>
      </c>
      <c r="F229">
        <v>32</v>
      </c>
      <c r="G229">
        <v>45.1</v>
      </c>
      <c r="H229" t="s">
        <v>48</v>
      </c>
      <c r="I229" t="s">
        <v>49</v>
      </c>
    </row>
    <row r="230" spans="1:9" x14ac:dyDescent="0.35">
      <c r="A230" s="1">
        <v>45299</v>
      </c>
      <c r="B230" t="s">
        <v>36</v>
      </c>
      <c r="C230" t="s">
        <v>37</v>
      </c>
      <c r="D230" t="s">
        <v>15</v>
      </c>
      <c r="E230" t="s">
        <v>16</v>
      </c>
      <c r="F230">
        <v>34</v>
      </c>
      <c r="G230">
        <v>35.1</v>
      </c>
      <c r="H230" t="s">
        <v>46</v>
      </c>
      <c r="I230" t="s">
        <v>47</v>
      </c>
    </row>
    <row r="231" spans="1:9" x14ac:dyDescent="0.35">
      <c r="A231" s="1">
        <v>45299</v>
      </c>
      <c r="B231" t="s">
        <v>36</v>
      </c>
      <c r="C231" t="s">
        <v>37</v>
      </c>
      <c r="D231" t="s">
        <v>18</v>
      </c>
      <c r="E231" t="s">
        <v>19</v>
      </c>
      <c r="F231">
        <v>38</v>
      </c>
      <c r="G231">
        <v>38.9</v>
      </c>
      <c r="H231" t="s">
        <v>46</v>
      </c>
      <c r="I231" t="s">
        <v>47</v>
      </c>
    </row>
    <row r="232" spans="1:9" x14ac:dyDescent="0.35">
      <c r="A232" s="1">
        <v>45299</v>
      </c>
      <c r="B232" t="s">
        <v>36</v>
      </c>
      <c r="C232" t="s">
        <v>37</v>
      </c>
      <c r="D232" t="s">
        <v>21</v>
      </c>
      <c r="E232" t="s">
        <v>22</v>
      </c>
      <c r="F232">
        <v>32</v>
      </c>
      <c r="G232">
        <v>34.4</v>
      </c>
      <c r="H232" t="s">
        <v>46</v>
      </c>
      <c r="I232" t="s">
        <v>47</v>
      </c>
    </row>
    <row r="233" spans="1:9" x14ac:dyDescent="0.35">
      <c r="A233" s="1">
        <v>45299</v>
      </c>
      <c r="B233" t="s">
        <v>36</v>
      </c>
      <c r="C233" t="s">
        <v>37</v>
      </c>
      <c r="D233" t="s">
        <v>24</v>
      </c>
      <c r="E233" t="s">
        <v>25</v>
      </c>
      <c r="F233">
        <v>50</v>
      </c>
      <c r="G233">
        <v>56.8</v>
      </c>
      <c r="H233" t="s">
        <v>48</v>
      </c>
      <c r="I233" t="s">
        <v>50</v>
      </c>
    </row>
    <row r="234" spans="1:9" x14ac:dyDescent="0.35">
      <c r="A234" s="1">
        <v>45299</v>
      </c>
      <c r="B234" t="s">
        <v>36</v>
      </c>
      <c r="C234" t="s">
        <v>37</v>
      </c>
      <c r="D234" t="s">
        <v>26</v>
      </c>
      <c r="E234" t="s">
        <v>27</v>
      </c>
      <c r="F234">
        <v>38</v>
      </c>
      <c r="G234">
        <v>45.7</v>
      </c>
      <c r="H234" t="s">
        <v>48</v>
      </c>
      <c r="I234" t="s">
        <v>50</v>
      </c>
    </row>
    <row r="235" spans="1:9" x14ac:dyDescent="0.35">
      <c r="A235" s="1">
        <v>45299</v>
      </c>
      <c r="B235" t="s">
        <v>36</v>
      </c>
      <c r="C235" t="s">
        <v>37</v>
      </c>
      <c r="D235" t="s">
        <v>28</v>
      </c>
      <c r="E235" t="s">
        <v>29</v>
      </c>
      <c r="F235">
        <v>32</v>
      </c>
      <c r="G235">
        <v>34.4</v>
      </c>
      <c r="H235" t="s">
        <v>46</v>
      </c>
      <c r="I235" t="s">
        <v>47</v>
      </c>
    </row>
    <row r="236" spans="1:9" x14ac:dyDescent="0.35">
      <c r="A236" s="1">
        <v>45299</v>
      </c>
      <c r="B236" t="s">
        <v>39</v>
      </c>
      <c r="C236" t="s">
        <v>40</v>
      </c>
      <c r="D236" t="s">
        <v>15</v>
      </c>
      <c r="E236" t="s">
        <v>16</v>
      </c>
      <c r="F236">
        <v>34</v>
      </c>
      <c r="G236">
        <v>46</v>
      </c>
      <c r="H236" t="s">
        <v>48</v>
      </c>
      <c r="I236" t="s">
        <v>49</v>
      </c>
    </row>
    <row r="237" spans="1:9" x14ac:dyDescent="0.35">
      <c r="A237" s="1">
        <v>45299</v>
      </c>
      <c r="B237" t="s">
        <v>39</v>
      </c>
      <c r="C237" t="s">
        <v>40</v>
      </c>
      <c r="D237" t="s">
        <v>18</v>
      </c>
      <c r="E237" t="s">
        <v>19</v>
      </c>
      <c r="F237">
        <v>38</v>
      </c>
      <c r="G237">
        <v>38.4</v>
      </c>
      <c r="H237" t="s">
        <v>46</v>
      </c>
      <c r="I237" t="s">
        <v>47</v>
      </c>
    </row>
    <row r="238" spans="1:9" x14ac:dyDescent="0.35">
      <c r="A238" s="1">
        <v>45299</v>
      </c>
      <c r="B238" t="s">
        <v>39</v>
      </c>
      <c r="C238" t="s">
        <v>40</v>
      </c>
      <c r="D238" t="s">
        <v>21</v>
      </c>
      <c r="E238" t="s">
        <v>22</v>
      </c>
      <c r="F238">
        <v>32</v>
      </c>
      <c r="G238">
        <v>34.200000000000003</v>
      </c>
      <c r="H238" t="s">
        <v>46</v>
      </c>
      <c r="I238" t="s">
        <v>47</v>
      </c>
    </row>
    <row r="239" spans="1:9" x14ac:dyDescent="0.35">
      <c r="A239" s="1">
        <v>45299</v>
      </c>
      <c r="B239" t="s">
        <v>39</v>
      </c>
      <c r="C239" t="s">
        <v>40</v>
      </c>
      <c r="D239" t="s">
        <v>24</v>
      </c>
      <c r="E239" t="s">
        <v>25</v>
      </c>
      <c r="F239">
        <v>50</v>
      </c>
      <c r="G239">
        <v>50.6</v>
      </c>
      <c r="H239" t="s">
        <v>46</v>
      </c>
      <c r="I239" t="s">
        <v>47</v>
      </c>
    </row>
    <row r="240" spans="1:9" x14ac:dyDescent="0.35">
      <c r="A240" s="1">
        <v>45299</v>
      </c>
      <c r="B240" t="s">
        <v>39</v>
      </c>
      <c r="C240" t="s">
        <v>40</v>
      </c>
      <c r="D240" t="s">
        <v>26</v>
      </c>
      <c r="E240" t="s">
        <v>27</v>
      </c>
      <c r="F240">
        <v>38</v>
      </c>
      <c r="G240">
        <v>39.700000000000003</v>
      </c>
      <c r="H240" t="s">
        <v>46</v>
      </c>
      <c r="I240" t="s">
        <v>47</v>
      </c>
    </row>
    <row r="241" spans="1:9" x14ac:dyDescent="0.35">
      <c r="A241" s="1">
        <v>45299</v>
      </c>
      <c r="B241" t="s">
        <v>39</v>
      </c>
      <c r="C241" t="s">
        <v>40</v>
      </c>
      <c r="D241" t="s">
        <v>28</v>
      </c>
      <c r="E241" t="s">
        <v>29</v>
      </c>
      <c r="F241">
        <v>32</v>
      </c>
      <c r="G241">
        <v>33.299999999999997</v>
      </c>
      <c r="H241" t="s">
        <v>46</v>
      </c>
      <c r="I241" t="s">
        <v>47</v>
      </c>
    </row>
    <row r="242" spans="1:9" x14ac:dyDescent="0.35">
      <c r="A242" s="1">
        <v>45300</v>
      </c>
      <c r="B242" t="s">
        <v>12</v>
      </c>
      <c r="C242" t="s">
        <v>13</v>
      </c>
      <c r="D242" t="s">
        <v>15</v>
      </c>
      <c r="E242" t="s">
        <v>16</v>
      </c>
      <c r="F242">
        <v>34</v>
      </c>
      <c r="G242">
        <v>35.200000000000003</v>
      </c>
      <c r="H242" t="s">
        <v>46</v>
      </c>
      <c r="I242" t="s">
        <v>47</v>
      </c>
    </row>
    <row r="243" spans="1:9" x14ac:dyDescent="0.35">
      <c r="A243" s="1">
        <v>45300</v>
      </c>
      <c r="B243" t="s">
        <v>12</v>
      </c>
      <c r="C243" t="s">
        <v>13</v>
      </c>
      <c r="D243" t="s">
        <v>18</v>
      </c>
      <c r="E243" t="s">
        <v>19</v>
      </c>
      <c r="F243">
        <v>38</v>
      </c>
      <c r="G243">
        <v>38.1</v>
      </c>
      <c r="H243" t="s">
        <v>46</v>
      </c>
      <c r="I243" t="s">
        <v>47</v>
      </c>
    </row>
    <row r="244" spans="1:9" x14ac:dyDescent="0.35">
      <c r="A244" s="1">
        <v>45300</v>
      </c>
      <c r="B244" t="s">
        <v>12</v>
      </c>
      <c r="C244" t="s">
        <v>13</v>
      </c>
      <c r="D244" t="s">
        <v>21</v>
      </c>
      <c r="E244" t="s">
        <v>22</v>
      </c>
      <c r="F244">
        <v>32</v>
      </c>
      <c r="G244">
        <v>33</v>
      </c>
      <c r="H244" t="s">
        <v>46</v>
      </c>
      <c r="I244" t="s">
        <v>47</v>
      </c>
    </row>
    <row r="245" spans="1:9" x14ac:dyDescent="0.35">
      <c r="A245" s="1">
        <v>45300</v>
      </c>
      <c r="B245" t="s">
        <v>12</v>
      </c>
      <c r="C245" t="s">
        <v>13</v>
      </c>
      <c r="D245" t="s">
        <v>24</v>
      </c>
      <c r="E245" t="s">
        <v>25</v>
      </c>
      <c r="F245">
        <v>50</v>
      </c>
      <c r="G245">
        <v>50.8</v>
      </c>
      <c r="H245" t="s">
        <v>46</v>
      </c>
      <c r="I245" t="s">
        <v>47</v>
      </c>
    </row>
    <row r="246" spans="1:9" x14ac:dyDescent="0.35">
      <c r="A246" s="1">
        <v>45300</v>
      </c>
      <c r="B246" t="s">
        <v>12</v>
      </c>
      <c r="C246" t="s">
        <v>13</v>
      </c>
      <c r="D246" t="s">
        <v>26</v>
      </c>
      <c r="E246" t="s">
        <v>27</v>
      </c>
      <c r="F246">
        <v>38</v>
      </c>
      <c r="G246">
        <v>48.9</v>
      </c>
      <c r="H246" t="s">
        <v>48</v>
      </c>
      <c r="I246" t="s">
        <v>49</v>
      </c>
    </row>
    <row r="247" spans="1:9" x14ac:dyDescent="0.35">
      <c r="A247" s="1">
        <v>45300</v>
      </c>
      <c r="B247" t="s">
        <v>12</v>
      </c>
      <c r="C247" t="s">
        <v>13</v>
      </c>
      <c r="D247" t="s">
        <v>28</v>
      </c>
      <c r="E247" t="s">
        <v>29</v>
      </c>
      <c r="F247">
        <v>32</v>
      </c>
      <c r="G247">
        <v>34.799999999999997</v>
      </c>
      <c r="H247" t="s">
        <v>46</v>
      </c>
      <c r="I247" t="s">
        <v>47</v>
      </c>
    </row>
    <row r="248" spans="1:9" x14ac:dyDescent="0.35">
      <c r="A248" s="1">
        <v>45300</v>
      </c>
      <c r="B248" t="s">
        <v>30</v>
      </c>
      <c r="C248" t="s">
        <v>31</v>
      </c>
      <c r="D248" t="s">
        <v>15</v>
      </c>
      <c r="E248" t="s">
        <v>16</v>
      </c>
      <c r="F248">
        <v>34</v>
      </c>
      <c r="G248">
        <v>35.6</v>
      </c>
      <c r="H248" t="s">
        <v>46</v>
      </c>
      <c r="I248" t="s">
        <v>47</v>
      </c>
    </row>
    <row r="249" spans="1:9" x14ac:dyDescent="0.35">
      <c r="A249" s="1">
        <v>45300</v>
      </c>
      <c r="B249" t="s">
        <v>30</v>
      </c>
      <c r="C249" t="s">
        <v>31</v>
      </c>
      <c r="D249" t="s">
        <v>18</v>
      </c>
      <c r="E249" t="s">
        <v>19</v>
      </c>
      <c r="F249">
        <v>38</v>
      </c>
      <c r="G249">
        <v>38.700000000000003</v>
      </c>
      <c r="H249" t="s">
        <v>46</v>
      </c>
      <c r="I249" t="s">
        <v>47</v>
      </c>
    </row>
    <row r="250" spans="1:9" x14ac:dyDescent="0.35">
      <c r="A250" s="1">
        <v>45300</v>
      </c>
      <c r="B250" t="s">
        <v>30</v>
      </c>
      <c r="C250" t="s">
        <v>31</v>
      </c>
      <c r="D250" t="s">
        <v>21</v>
      </c>
      <c r="E250" t="s">
        <v>22</v>
      </c>
      <c r="F250">
        <v>32</v>
      </c>
      <c r="G250">
        <v>32.6</v>
      </c>
      <c r="H250" t="s">
        <v>46</v>
      </c>
      <c r="I250" t="s">
        <v>47</v>
      </c>
    </row>
    <row r="251" spans="1:9" x14ac:dyDescent="0.35">
      <c r="A251" s="1">
        <v>45300</v>
      </c>
      <c r="B251" t="s">
        <v>30</v>
      </c>
      <c r="C251" t="s">
        <v>31</v>
      </c>
      <c r="D251" t="s">
        <v>24</v>
      </c>
      <c r="E251" t="s">
        <v>25</v>
      </c>
      <c r="F251">
        <v>50</v>
      </c>
      <c r="G251">
        <v>49.3</v>
      </c>
      <c r="H251" t="s">
        <v>46</v>
      </c>
      <c r="I251" t="s">
        <v>47</v>
      </c>
    </row>
    <row r="252" spans="1:9" x14ac:dyDescent="0.35">
      <c r="A252" s="1">
        <v>45300</v>
      </c>
      <c r="B252" t="s">
        <v>30</v>
      </c>
      <c r="C252" t="s">
        <v>31</v>
      </c>
      <c r="D252" t="s">
        <v>26</v>
      </c>
      <c r="E252" t="s">
        <v>27</v>
      </c>
      <c r="F252">
        <v>38</v>
      </c>
      <c r="G252">
        <v>38.299999999999997</v>
      </c>
      <c r="H252" t="s">
        <v>46</v>
      </c>
      <c r="I252" t="s">
        <v>47</v>
      </c>
    </row>
    <row r="253" spans="1:9" x14ac:dyDescent="0.35">
      <c r="A253" s="1">
        <v>45300</v>
      </c>
      <c r="B253" t="s">
        <v>30</v>
      </c>
      <c r="C253" t="s">
        <v>31</v>
      </c>
      <c r="D253" t="s">
        <v>28</v>
      </c>
      <c r="E253" t="s">
        <v>29</v>
      </c>
      <c r="F253">
        <v>32</v>
      </c>
      <c r="G253">
        <v>33.799999999999997</v>
      </c>
      <c r="H253" t="s">
        <v>46</v>
      </c>
      <c r="I253" t="s">
        <v>47</v>
      </c>
    </row>
    <row r="254" spans="1:9" x14ac:dyDescent="0.35">
      <c r="A254" s="1">
        <v>45300</v>
      </c>
      <c r="B254" t="s">
        <v>33</v>
      </c>
      <c r="C254" t="s">
        <v>34</v>
      </c>
      <c r="D254" t="s">
        <v>15</v>
      </c>
      <c r="E254" t="s">
        <v>16</v>
      </c>
      <c r="F254">
        <v>34</v>
      </c>
      <c r="G254">
        <v>34.6</v>
      </c>
      <c r="H254" t="s">
        <v>46</v>
      </c>
      <c r="I254" t="s">
        <v>47</v>
      </c>
    </row>
    <row r="255" spans="1:9" x14ac:dyDescent="0.35">
      <c r="A255" s="1">
        <v>45300</v>
      </c>
      <c r="B255" t="s">
        <v>33</v>
      </c>
      <c r="C255" t="s">
        <v>34</v>
      </c>
      <c r="D255" t="s">
        <v>18</v>
      </c>
      <c r="E255" t="s">
        <v>19</v>
      </c>
      <c r="F255">
        <v>38</v>
      </c>
      <c r="G255">
        <v>40.1</v>
      </c>
      <c r="H255" t="s">
        <v>46</v>
      </c>
      <c r="I255" t="s">
        <v>47</v>
      </c>
    </row>
    <row r="256" spans="1:9" x14ac:dyDescent="0.35">
      <c r="A256" s="1">
        <v>45300</v>
      </c>
      <c r="B256" t="s">
        <v>33</v>
      </c>
      <c r="C256" t="s">
        <v>34</v>
      </c>
      <c r="D256" t="s">
        <v>21</v>
      </c>
      <c r="E256" t="s">
        <v>22</v>
      </c>
      <c r="F256">
        <v>32</v>
      </c>
      <c r="G256">
        <v>34</v>
      </c>
      <c r="H256" t="s">
        <v>46</v>
      </c>
      <c r="I256" t="s">
        <v>47</v>
      </c>
    </row>
    <row r="257" spans="1:9" x14ac:dyDescent="0.35">
      <c r="A257" s="1">
        <v>45300</v>
      </c>
      <c r="B257" t="s">
        <v>33</v>
      </c>
      <c r="C257" t="s">
        <v>34</v>
      </c>
      <c r="D257" t="s">
        <v>24</v>
      </c>
      <c r="E257" t="s">
        <v>25</v>
      </c>
      <c r="F257">
        <v>50</v>
      </c>
      <c r="G257">
        <v>50.8</v>
      </c>
      <c r="H257" t="s">
        <v>46</v>
      </c>
      <c r="I257" t="s">
        <v>47</v>
      </c>
    </row>
    <row r="258" spans="1:9" x14ac:dyDescent="0.35">
      <c r="A258" s="1">
        <v>45300</v>
      </c>
      <c r="B258" t="s">
        <v>33</v>
      </c>
      <c r="C258" t="s">
        <v>34</v>
      </c>
      <c r="D258" t="s">
        <v>26</v>
      </c>
      <c r="E258" t="s">
        <v>27</v>
      </c>
      <c r="F258">
        <v>38</v>
      </c>
      <c r="G258">
        <v>50.8</v>
      </c>
      <c r="H258" t="s">
        <v>48</v>
      </c>
      <c r="I258" t="s">
        <v>49</v>
      </c>
    </row>
    <row r="259" spans="1:9" x14ac:dyDescent="0.35">
      <c r="A259" s="1">
        <v>45300</v>
      </c>
      <c r="B259" t="s">
        <v>33</v>
      </c>
      <c r="C259" t="s">
        <v>34</v>
      </c>
      <c r="D259" t="s">
        <v>28</v>
      </c>
      <c r="E259" t="s">
        <v>29</v>
      </c>
      <c r="F259">
        <v>32</v>
      </c>
      <c r="G259">
        <v>39.9</v>
      </c>
      <c r="H259" t="s">
        <v>48</v>
      </c>
      <c r="I259" t="s">
        <v>50</v>
      </c>
    </row>
    <row r="260" spans="1:9" x14ac:dyDescent="0.35">
      <c r="A260" s="1">
        <v>45300</v>
      </c>
      <c r="B260" t="s">
        <v>36</v>
      </c>
      <c r="C260" t="s">
        <v>37</v>
      </c>
      <c r="D260" t="s">
        <v>15</v>
      </c>
      <c r="E260" t="s">
        <v>16</v>
      </c>
      <c r="F260">
        <v>34</v>
      </c>
      <c r="G260">
        <v>36</v>
      </c>
      <c r="H260" t="s">
        <v>46</v>
      </c>
      <c r="I260" t="s">
        <v>47</v>
      </c>
    </row>
    <row r="261" spans="1:9" x14ac:dyDescent="0.35">
      <c r="A261" s="1">
        <v>45300</v>
      </c>
      <c r="B261" t="s">
        <v>36</v>
      </c>
      <c r="C261" t="s">
        <v>37</v>
      </c>
      <c r="D261" t="s">
        <v>18</v>
      </c>
      <c r="E261" t="s">
        <v>19</v>
      </c>
      <c r="F261">
        <v>38</v>
      </c>
      <c r="G261">
        <v>37.799999999999997</v>
      </c>
      <c r="H261" t="s">
        <v>46</v>
      </c>
      <c r="I261" t="s">
        <v>47</v>
      </c>
    </row>
    <row r="262" spans="1:9" x14ac:dyDescent="0.35">
      <c r="A262" s="1">
        <v>45300</v>
      </c>
      <c r="B262" t="s">
        <v>36</v>
      </c>
      <c r="C262" t="s">
        <v>37</v>
      </c>
      <c r="D262" t="s">
        <v>21</v>
      </c>
      <c r="E262" t="s">
        <v>22</v>
      </c>
      <c r="F262">
        <v>32</v>
      </c>
      <c r="G262">
        <v>31.4</v>
      </c>
      <c r="H262" t="s">
        <v>46</v>
      </c>
      <c r="I262" t="s">
        <v>47</v>
      </c>
    </row>
    <row r="263" spans="1:9" x14ac:dyDescent="0.35">
      <c r="A263" s="1">
        <v>45300</v>
      </c>
      <c r="B263" t="s">
        <v>36</v>
      </c>
      <c r="C263" t="s">
        <v>37</v>
      </c>
      <c r="D263" t="s">
        <v>24</v>
      </c>
      <c r="E263" t="s">
        <v>25</v>
      </c>
      <c r="F263">
        <v>50</v>
      </c>
      <c r="G263">
        <v>50.9</v>
      </c>
      <c r="H263" t="s">
        <v>46</v>
      </c>
      <c r="I263" t="s">
        <v>47</v>
      </c>
    </row>
    <row r="264" spans="1:9" x14ac:dyDescent="0.35">
      <c r="A264" s="1">
        <v>45300</v>
      </c>
      <c r="B264" t="s">
        <v>36</v>
      </c>
      <c r="C264" t="s">
        <v>37</v>
      </c>
      <c r="D264" t="s">
        <v>26</v>
      </c>
      <c r="E264" t="s">
        <v>27</v>
      </c>
      <c r="F264">
        <v>38</v>
      </c>
      <c r="G264">
        <v>50.2</v>
      </c>
      <c r="H264" t="s">
        <v>48</v>
      </c>
      <c r="I264" t="s">
        <v>49</v>
      </c>
    </row>
    <row r="265" spans="1:9" x14ac:dyDescent="0.35">
      <c r="A265" s="1">
        <v>45300</v>
      </c>
      <c r="B265" t="s">
        <v>36</v>
      </c>
      <c r="C265" t="s">
        <v>37</v>
      </c>
      <c r="D265" t="s">
        <v>28</v>
      </c>
      <c r="E265" t="s">
        <v>29</v>
      </c>
      <c r="F265">
        <v>32</v>
      </c>
      <c r="G265">
        <v>35</v>
      </c>
      <c r="H265" t="s">
        <v>46</v>
      </c>
      <c r="I265" t="s">
        <v>47</v>
      </c>
    </row>
    <row r="266" spans="1:9" x14ac:dyDescent="0.35">
      <c r="A266" s="1">
        <v>45300</v>
      </c>
      <c r="B266" t="s">
        <v>39</v>
      </c>
      <c r="C266" t="s">
        <v>40</v>
      </c>
      <c r="D266" t="s">
        <v>15</v>
      </c>
      <c r="E266" t="s">
        <v>16</v>
      </c>
      <c r="F266">
        <v>34</v>
      </c>
      <c r="G266">
        <v>44.9</v>
      </c>
      <c r="H266" t="s">
        <v>48</v>
      </c>
      <c r="I266" t="s">
        <v>49</v>
      </c>
    </row>
    <row r="267" spans="1:9" x14ac:dyDescent="0.35">
      <c r="A267" s="1">
        <v>45300</v>
      </c>
      <c r="B267" t="s">
        <v>39</v>
      </c>
      <c r="C267" t="s">
        <v>40</v>
      </c>
      <c r="D267" t="s">
        <v>18</v>
      </c>
      <c r="E267" t="s">
        <v>19</v>
      </c>
      <c r="F267">
        <v>38</v>
      </c>
      <c r="G267">
        <v>51.5</v>
      </c>
      <c r="H267" t="s">
        <v>48</v>
      </c>
      <c r="I267" t="s">
        <v>49</v>
      </c>
    </row>
    <row r="268" spans="1:9" x14ac:dyDescent="0.35">
      <c r="A268" s="1">
        <v>45300</v>
      </c>
      <c r="B268" t="s">
        <v>39</v>
      </c>
      <c r="C268" t="s">
        <v>40</v>
      </c>
      <c r="D268" t="s">
        <v>21</v>
      </c>
      <c r="E268" t="s">
        <v>22</v>
      </c>
      <c r="F268">
        <v>32</v>
      </c>
      <c r="G268">
        <v>31.9</v>
      </c>
      <c r="H268" t="s">
        <v>46</v>
      </c>
      <c r="I268" t="s">
        <v>47</v>
      </c>
    </row>
    <row r="269" spans="1:9" x14ac:dyDescent="0.35">
      <c r="A269" s="1">
        <v>45300</v>
      </c>
      <c r="B269" t="s">
        <v>39</v>
      </c>
      <c r="C269" t="s">
        <v>40</v>
      </c>
      <c r="D269" t="s">
        <v>24</v>
      </c>
      <c r="E269" t="s">
        <v>25</v>
      </c>
      <c r="F269">
        <v>50</v>
      </c>
      <c r="G269">
        <v>50.8</v>
      </c>
      <c r="H269" t="s">
        <v>46</v>
      </c>
      <c r="I269" t="s">
        <v>47</v>
      </c>
    </row>
    <row r="270" spans="1:9" x14ac:dyDescent="0.35">
      <c r="A270" s="1">
        <v>45300</v>
      </c>
      <c r="B270" t="s">
        <v>39</v>
      </c>
      <c r="C270" t="s">
        <v>40</v>
      </c>
      <c r="D270" t="s">
        <v>26</v>
      </c>
      <c r="E270" t="s">
        <v>27</v>
      </c>
      <c r="F270">
        <v>38</v>
      </c>
      <c r="G270">
        <v>48.2</v>
      </c>
      <c r="H270" t="s">
        <v>48</v>
      </c>
      <c r="I270" t="s">
        <v>49</v>
      </c>
    </row>
    <row r="271" spans="1:9" x14ac:dyDescent="0.35">
      <c r="A271" s="1">
        <v>45300</v>
      </c>
      <c r="B271" t="s">
        <v>39</v>
      </c>
      <c r="C271" t="s">
        <v>40</v>
      </c>
      <c r="D271" t="s">
        <v>28</v>
      </c>
      <c r="E271" t="s">
        <v>29</v>
      </c>
      <c r="F271">
        <v>32</v>
      </c>
      <c r="G271">
        <v>38.299999999999997</v>
      </c>
      <c r="H271" t="s">
        <v>48</v>
      </c>
      <c r="I271" t="s">
        <v>50</v>
      </c>
    </row>
    <row r="272" spans="1:9" x14ac:dyDescent="0.35">
      <c r="A272" s="1">
        <v>45301</v>
      </c>
      <c r="B272" t="s">
        <v>12</v>
      </c>
      <c r="C272" t="s">
        <v>13</v>
      </c>
      <c r="D272" t="s">
        <v>15</v>
      </c>
      <c r="E272" t="s">
        <v>16</v>
      </c>
      <c r="F272">
        <v>34</v>
      </c>
      <c r="G272">
        <v>36.700000000000003</v>
      </c>
      <c r="H272" t="s">
        <v>46</v>
      </c>
      <c r="I272" t="s">
        <v>47</v>
      </c>
    </row>
    <row r="273" spans="1:9" x14ac:dyDescent="0.35">
      <c r="A273" s="1">
        <v>45301</v>
      </c>
      <c r="B273" t="s">
        <v>12</v>
      </c>
      <c r="C273" t="s">
        <v>13</v>
      </c>
      <c r="D273" t="s">
        <v>18</v>
      </c>
      <c r="E273" t="s">
        <v>19</v>
      </c>
      <c r="F273">
        <v>38</v>
      </c>
      <c r="G273">
        <v>38.9</v>
      </c>
      <c r="H273" t="s">
        <v>46</v>
      </c>
      <c r="I273" t="s">
        <v>47</v>
      </c>
    </row>
    <row r="274" spans="1:9" x14ac:dyDescent="0.35">
      <c r="A274" s="1">
        <v>45301</v>
      </c>
      <c r="B274" t="s">
        <v>12</v>
      </c>
      <c r="C274" t="s">
        <v>13</v>
      </c>
      <c r="D274" t="s">
        <v>21</v>
      </c>
      <c r="E274" t="s">
        <v>22</v>
      </c>
      <c r="F274">
        <v>32</v>
      </c>
      <c r="G274">
        <v>34.700000000000003</v>
      </c>
      <c r="H274" t="s">
        <v>46</v>
      </c>
      <c r="I274" t="s">
        <v>47</v>
      </c>
    </row>
    <row r="275" spans="1:9" x14ac:dyDescent="0.35">
      <c r="A275" s="1">
        <v>45301</v>
      </c>
      <c r="B275" t="s">
        <v>12</v>
      </c>
      <c r="C275" t="s">
        <v>13</v>
      </c>
      <c r="D275" t="s">
        <v>24</v>
      </c>
      <c r="E275" t="s">
        <v>25</v>
      </c>
      <c r="F275">
        <v>50</v>
      </c>
      <c r="G275">
        <v>49.5</v>
      </c>
      <c r="H275" t="s">
        <v>46</v>
      </c>
      <c r="I275" t="s">
        <v>47</v>
      </c>
    </row>
    <row r="276" spans="1:9" x14ac:dyDescent="0.35">
      <c r="A276" s="1">
        <v>45301</v>
      </c>
      <c r="B276" t="s">
        <v>12</v>
      </c>
      <c r="C276" t="s">
        <v>13</v>
      </c>
      <c r="D276" t="s">
        <v>26</v>
      </c>
      <c r="E276" t="s">
        <v>27</v>
      </c>
      <c r="F276">
        <v>38</v>
      </c>
      <c r="G276">
        <v>39.200000000000003</v>
      </c>
      <c r="H276" t="s">
        <v>46</v>
      </c>
      <c r="I276" t="s">
        <v>47</v>
      </c>
    </row>
    <row r="277" spans="1:9" x14ac:dyDescent="0.35">
      <c r="A277" s="1">
        <v>45301</v>
      </c>
      <c r="B277" t="s">
        <v>12</v>
      </c>
      <c r="C277" t="s">
        <v>13</v>
      </c>
      <c r="D277" t="s">
        <v>28</v>
      </c>
      <c r="E277" t="s">
        <v>29</v>
      </c>
      <c r="F277">
        <v>32</v>
      </c>
      <c r="G277">
        <v>32.799999999999997</v>
      </c>
      <c r="H277" t="s">
        <v>46</v>
      </c>
      <c r="I277" t="s">
        <v>47</v>
      </c>
    </row>
    <row r="278" spans="1:9" x14ac:dyDescent="0.35">
      <c r="A278" s="1">
        <v>45301</v>
      </c>
      <c r="B278" t="s">
        <v>30</v>
      </c>
      <c r="C278" t="s">
        <v>31</v>
      </c>
      <c r="D278" t="s">
        <v>15</v>
      </c>
      <c r="E278" t="s">
        <v>16</v>
      </c>
      <c r="F278">
        <v>34</v>
      </c>
      <c r="G278">
        <v>36.5</v>
      </c>
      <c r="H278" t="s">
        <v>46</v>
      </c>
      <c r="I278" t="s">
        <v>47</v>
      </c>
    </row>
    <row r="279" spans="1:9" x14ac:dyDescent="0.35">
      <c r="A279" s="1">
        <v>45301</v>
      </c>
      <c r="B279" t="s">
        <v>30</v>
      </c>
      <c r="C279" t="s">
        <v>31</v>
      </c>
      <c r="D279" t="s">
        <v>18</v>
      </c>
      <c r="E279" t="s">
        <v>19</v>
      </c>
      <c r="F279">
        <v>38</v>
      </c>
      <c r="G279">
        <v>39.6</v>
      </c>
      <c r="H279" t="s">
        <v>46</v>
      </c>
      <c r="I279" t="s">
        <v>47</v>
      </c>
    </row>
    <row r="280" spans="1:9" x14ac:dyDescent="0.35">
      <c r="A280" s="1">
        <v>45301</v>
      </c>
      <c r="B280" t="s">
        <v>30</v>
      </c>
      <c r="C280" t="s">
        <v>31</v>
      </c>
      <c r="D280" t="s">
        <v>21</v>
      </c>
      <c r="E280" t="s">
        <v>22</v>
      </c>
      <c r="F280">
        <v>32</v>
      </c>
      <c r="G280">
        <v>34.6</v>
      </c>
      <c r="H280" t="s">
        <v>46</v>
      </c>
      <c r="I280" t="s">
        <v>47</v>
      </c>
    </row>
    <row r="281" spans="1:9" x14ac:dyDescent="0.35">
      <c r="A281" s="1">
        <v>45301</v>
      </c>
      <c r="B281" t="s">
        <v>30</v>
      </c>
      <c r="C281" t="s">
        <v>31</v>
      </c>
      <c r="D281" t="s">
        <v>24</v>
      </c>
      <c r="E281" t="s">
        <v>25</v>
      </c>
      <c r="F281">
        <v>50</v>
      </c>
      <c r="G281">
        <v>49.9</v>
      </c>
      <c r="H281" t="s">
        <v>46</v>
      </c>
      <c r="I281" t="s">
        <v>47</v>
      </c>
    </row>
    <row r="282" spans="1:9" x14ac:dyDescent="0.35">
      <c r="A282" s="1">
        <v>45301</v>
      </c>
      <c r="B282" t="s">
        <v>30</v>
      </c>
      <c r="C282" t="s">
        <v>31</v>
      </c>
      <c r="D282" t="s">
        <v>26</v>
      </c>
      <c r="E282" t="s">
        <v>27</v>
      </c>
      <c r="F282">
        <v>38</v>
      </c>
      <c r="G282">
        <v>46.5</v>
      </c>
      <c r="H282" t="s">
        <v>48</v>
      </c>
      <c r="I282" t="s">
        <v>50</v>
      </c>
    </row>
    <row r="283" spans="1:9" x14ac:dyDescent="0.35">
      <c r="A283" s="1">
        <v>45301</v>
      </c>
      <c r="B283" t="s">
        <v>30</v>
      </c>
      <c r="C283" t="s">
        <v>31</v>
      </c>
      <c r="D283" t="s">
        <v>28</v>
      </c>
      <c r="E283" t="s">
        <v>29</v>
      </c>
      <c r="F283">
        <v>32</v>
      </c>
      <c r="G283">
        <v>31.6</v>
      </c>
      <c r="H283" t="s">
        <v>46</v>
      </c>
      <c r="I283" t="s">
        <v>47</v>
      </c>
    </row>
    <row r="284" spans="1:9" x14ac:dyDescent="0.35">
      <c r="A284" s="1">
        <v>45301</v>
      </c>
      <c r="B284" t="s">
        <v>33</v>
      </c>
      <c r="C284" t="s">
        <v>34</v>
      </c>
      <c r="D284" t="s">
        <v>15</v>
      </c>
      <c r="E284" t="s">
        <v>16</v>
      </c>
      <c r="F284">
        <v>34</v>
      </c>
      <c r="G284">
        <v>44.2</v>
      </c>
      <c r="H284" t="s">
        <v>48</v>
      </c>
      <c r="I284" t="s">
        <v>49</v>
      </c>
    </row>
    <row r="285" spans="1:9" x14ac:dyDescent="0.35">
      <c r="A285" s="1">
        <v>45301</v>
      </c>
      <c r="B285" t="s">
        <v>33</v>
      </c>
      <c r="C285" t="s">
        <v>34</v>
      </c>
      <c r="D285" t="s">
        <v>18</v>
      </c>
      <c r="E285" t="s">
        <v>19</v>
      </c>
      <c r="F285">
        <v>38</v>
      </c>
      <c r="G285">
        <v>37.5</v>
      </c>
      <c r="H285" t="s">
        <v>46</v>
      </c>
      <c r="I285" t="s">
        <v>47</v>
      </c>
    </row>
    <row r="286" spans="1:9" x14ac:dyDescent="0.35">
      <c r="A286" s="1">
        <v>45301</v>
      </c>
      <c r="B286" t="s">
        <v>33</v>
      </c>
      <c r="C286" t="s">
        <v>34</v>
      </c>
      <c r="D286" t="s">
        <v>21</v>
      </c>
      <c r="E286" t="s">
        <v>22</v>
      </c>
      <c r="F286">
        <v>32</v>
      </c>
      <c r="G286">
        <v>33.1</v>
      </c>
      <c r="H286" t="s">
        <v>46</v>
      </c>
      <c r="I286" t="s">
        <v>47</v>
      </c>
    </row>
    <row r="287" spans="1:9" x14ac:dyDescent="0.35">
      <c r="A287" s="1">
        <v>45301</v>
      </c>
      <c r="B287" t="s">
        <v>33</v>
      </c>
      <c r="C287" t="s">
        <v>34</v>
      </c>
      <c r="D287" t="s">
        <v>24</v>
      </c>
      <c r="E287" t="s">
        <v>25</v>
      </c>
      <c r="F287">
        <v>50</v>
      </c>
      <c r="G287">
        <v>51</v>
      </c>
      <c r="H287" t="s">
        <v>46</v>
      </c>
      <c r="I287" t="s">
        <v>47</v>
      </c>
    </row>
    <row r="288" spans="1:9" x14ac:dyDescent="0.35">
      <c r="A288" s="1">
        <v>45301</v>
      </c>
      <c r="B288" t="s">
        <v>33</v>
      </c>
      <c r="C288" t="s">
        <v>34</v>
      </c>
      <c r="D288" t="s">
        <v>26</v>
      </c>
      <c r="E288" t="s">
        <v>27</v>
      </c>
      <c r="F288">
        <v>38</v>
      </c>
      <c r="G288">
        <v>38.200000000000003</v>
      </c>
      <c r="H288" t="s">
        <v>46</v>
      </c>
      <c r="I288" t="s">
        <v>47</v>
      </c>
    </row>
    <row r="289" spans="1:9" x14ac:dyDescent="0.35">
      <c r="A289" s="1">
        <v>45301</v>
      </c>
      <c r="B289" t="s">
        <v>33</v>
      </c>
      <c r="C289" t="s">
        <v>34</v>
      </c>
      <c r="D289" t="s">
        <v>28</v>
      </c>
      <c r="E289" t="s">
        <v>29</v>
      </c>
      <c r="F289">
        <v>32</v>
      </c>
      <c r="G289">
        <v>34.200000000000003</v>
      </c>
      <c r="H289" t="s">
        <v>46</v>
      </c>
      <c r="I289" t="s">
        <v>47</v>
      </c>
    </row>
    <row r="290" spans="1:9" x14ac:dyDescent="0.35">
      <c r="A290" s="1">
        <v>45301</v>
      </c>
      <c r="B290" t="s">
        <v>36</v>
      </c>
      <c r="C290" t="s">
        <v>37</v>
      </c>
      <c r="D290" t="s">
        <v>15</v>
      </c>
      <c r="E290" t="s">
        <v>16</v>
      </c>
      <c r="F290">
        <v>34</v>
      </c>
      <c r="G290">
        <v>36.200000000000003</v>
      </c>
      <c r="H290" t="s">
        <v>46</v>
      </c>
      <c r="I290" t="s">
        <v>47</v>
      </c>
    </row>
    <row r="291" spans="1:9" x14ac:dyDescent="0.35">
      <c r="A291" s="1">
        <v>45301</v>
      </c>
      <c r="B291" t="s">
        <v>36</v>
      </c>
      <c r="C291" t="s">
        <v>37</v>
      </c>
      <c r="D291" t="s">
        <v>18</v>
      </c>
      <c r="E291" t="s">
        <v>19</v>
      </c>
      <c r="F291">
        <v>38</v>
      </c>
      <c r="G291">
        <v>37.799999999999997</v>
      </c>
      <c r="H291" t="s">
        <v>46</v>
      </c>
      <c r="I291" t="s">
        <v>47</v>
      </c>
    </row>
    <row r="292" spans="1:9" x14ac:dyDescent="0.35">
      <c r="A292" s="1">
        <v>45301</v>
      </c>
      <c r="B292" t="s">
        <v>36</v>
      </c>
      <c r="C292" t="s">
        <v>37</v>
      </c>
      <c r="D292" t="s">
        <v>21</v>
      </c>
      <c r="E292" t="s">
        <v>22</v>
      </c>
      <c r="F292">
        <v>32</v>
      </c>
      <c r="G292">
        <v>32.700000000000003</v>
      </c>
      <c r="H292" t="s">
        <v>46</v>
      </c>
      <c r="I292" t="s">
        <v>47</v>
      </c>
    </row>
    <row r="293" spans="1:9" x14ac:dyDescent="0.35">
      <c r="A293" s="1">
        <v>45301</v>
      </c>
      <c r="B293" t="s">
        <v>36</v>
      </c>
      <c r="C293" t="s">
        <v>37</v>
      </c>
      <c r="D293" t="s">
        <v>24</v>
      </c>
      <c r="E293" t="s">
        <v>25</v>
      </c>
      <c r="F293">
        <v>50</v>
      </c>
      <c r="G293">
        <v>51.9</v>
      </c>
      <c r="H293" t="s">
        <v>46</v>
      </c>
      <c r="I293" t="s">
        <v>47</v>
      </c>
    </row>
    <row r="294" spans="1:9" x14ac:dyDescent="0.35">
      <c r="A294" s="1">
        <v>45301</v>
      </c>
      <c r="B294" t="s">
        <v>36</v>
      </c>
      <c r="C294" t="s">
        <v>37</v>
      </c>
      <c r="D294" t="s">
        <v>26</v>
      </c>
      <c r="E294" t="s">
        <v>27</v>
      </c>
      <c r="F294">
        <v>38</v>
      </c>
      <c r="G294">
        <v>40.299999999999997</v>
      </c>
      <c r="H294" t="s">
        <v>46</v>
      </c>
      <c r="I294" t="s">
        <v>47</v>
      </c>
    </row>
    <row r="295" spans="1:9" x14ac:dyDescent="0.35">
      <c r="A295" s="1">
        <v>45301</v>
      </c>
      <c r="B295" t="s">
        <v>36</v>
      </c>
      <c r="C295" t="s">
        <v>37</v>
      </c>
      <c r="D295" t="s">
        <v>28</v>
      </c>
      <c r="E295" t="s">
        <v>29</v>
      </c>
      <c r="F295">
        <v>32</v>
      </c>
      <c r="G295">
        <v>31.3</v>
      </c>
      <c r="H295" t="s">
        <v>46</v>
      </c>
      <c r="I295" t="s">
        <v>47</v>
      </c>
    </row>
    <row r="296" spans="1:9" x14ac:dyDescent="0.35">
      <c r="A296" s="1">
        <v>45301</v>
      </c>
      <c r="B296" t="s">
        <v>39</v>
      </c>
      <c r="C296" t="s">
        <v>40</v>
      </c>
      <c r="D296" t="s">
        <v>15</v>
      </c>
      <c r="E296" t="s">
        <v>16</v>
      </c>
      <c r="F296">
        <v>34</v>
      </c>
      <c r="G296">
        <v>35.1</v>
      </c>
      <c r="H296" t="s">
        <v>46</v>
      </c>
      <c r="I296" t="s">
        <v>47</v>
      </c>
    </row>
    <row r="297" spans="1:9" x14ac:dyDescent="0.35">
      <c r="A297" s="1">
        <v>45301</v>
      </c>
      <c r="B297" t="s">
        <v>39</v>
      </c>
      <c r="C297" t="s">
        <v>40</v>
      </c>
      <c r="D297" t="s">
        <v>18</v>
      </c>
      <c r="E297" t="s">
        <v>19</v>
      </c>
      <c r="F297">
        <v>38</v>
      </c>
      <c r="G297">
        <v>39.5</v>
      </c>
      <c r="H297" t="s">
        <v>46</v>
      </c>
      <c r="I297" t="s">
        <v>47</v>
      </c>
    </row>
    <row r="298" spans="1:9" x14ac:dyDescent="0.35">
      <c r="A298" s="1">
        <v>45301</v>
      </c>
      <c r="B298" t="s">
        <v>39</v>
      </c>
      <c r="C298" t="s">
        <v>40</v>
      </c>
      <c r="D298" t="s">
        <v>21</v>
      </c>
      <c r="E298" t="s">
        <v>22</v>
      </c>
      <c r="F298">
        <v>32</v>
      </c>
      <c r="G298">
        <v>32.1</v>
      </c>
      <c r="H298" t="s">
        <v>46</v>
      </c>
      <c r="I298" t="s">
        <v>47</v>
      </c>
    </row>
    <row r="299" spans="1:9" x14ac:dyDescent="0.35">
      <c r="A299" s="1">
        <v>45301</v>
      </c>
      <c r="B299" t="s">
        <v>39</v>
      </c>
      <c r="C299" t="s">
        <v>40</v>
      </c>
      <c r="D299" t="s">
        <v>24</v>
      </c>
      <c r="E299" t="s">
        <v>25</v>
      </c>
      <c r="F299">
        <v>50</v>
      </c>
      <c r="G299">
        <v>51.1</v>
      </c>
      <c r="H299" t="s">
        <v>46</v>
      </c>
      <c r="I299" t="s">
        <v>47</v>
      </c>
    </row>
    <row r="300" spans="1:9" x14ac:dyDescent="0.35">
      <c r="A300" s="1">
        <v>45301</v>
      </c>
      <c r="B300" t="s">
        <v>39</v>
      </c>
      <c r="C300" t="s">
        <v>40</v>
      </c>
      <c r="D300" t="s">
        <v>26</v>
      </c>
      <c r="E300" t="s">
        <v>27</v>
      </c>
      <c r="F300">
        <v>38</v>
      </c>
      <c r="G300">
        <v>37.799999999999997</v>
      </c>
      <c r="H300" t="s">
        <v>46</v>
      </c>
      <c r="I300" t="s">
        <v>47</v>
      </c>
    </row>
    <row r="301" spans="1:9" x14ac:dyDescent="0.35">
      <c r="A301" s="1">
        <v>45301</v>
      </c>
      <c r="B301" t="s">
        <v>39</v>
      </c>
      <c r="C301" t="s">
        <v>40</v>
      </c>
      <c r="D301" t="s">
        <v>28</v>
      </c>
      <c r="E301" t="s">
        <v>29</v>
      </c>
      <c r="F301">
        <v>32</v>
      </c>
      <c r="G301">
        <v>39.1</v>
      </c>
      <c r="H301" t="s">
        <v>48</v>
      </c>
      <c r="I301" t="s">
        <v>50</v>
      </c>
    </row>
    <row r="302" spans="1:9" x14ac:dyDescent="0.35">
      <c r="A302" s="1">
        <v>45302</v>
      </c>
      <c r="B302" t="s">
        <v>12</v>
      </c>
      <c r="C302" t="s">
        <v>13</v>
      </c>
      <c r="D302" t="s">
        <v>15</v>
      </c>
      <c r="E302" t="s">
        <v>16</v>
      </c>
      <c r="F302">
        <v>34</v>
      </c>
      <c r="G302">
        <v>43.6</v>
      </c>
      <c r="H302" t="s">
        <v>48</v>
      </c>
      <c r="I302" t="s">
        <v>50</v>
      </c>
    </row>
    <row r="303" spans="1:9" x14ac:dyDescent="0.35">
      <c r="A303" s="1">
        <v>45302</v>
      </c>
      <c r="B303" t="s">
        <v>12</v>
      </c>
      <c r="C303" t="s">
        <v>13</v>
      </c>
      <c r="D303" t="s">
        <v>18</v>
      </c>
      <c r="E303" t="s">
        <v>19</v>
      </c>
      <c r="F303">
        <v>38</v>
      </c>
      <c r="G303">
        <v>39.799999999999997</v>
      </c>
      <c r="H303" t="s">
        <v>46</v>
      </c>
      <c r="I303" t="s">
        <v>47</v>
      </c>
    </row>
    <row r="304" spans="1:9" x14ac:dyDescent="0.35">
      <c r="A304" s="1">
        <v>45302</v>
      </c>
      <c r="B304" t="s">
        <v>12</v>
      </c>
      <c r="C304" t="s">
        <v>13</v>
      </c>
      <c r="D304" t="s">
        <v>21</v>
      </c>
      <c r="E304" t="s">
        <v>22</v>
      </c>
      <c r="F304">
        <v>32</v>
      </c>
      <c r="G304">
        <v>32.299999999999997</v>
      </c>
      <c r="H304" t="s">
        <v>46</v>
      </c>
      <c r="I304" t="s">
        <v>47</v>
      </c>
    </row>
    <row r="305" spans="1:9" x14ac:dyDescent="0.35">
      <c r="A305" s="1">
        <v>45302</v>
      </c>
      <c r="B305" t="s">
        <v>12</v>
      </c>
      <c r="C305" t="s">
        <v>13</v>
      </c>
      <c r="D305" t="s">
        <v>24</v>
      </c>
      <c r="E305" t="s">
        <v>25</v>
      </c>
      <c r="F305">
        <v>50</v>
      </c>
      <c r="G305">
        <v>63.8</v>
      </c>
      <c r="H305" t="s">
        <v>48</v>
      </c>
      <c r="I305" t="s">
        <v>49</v>
      </c>
    </row>
    <row r="306" spans="1:9" x14ac:dyDescent="0.35">
      <c r="A306" s="1">
        <v>45302</v>
      </c>
      <c r="B306" t="s">
        <v>12</v>
      </c>
      <c r="C306" t="s">
        <v>13</v>
      </c>
      <c r="D306" t="s">
        <v>26</v>
      </c>
      <c r="E306" t="s">
        <v>27</v>
      </c>
      <c r="F306">
        <v>38</v>
      </c>
      <c r="G306">
        <v>51.8</v>
      </c>
      <c r="H306" t="s">
        <v>48</v>
      </c>
      <c r="I306" t="s">
        <v>49</v>
      </c>
    </row>
    <row r="307" spans="1:9" x14ac:dyDescent="0.35">
      <c r="A307" s="1">
        <v>45302</v>
      </c>
      <c r="B307" t="s">
        <v>12</v>
      </c>
      <c r="C307" t="s">
        <v>13</v>
      </c>
      <c r="D307" t="s">
        <v>28</v>
      </c>
      <c r="E307" t="s">
        <v>29</v>
      </c>
      <c r="F307">
        <v>32</v>
      </c>
      <c r="G307">
        <v>31.5</v>
      </c>
      <c r="H307" t="s">
        <v>46</v>
      </c>
      <c r="I307" t="s">
        <v>47</v>
      </c>
    </row>
    <row r="308" spans="1:9" x14ac:dyDescent="0.35">
      <c r="A308" s="1">
        <v>45302</v>
      </c>
      <c r="B308" t="s">
        <v>30</v>
      </c>
      <c r="C308" t="s">
        <v>31</v>
      </c>
      <c r="D308" t="s">
        <v>15</v>
      </c>
      <c r="E308" t="s">
        <v>16</v>
      </c>
      <c r="F308">
        <v>34</v>
      </c>
      <c r="G308">
        <v>33</v>
      </c>
      <c r="H308" t="s">
        <v>46</v>
      </c>
      <c r="I308" t="s">
        <v>47</v>
      </c>
    </row>
    <row r="309" spans="1:9" x14ac:dyDescent="0.35">
      <c r="A309" s="1">
        <v>45302</v>
      </c>
      <c r="B309" t="s">
        <v>30</v>
      </c>
      <c r="C309" t="s">
        <v>31</v>
      </c>
      <c r="D309" t="s">
        <v>18</v>
      </c>
      <c r="E309" t="s">
        <v>19</v>
      </c>
      <c r="F309">
        <v>38</v>
      </c>
      <c r="G309">
        <v>44.1</v>
      </c>
      <c r="H309" t="s">
        <v>48</v>
      </c>
      <c r="I309" t="s">
        <v>50</v>
      </c>
    </row>
    <row r="310" spans="1:9" x14ac:dyDescent="0.35">
      <c r="A310" s="1">
        <v>45302</v>
      </c>
      <c r="B310" t="s">
        <v>30</v>
      </c>
      <c r="C310" t="s">
        <v>31</v>
      </c>
      <c r="D310" t="s">
        <v>21</v>
      </c>
      <c r="E310" t="s">
        <v>22</v>
      </c>
      <c r="F310">
        <v>32</v>
      </c>
      <c r="G310">
        <v>32.700000000000003</v>
      </c>
      <c r="H310" t="s">
        <v>46</v>
      </c>
      <c r="I310" t="s">
        <v>47</v>
      </c>
    </row>
    <row r="311" spans="1:9" x14ac:dyDescent="0.35">
      <c r="A311" s="1">
        <v>45302</v>
      </c>
      <c r="B311" t="s">
        <v>30</v>
      </c>
      <c r="C311" t="s">
        <v>31</v>
      </c>
      <c r="D311" t="s">
        <v>24</v>
      </c>
      <c r="E311" t="s">
        <v>25</v>
      </c>
      <c r="F311">
        <v>50</v>
      </c>
      <c r="G311">
        <v>51</v>
      </c>
      <c r="H311" t="s">
        <v>46</v>
      </c>
      <c r="I311" t="s">
        <v>47</v>
      </c>
    </row>
    <row r="312" spans="1:9" x14ac:dyDescent="0.35">
      <c r="A312" s="1">
        <v>45302</v>
      </c>
      <c r="B312" t="s">
        <v>30</v>
      </c>
      <c r="C312" t="s">
        <v>31</v>
      </c>
      <c r="D312" t="s">
        <v>26</v>
      </c>
      <c r="E312" t="s">
        <v>27</v>
      </c>
      <c r="F312">
        <v>38</v>
      </c>
      <c r="G312">
        <v>39.799999999999997</v>
      </c>
      <c r="H312" t="s">
        <v>46</v>
      </c>
      <c r="I312" t="s">
        <v>47</v>
      </c>
    </row>
    <row r="313" spans="1:9" x14ac:dyDescent="0.35">
      <c r="A313" s="1">
        <v>45302</v>
      </c>
      <c r="B313" t="s">
        <v>30</v>
      </c>
      <c r="C313" t="s">
        <v>31</v>
      </c>
      <c r="D313" t="s">
        <v>28</v>
      </c>
      <c r="E313" t="s">
        <v>29</v>
      </c>
      <c r="F313">
        <v>32</v>
      </c>
      <c r="G313">
        <v>38.6</v>
      </c>
      <c r="H313" t="s">
        <v>48</v>
      </c>
      <c r="I313" t="s">
        <v>50</v>
      </c>
    </row>
    <row r="314" spans="1:9" x14ac:dyDescent="0.35">
      <c r="A314" s="1">
        <v>45302</v>
      </c>
      <c r="B314" t="s">
        <v>33</v>
      </c>
      <c r="C314" t="s">
        <v>34</v>
      </c>
      <c r="D314" t="s">
        <v>15</v>
      </c>
      <c r="E314" t="s">
        <v>16</v>
      </c>
      <c r="F314">
        <v>34</v>
      </c>
      <c r="G314">
        <v>33.6</v>
      </c>
      <c r="H314" t="s">
        <v>46</v>
      </c>
      <c r="I314" t="s">
        <v>47</v>
      </c>
    </row>
    <row r="315" spans="1:9" x14ac:dyDescent="0.35">
      <c r="A315" s="1">
        <v>45302</v>
      </c>
      <c r="B315" t="s">
        <v>33</v>
      </c>
      <c r="C315" t="s">
        <v>34</v>
      </c>
      <c r="D315" t="s">
        <v>18</v>
      </c>
      <c r="E315" t="s">
        <v>19</v>
      </c>
      <c r="F315">
        <v>38</v>
      </c>
      <c r="G315">
        <v>38.6</v>
      </c>
      <c r="H315" t="s">
        <v>46</v>
      </c>
      <c r="I315" t="s">
        <v>47</v>
      </c>
    </row>
    <row r="316" spans="1:9" x14ac:dyDescent="0.35">
      <c r="A316" s="1">
        <v>45302</v>
      </c>
      <c r="B316" t="s">
        <v>33</v>
      </c>
      <c r="C316" t="s">
        <v>34</v>
      </c>
      <c r="D316" t="s">
        <v>21</v>
      </c>
      <c r="E316" t="s">
        <v>22</v>
      </c>
      <c r="F316">
        <v>32</v>
      </c>
      <c r="G316">
        <v>31.7</v>
      </c>
      <c r="H316" t="s">
        <v>46</v>
      </c>
      <c r="I316" t="s">
        <v>47</v>
      </c>
    </row>
    <row r="317" spans="1:9" x14ac:dyDescent="0.35">
      <c r="A317" s="1">
        <v>45302</v>
      </c>
      <c r="B317" t="s">
        <v>33</v>
      </c>
      <c r="C317" t="s">
        <v>34</v>
      </c>
      <c r="D317" t="s">
        <v>24</v>
      </c>
      <c r="E317" t="s">
        <v>25</v>
      </c>
      <c r="F317">
        <v>50</v>
      </c>
      <c r="G317">
        <v>50</v>
      </c>
      <c r="H317" t="s">
        <v>46</v>
      </c>
      <c r="I317" t="s">
        <v>47</v>
      </c>
    </row>
    <row r="318" spans="1:9" x14ac:dyDescent="0.35">
      <c r="A318" s="1">
        <v>45302</v>
      </c>
      <c r="B318" t="s">
        <v>33</v>
      </c>
      <c r="C318" t="s">
        <v>34</v>
      </c>
      <c r="D318" t="s">
        <v>26</v>
      </c>
      <c r="E318" t="s">
        <v>27</v>
      </c>
      <c r="F318">
        <v>38</v>
      </c>
      <c r="G318">
        <v>37.1</v>
      </c>
      <c r="H318" t="s">
        <v>46</v>
      </c>
      <c r="I318" t="s">
        <v>47</v>
      </c>
    </row>
    <row r="319" spans="1:9" x14ac:dyDescent="0.35">
      <c r="A319" s="1">
        <v>45302</v>
      </c>
      <c r="B319" t="s">
        <v>33</v>
      </c>
      <c r="C319" t="s">
        <v>34</v>
      </c>
      <c r="D319" t="s">
        <v>28</v>
      </c>
      <c r="E319" t="s">
        <v>29</v>
      </c>
      <c r="F319">
        <v>32</v>
      </c>
      <c r="G319">
        <v>33.9</v>
      </c>
      <c r="H319" t="s">
        <v>46</v>
      </c>
      <c r="I319" t="s">
        <v>47</v>
      </c>
    </row>
    <row r="320" spans="1:9" x14ac:dyDescent="0.35">
      <c r="A320" s="1">
        <v>45302</v>
      </c>
      <c r="B320" t="s">
        <v>36</v>
      </c>
      <c r="C320" t="s">
        <v>37</v>
      </c>
      <c r="D320" t="s">
        <v>15</v>
      </c>
      <c r="E320" t="s">
        <v>16</v>
      </c>
      <c r="F320">
        <v>34</v>
      </c>
      <c r="G320">
        <v>36.9</v>
      </c>
      <c r="H320" t="s">
        <v>46</v>
      </c>
      <c r="I320" t="s">
        <v>47</v>
      </c>
    </row>
    <row r="321" spans="1:9" x14ac:dyDescent="0.35">
      <c r="A321" s="1">
        <v>45302</v>
      </c>
      <c r="B321" t="s">
        <v>36</v>
      </c>
      <c r="C321" t="s">
        <v>37</v>
      </c>
      <c r="D321" t="s">
        <v>18</v>
      </c>
      <c r="E321" t="s">
        <v>19</v>
      </c>
      <c r="F321">
        <v>38</v>
      </c>
      <c r="G321">
        <v>41</v>
      </c>
      <c r="H321" t="s">
        <v>46</v>
      </c>
      <c r="I321" t="s">
        <v>47</v>
      </c>
    </row>
    <row r="322" spans="1:9" x14ac:dyDescent="0.35">
      <c r="A322" s="1">
        <v>45302</v>
      </c>
      <c r="B322" t="s">
        <v>36</v>
      </c>
      <c r="C322" t="s">
        <v>37</v>
      </c>
      <c r="D322" t="s">
        <v>21</v>
      </c>
      <c r="E322" t="s">
        <v>22</v>
      </c>
      <c r="F322">
        <v>32</v>
      </c>
      <c r="G322">
        <v>33.9</v>
      </c>
      <c r="H322" t="s">
        <v>46</v>
      </c>
      <c r="I322" t="s">
        <v>47</v>
      </c>
    </row>
    <row r="323" spans="1:9" x14ac:dyDescent="0.35">
      <c r="A323" s="1">
        <v>45302</v>
      </c>
      <c r="B323" t="s">
        <v>36</v>
      </c>
      <c r="C323" t="s">
        <v>37</v>
      </c>
      <c r="D323" t="s">
        <v>24</v>
      </c>
      <c r="E323" t="s">
        <v>25</v>
      </c>
      <c r="F323">
        <v>50</v>
      </c>
      <c r="G323">
        <v>61.3</v>
      </c>
      <c r="H323" t="s">
        <v>48</v>
      </c>
      <c r="I323" t="s">
        <v>49</v>
      </c>
    </row>
    <row r="324" spans="1:9" x14ac:dyDescent="0.35">
      <c r="A324" s="1">
        <v>45302</v>
      </c>
      <c r="B324" t="s">
        <v>36</v>
      </c>
      <c r="C324" t="s">
        <v>37</v>
      </c>
      <c r="D324" t="s">
        <v>26</v>
      </c>
      <c r="E324" t="s">
        <v>27</v>
      </c>
      <c r="F324">
        <v>38</v>
      </c>
      <c r="G324">
        <v>38.6</v>
      </c>
      <c r="H324" t="s">
        <v>46</v>
      </c>
      <c r="I324" t="s">
        <v>47</v>
      </c>
    </row>
    <row r="325" spans="1:9" x14ac:dyDescent="0.35">
      <c r="A325" s="1">
        <v>45302</v>
      </c>
      <c r="B325" t="s">
        <v>36</v>
      </c>
      <c r="C325" t="s">
        <v>37</v>
      </c>
      <c r="D325" t="s">
        <v>28</v>
      </c>
      <c r="E325" t="s">
        <v>29</v>
      </c>
      <c r="F325">
        <v>32</v>
      </c>
      <c r="G325">
        <v>34.700000000000003</v>
      </c>
      <c r="H325" t="s">
        <v>46</v>
      </c>
      <c r="I325" t="s">
        <v>47</v>
      </c>
    </row>
    <row r="326" spans="1:9" x14ac:dyDescent="0.35">
      <c r="A326" s="1">
        <v>45302</v>
      </c>
      <c r="B326" t="s">
        <v>39</v>
      </c>
      <c r="C326" t="s">
        <v>40</v>
      </c>
      <c r="D326" t="s">
        <v>15</v>
      </c>
      <c r="E326" t="s">
        <v>16</v>
      </c>
      <c r="F326">
        <v>34</v>
      </c>
      <c r="G326">
        <v>45.8</v>
      </c>
      <c r="H326" t="s">
        <v>48</v>
      </c>
      <c r="I326" t="s">
        <v>49</v>
      </c>
    </row>
    <row r="327" spans="1:9" x14ac:dyDescent="0.35">
      <c r="A327" s="1">
        <v>45302</v>
      </c>
      <c r="B327" t="s">
        <v>39</v>
      </c>
      <c r="C327" t="s">
        <v>40</v>
      </c>
      <c r="D327" t="s">
        <v>18</v>
      </c>
      <c r="E327" t="s">
        <v>19</v>
      </c>
      <c r="F327">
        <v>38</v>
      </c>
      <c r="G327">
        <v>39.200000000000003</v>
      </c>
      <c r="H327" t="s">
        <v>46</v>
      </c>
      <c r="I327" t="s">
        <v>47</v>
      </c>
    </row>
    <row r="328" spans="1:9" x14ac:dyDescent="0.35">
      <c r="A328" s="1">
        <v>45302</v>
      </c>
      <c r="B328" t="s">
        <v>39</v>
      </c>
      <c r="C328" t="s">
        <v>40</v>
      </c>
      <c r="D328" t="s">
        <v>21</v>
      </c>
      <c r="E328" t="s">
        <v>22</v>
      </c>
      <c r="F328">
        <v>32</v>
      </c>
      <c r="G328">
        <v>41.8</v>
      </c>
      <c r="H328" t="s">
        <v>48</v>
      </c>
      <c r="I328" t="s">
        <v>50</v>
      </c>
    </row>
    <row r="329" spans="1:9" x14ac:dyDescent="0.35">
      <c r="A329" s="1">
        <v>45302</v>
      </c>
      <c r="B329" t="s">
        <v>39</v>
      </c>
      <c r="C329" t="s">
        <v>40</v>
      </c>
      <c r="D329" t="s">
        <v>24</v>
      </c>
      <c r="E329" t="s">
        <v>25</v>
      </c>
      <c r="F329">
        <v>50</v>
      </c>
      <c r="G329">
        <v>50.4</v>
      </c>
      <c r="H329" t="s">
        <v>46</v>
      </c>
      <c r="I329" t="s">
        <v>47</v>
      </c>
    </row>
    <row r="330" spans="1:9" x14ac:dyDescent="0.35">
      <c r="A330" s="1">
        <v>45302</v>
      </c>
      <c r="B330" t="s">
        <v>39</v>
      </c>
      <c r="C330" t="s">
        <v>40</v>
      </c>
      <c r="D330" t="s">
        <v>26</v>
      </c>
      <c r="E330" t="s">
        <v>27</v>
      </c>
      <c r="F330">
        <v>38</v>
      </c>
      <c r="G330">
        <v>49.3</v>
      </c>
      <c r="H330" t="s">
        <v>48</v>
      </c>
      <c r="I330" t="s">
        <v>49</v>
      </c>
    </row>
    <row r="331" spans="1:9" x14ac:dyDescent="0.35">
      <c r="A331" s="1">
        <v>45302</v>
      </c>
      <c r="B331" t="s">
        <v>39</v>
      </c>
      <c r="C331" t="s">
        <v>40</v>
      </c>
      <c r="D331" t="s">
        <v>28</v>
      </c>
      <c r="E331" t="s">
        <v>29</v>
      </c>
      <c r="F331">
        <v>32</v>
      </c>
      <c r="G331">
        <v>31.9</v>
      </c>
      <c r="H331" t="s">
        <v>46</v>
      </c>
      <c r="I331" t="s">
        <v>47</v>
      </c>
    </row>
    <row r="332" spans="1:9" x14ac:dyDescent="0.35">
      <c r="A332" s="1">
        <v>45303</v>
      </c>
      <c r="B332" t="s">
        <v>12</v>
      </c>
      <c r="C332" t="s">
        <v>13</v>
      </c>
      <c r="D332" t="s">
        <v>15</v>
      </c>
      <c r="E332" t="s">
        <v>16</v>
      </c>
      <c r="F332">
        <v>34</v>
      </c>
      <c r="G332">
        <v>33.1</v>
      </c>
      <c r="H332" t="s">
        <v>46</v>
      </c>
      <c r="I332" t="s">
        <v>47</v>
      </c>
    </row>
    <row r="333" spans="1:9" x14ac:dyDescent="0.35">
      <c r="A333" s="1">
        <v>45303</v>
      </c>
      <c r="B333" t="s">
        <v>12</v>
      </c>
      <c r="C333" t="s">
        <v>13</v>
      </c>
      <c r="D333" t="s">
        <v>18</v>
      </c>
      <c r="E333" t="s">
        <v>19</v>
      </c>
      <c r="F333">
        <v>38</v>
      </c>
      <c r="G333">
        <v>39.299999999999997</v>
      </c>
      <c r="H333" t="s">
        <v>46</v>
      </c>
      <c r="I333" t="s">
        <v>47</v>
      </c>
    </row>
    <row r="334" spans="1:9" x14ac:dyDescent="0.35">
      <c r="A334" s="1">
        <v>45303</v>
      </c>
      <c r="B334" t="s">
        <v>12</v>
      </c>
      <c r="C334" t="s">
        <v>13</v>
      </c>
      <c r="D334" t="s">
        <v>21</v>
      </c>
      <c r="E334" t="s">
        <v>22</v>
      </c>
      <c r="F334">
        <v>32</v>
      </c>
      <c r="G334">
        <v>32</v>
      </c>
      <c r="H334" t="s">
        <v>46</v>
      </c>
      <c r="I334" t="s">
        <v>47</v>
      </c>
    </row>
    <row r="335" spans="1:9" x14ac:dyDescent="0.35">
      <c r="A335" s="1">
        <v>45303</v>
      </c>
      <c r="B335" t="s">
        <v>12</v>
      </c>
      <c r="C335" t="s">
        <v>13</v>
      </c>
      <c r="D335" t="s">
        <v>24</v>
      </c>
      <c r="E335" t="s">
        <v>25</v>
      </c>
      <c r="F335">
        <v>50</v>
      </c>
      <c r="G335">
        <v>51.3</v>
      </c>
      <c r="H335" t="s">
        <v>46</v>
      </c>
      <c r="I335" t="s">
        <v>47</v>
      </c>
    </row>
    <row r="336" spans="1:9" x14ac:dyDescent="0.35">
      <c r="A336" s="1">
        <v>45303</v>
      </c>
      <c r="B336" t="s">
        <v>12</v>
      </c>
      <c r="C336" t="s">
        <v>13</v>
      </c>
      <c r="D336" t="s">
        <v>26</v>
      </c>
      <c r="E336" t="s">
        <v>27</v>
      </c>
      <c r="F336">
        <v>38</v>
      </c>
      <c r="G336">
        <v>39.799999999999997</v>
      </c>
      <c r="H336" t="s">
        <v>46</v>
      </c>
      <c r="I336" t="s">
        <v>47</v>
      </c>
    </row>
    <row r="337" spans="1:9" x14ac:dyDescent="0.35">
      <c r="A337" s="1">
        <v>45303</v>
      </c>
      <c r="B337" t="s">
        <v>12</v>
      </c>
      <c r="C337" t="s">
        <v>13</v>
      </c>
      <c r="D337" t="s">
        <v>28</v>
      </c>
      <c r="E337" t="s">
        <v>29</v>
      </c>
      <c r="F337">
        <v>32</v>
      </c>
      <c r="G337">
        <v>44.2</v>
      </c>
      <c r="H337" t="s">
        <v>48</v>
      </c>
      <c r="I337" t="s">
        <v>49</v>
      </c>
    </row>
    <row r="338" spans="1:9" x14ac:dyDescent="0.35">
      <c r="A338" s="1">
        <v>45303</v>
      </c>
      <c r="B338" t="s">
        <v>30</v>
      </c>
      <c r="C338" t="s">
        <v>31</v>
      </c>
      <c r="D338" t="s">
        <v>15</v>
      </c>
      <c r="E338" t="s">
        <v>16</v>
      </c>
      <c r="F338">
        <v>34</v>
      </c>
      <c r="G338">
        <v>35</v>
      </c>
      <c r="H338" t="s">
        <v>46</v>
      </c>
      <c r="I338" t="s">
        <v>47</v>
      </c>
    </row>
    <row r="339" spans="1:9" x14ac:dyDescent="0.35">
      <c r="A339" s="1">
        <v>45303</v>
      </c>
      <c r="B339" t="s">
        <v>30</v>
      </c>
      <c r="C339" t="s">
        <v>31</v>
      </c>
      <c r="D339" t="s">
        <v>18</v>
      </c>
      <c r="E339" t="s">
        <v>19</v>
      </c>
      <c r="F339">
        <v>38</v>
      </c>
      <c r="G339">
        <v>38.4</v>
      </c>
      <c r="H339" t="s">
        <v>46</v>
      </c>
      <c r="I339" t="s">
        <v>47</v>
      </c>
    </row>
    <row r="340" spans="1:9" x14ac:dyDescent="0.35">
      <c r="A340" s="1">
        <v>45303</v>
      </c>
      <c r="B340" t="s">
        <v>30</v>
      </c>
      <c r="C340" t="s">
        <v>31</v>
      </c>
      <c r="D340" t="s">
        <v>21</v>
      </c>
      <c r="E340" t="s">
        <v>22</v>
      </c>
      <c r="F340">
        <v>32</v>
      </c>
      <c r="G340">
        <v>34</v>
      </c>
      <c r="H340" t="s">
        <v>46</v>
      </c>
      <c r="I340" t="s">
        <v>47</v>
      </c>
    </row>
    <row r="341" spans="1:9" x14ac:dyDescent="0.35">
      <c r="A341" s="1">
        <v>45303</v>
      </c>
      <c r="B341" t="s">
        <v>30</v>
      </c>
      <c r="C341" t="s">
        <v>31</v>
      </c>
      <c r="D341" t="s">
        <v>24</v>
      </c>
      <c r="E341" t="s">
        <v>25</v>
      </c>
      <c r="F341">
        <v>50</v>
      </c>
      <c r="G341">
        <v>58.8</v>
      </c>
      <c r="H341" t="s">
        <v>48</v>
      </c>
      <c r="I341" t="s">
        <v>50</v>
      </c>
    </row>
    <row r="342" spans="1:9" x14ac:dyDescent="0.35">
      <c r="A342" s="1">
        <v>45303</v>
      </c>
      <c r="B342" t="s">
        <v>30</v>
      </c>
      <c r="C342" t="s">
        <v>31</v>
      </c>
      <c r="D342" t="s">
        <v>26</v>
      </c>
      <c r="E342" t="s">
        <v>27</v>
      </c>
      <c r="F342">
        <v>38</v>
      </c>
      <c r="G342">
        <v>48.3</v>
      </c>
      <c r="H342" t="s">
        <v>48</v>
      </c>
      <c r="I342" t="s">
        <v>49</v>
      </c>
    </row>
    <row r="343" spans="1:9" x14ac:dyDescent="0.35">
      <c r="A343" s="1">
        <v>45303</v>
      </c>
      <c r="B343" t="s">
        <v>30</v>
      </c>
      <c r="C343" t="s">
        <v>31</v>
      </c>
      <c r="D343" t="s">
        <v>28</v>
      </c>
      <c r="E343" t="s">
        <v>29</v>
      </c>
      <c r="F343">
        <v>32</v>
      </c>
      <c r="G343">
        <v>41.9</v>
      </c>
      <c r="H343" t="s">
        <v>48</v>
      </c>
      <c r="I343" t="s">
        <v>50</v>
      </c>
    </row>
    <row r="344" spans="1:9" x14ac:dyDescent="0.35">
      <c r="A344" s="1">
        <v>45303</v>
      </c>
      <c r="B344" t="s">
        <v>33</v>
      </c>
      <c r="C344" t="s">
        <v>34</v>
      </c>
      <c r="D344" t="s">
        <v>15</v>
      </c>
      <c r="E344" t="s">
        <v>16</v>
      </c>
      <c r="F344">
        <v>34</v>
      </c>
      <c r="G344">
        <v>35.200000000000003</v>
      </c>
      <c r="H344" t="s">
        <v>46</v>
      </c>
      <c r="I344" t="s">
        <v>47</v>
      </c>
    </row>
    <row r="345" spans="1:9" x14ac:dyDescent="0.35">
      <c r="A345" s="1">
        <v>45303</v>
      </c>
      <c r="B345" t="s">
        <v>33</v>
      </c>
      <c r="C345" t="s">
        <v>34</v>
      </c>
      <c r="D345" t="s">
        <v>18</v>
      </c>
      <c r="E345" t="s">
        <v>19</v>
      </c>
      <c r="F345">
        <v>38</v>
      </c>
      <c r="G345">
        <v>38.4</v>
      </c>
      <c r="H345" t="s">
        <v>46</v>
      </c>
      <c r="I345" t="s">
        <v>47</v>
      </c>
    </row>
    <row r="346" spans="1:9" x14ac:dyDescent="0.35">
      <c r="A346" s="1">
        <v>45303</v>
      </c>
      <c r="B346" t="s">
        <v>33</v>
      </c>
      <c r="C346" t="s">
        <v>34</v>
      </c>
      <c r="D346" t="s">
        <v>21</v>
      </c>
      <c r="E346" t="s">
        <v>22</v>
      </c>
      <c r="F346">
        <v>32</v>
      </c>
      <c r="G346">
        <v>33.9</v>
      </c>
      <c r="H346" t="s">
        <v>46</v>
      </c>
      <c r="I346" t="s">
        <v>47</v>
      </c>
    </row>
    <row r="347" spans="1:9" x14ac:dyDescent="0.35">
      <c r="A347" s="1">
        <v>45303</v>
      </c>
      <c r="B347" t="s">
        <v>33</v>
      </c>
      <c r="C347" t="s">
        <v>34</v>
      </c>
      <c r="D347" t="s">
        <v>24</v>
      </c>
      <c r="E347" t="s">
        <v>25</v>
      </c>
      <c r="F347">
        <v>50</v>
      </c>
      <c r="G347">
        <v>59</v>
      </c>
      <c r="H347" t="s">
        <v>48</v>
      </c>
      <c r="I347" t="s">
        <v>50</v>
      </c>
    </row>
    <row r="348" spans="1:9" x14ac:dyDescent="0.35">
      <c r="A348" s="1">
        <v>45303</v>
      </c>
      <c r="B348" t="s">
        <v>33</v>
      </c>
      <c r="C348" t="s">
        <v>34</v>
      </c>
      <c r="D348" t="s">
        <v>26</v>
      </c>
      <c r="E348" t="s">
        <v>27</v>
      </c>
      <c r="F348">
        <v>38</v>
      </c>
      <c r="G348">
        <v>38</v>
      </c>
      <c r="H348" t="s">
        <v>46</v>
      </c>
      <c r="I348" t="s">
        <v>47</v>
      </c>
    </row>
    <row r="349" spans="1:9" x14ac:dyDescent="0.35">
      <c r="A349" s="1">
        <v>45303</v>
      </c>
      <c r="B349" t="s">
        <v>33</v>
      </c>
      <c r="C349" t="s">
        <v>34</v>
      </c>
      <c r="D349" t="s">
        <v>28</v>
      </c>
      <c r="E349" t="s">
        <v>29</v>
      </c>
      <c r="F349">
        <v>32</v>
      </c>
      <c r="G349">
        <v>43.7</v>
      </c>
      <c r="H349" t="s">
        <v>48</v>
      </c>
      <c r="I349" t="s">
        <v>49</v>
      </c>
    </row>
    <row r="350" spans="1:9" x14ac:dyDescent="0.35">
      <c r="A350" s="1">
        <v>45303</v>
      </c>
      <c r="B350" t="s">
        <v>36</v>
      </c>
      <c r="C350" t="s">
        <v>37</v>
      </c>
      <c r="D350" t="s">
        <v>15</v>
      </c>
      <c r="E350" t="s">
        <v>16</v>
      </c>
      <c r="F350">
        <v>34</v>
      </c>
      <c r="G350">
        <v>35.200000000000003</v>
      </c>
      <c r="H350" t="s">
        <v>46</v>
      </c>
      <c r="I350" t="s">
        <v>47</v>
      </c>
    </row>
    <row r="351" spans="1:9" x14ac:dyDescent="0.35">
      <c r="A351" s="1">
        <v>45303</v>
      </c>
      <c r="B351" t="s">
        <v>36</v>
      </c>
      <c r="C351" t="s">
        <v>37</v>
      </c>
      <c r="D351" t="s">
        <v>18</v>
      </c>
      <c r="E351" t="s">
        <v>19</v>
      </c>
      <c r="F351">
        <v>38</v>
      </c>
      <c r="G351">
        <v>39.299999999999997</v>
      </c>
      <c r="H351" t="s">
        <v>46</v>
      </c>
      <c r="I351" t="s">
        <v>47</v>
      </c>
    </row>
    <row r="352" spans="1:9" x14ac:dyDescent="0.35">
      <c r="A352" s="1">
        <v>45303</v>
      </c>
      <c r="B352" t="s">
        <v>36</v>
      </c>
      <c r="C352" t="s">
        <v>37</v>
      </c>
      <c r="D352" t="s">
        <v>21</v>
      </c>
      <c r="E352" t="s">
        <v>22</v>
      </c>
      <c r="F352">
        <v>32</v>
      </c>
      <c r="G352">
        <v>32.299999999999997</v>
      </c>
      <c r="H352" t="s">
        <v>46</v>
      </c>
      <c r="I352" t="s">
        <v>47</v>
      </c>
    </row>
    <row r="353" spans="1:9" x14ac:dyDescent="0.35">
      <c r="A353" s="1">
        <v>45303</v>
      </c>
      <c r="B353" t="s">
        <v>36</v>
      </c>
      <c r="C353" t="s">
        <v>37</v>
      </c>
      <c r="D353" t="s">
        <v>24</v>
      </c>
      <c r="E353" t="s">
        <v>25</v>
      </c>
      <c r="F353">
        <v>50</v>
      </c>
      <c r="G353">
        <v>52.5</v>
      </c>
      <c r="H353" t="s">
        <v>46</v>
      </c>
      <c r="I353" t="s">
        <v>47</v>
      </c>
    </row>
    <row r="354" spans="1:9" x14ac:dyDescent="0.35">
      <c r="A354" s="1">
        <v>45303</v>
      </c>
      <c r="B354" t="s">
        <v>36</v>
      </c>
      <c r="C354" t="s">
        <v>37</v>
      </c>
      <c r="D354" t="s">
        <v>26</v>
      </c>
      <c r="E354" t="s">
        <v>27</v>
      </c>
      <c r="F354">
        <v>38</v>
      </c>
      <c r="G354">
        <v>40.4</v>
      </c>
      <c r="H354" t="s">
        <v>46</v>
      </c>
      <c r="I354" t="s">
        <v>47</v>
      </c>
    </row>
    <row r="355" spans="1:9" x14ac:dyDescent="0.35">
      <c r="A355" s="1">
        <v>45303</v>
      </c>
      <c r="B355" t="s">
        <v>36</v>
      </c>
      <c r="C355" t="s">
        <v>37</v>
      </c>
      <c r="D355" t="s">
        <v>28</v>
      </c>
      <c r="E355" t="s">
        <v>29</v>
      </c>
      <c r="F355">
        <v>32</v>
      </c>
      <c r="G355">
        <v>42.2</v>
      </c>
      <c r="H355" t="s">
        <v>48</v>
      </c>
      <c r="I355" t="s">
        <v>49</v>
      </c>
    </row>
    <row r="356" spans="1:9" x14ac:dyDescent="0.35">
      <c r="A356" s="1">
        <v>45303</v>
      </c>
      <c r="B356" t="s">
        <v>39</v>
      </c>
      <c r="C356" t="s">
        <v>40</v>
      </c>
      <c r="D356" t="s">
        <v>15</v>
      </c>
      <c r="E356" t="s">
        <v>16</v>
      </c>
      <c r="F356">
        <v>34</v>
      </c>
      <c r="G356">
        <v>36.299999999999997</v>
      </c>
      <c r="H356" t="s">
        <v>46</v>
      </c>
      <c r="I356" t="s">
        <v>47</v>
      </c>
    </row>
    <row r="357" spans="1:9" x14ac:dyDescent="0.35">
      <c r="A357" s="1">
        <v>45303</v>
      </c>
      <c r="B357" t="s">
        <v>39</v>
      </c>
      <c r="C357" t="s">
        <v>40</v>
      </c>
      <c r="D357" t="s">
        <v>18</v>
      </c>
      <c r="E357" t="s">
        <v>19</v>
      </c>
      <c r="F357">
        <v>38</v>
      </c>
      <c r="G357">
        <v>38.799999999999997</v>
      </c>
      <c r="H357" t="s">
        <v>46</v>
      </c>
      <c r="I357" t="s">
        <v>47</v>
      </c>
    </row>
    <row r="358" spans="1:9" x14ac:dyDescent="0.35">
      <c r="A358" s="1">
        <v>45303</v>
      </c>
      <c r="B358" t="s">
        <v>39</v>
      </c>
      <c r="C358" t="s">
        <v>40</v>
      </c>
      <c r="D358" t="s">
        <v>21</v>
      </c>
      <c r="E358" t="s">
        <v>22</v>
      </c>
      <c r="F358">
        <v>32</v>
      </c>
      <c r="G358">
        <v>33</v>
      </c>
      <c r="H358" t="s">
        <v>46</v>
      </c>
      <c r="I358" t="s">
        <v>47</v>
      </c>
    </row>
    <row r="359" spans="1:9" x14ac:dyDescent="0.35">
      <c r="A359" s="1">
        <v>45303</v>
      </c>
      <c r="B359" t="s">
        <v>39</v>
      </c>
      <c r="C359" t="s">
        <v>40</v>
      </c>
      <c r="D359" t="s">
        <v>24</v>
      </c>
      <c r="E359" t="s">
        <v>25</v>
      </c>
      <c r="F359">
        <v>50</v>
      </c>
      <c r="G359">
        <v>52.5</v>
      </c>
      <c r="H359" t="s">
        <v>46</v>
      </c>
      <c r="I359" t="s">
        <v>47</v>
      </c>
    </row>
    <row r="360" spans="1:9" x14ac:dyDescent="0.35">
      <c r="A360" s="1">
        <v>45303</v>
      </c>
      <c r="B360" t="s">
        <v>39</v>
      </c>
      <c r="C360" t="s">
        <v>40</v>
      </c>
      <c r="D360" t="s">
        <v>26</v>
      </c>
      <c r="E360" t="s">
        <v>27</v>
      </c>
      <c r="F360">
        <v>38</v>
      </c>
      <c r="G360">
        <v>38.5</v>
      </c>
      <c r="H360" t="s">
        <v>46</v>
      </c>
      <c r="I360" t="s">
        <v>47</v>
      </c>
    </row>
    <row r="361" spans="1:9" x14ac:dyDescent="0.35">
      <c r="A361" s="1">
        <v>45303</v>
      </c>
      <c r="B361" t="s">
        <v>39</v>
      </c>
      <c r="C361" t="s">
        <v>40</v>
      </c>
      <c r="D361" t="s">
        <v>28</v>
      </c>
      <c r="E361" t="s">
        <v>29</v>
      </c>
      <c r="F361">
        <v>32</v>
      </c>
      <c r="G361">
        <v>32.299999999999997</v>
      </c>
      <c r="H361" t="s">
        <v>46</v>
      </c>
      <c r="I361" t="s">
        <v>47</v>
      </c>
    </row>
    <row r="362" spans="1:9" x14ac:dyDescent="0.35">
      <c r="A362" s="1">
        <v>45304</v>
      </c>
      <c r="B362" t="s">
        <v>12</v>
      </c>
      <c r="C362" t="s">
        <v>13</v>
      </c>
      <c r="D362" t="s">
        <v>15</v>
      </c>
      <c r="E362" t="s">
        <v>16</v>
      </c>
      <c r="F362">
        <v>34</v>
      </c>
      <c r="G362">
        <v>47.7</v>
      </c>
      <c r="H362" t="s">
        <v>48</v>
      </c>
      <c r="I362" t="s">
        <v>49</v>
      </c>
    </row>
    <row r="363" spans="1:9" x14ac:dyDescent="0.35">
      <c r="A363" s="1">
        <v>45304</v>
      </c>
      <c r="B363" t="s">
        <v>12</v>
      </c>
      <c r="C363" t="s">
        <v>13</v>
      </c>
      <c r="D363" t="s">
        <v>18</v>
      </c>
      <c r="E363" t="s">
        <v>19</v>
      </c>
      <c r="F363">
        <v>38</v>
      </c>
      <c r="G363">
        <v>37.799999999999997</v>
      </c>
      <c r="H363" t="s">
        <v>46</v>
      </c>
      <c r="I363" t="s">
        <v>47</v>
      </c>
    </row>
    <row r="364" spans="1:9" x14ac:dyDescent="0.35">
      <c r="A364" s="1">
        <v>45304</v>
      </c>
      <c r="B364" t="s">
        <v>12</v>
      </c>
      <c r="C364" t="s">
        <v>13</v>
      </c>
      <c r="D364" t="s">
        <v>21</v>
      </c>
      <c r="E364" t="s">
        <v>22</v>
      </c>
      <c r="F364">
        <v>32</v>
      </c>
      <c r="G364">
        <v>34.1</v>
      </c>
      <c r="H364" t="s">
        <v>46</v>
      </c>
      <c r="I364" t="s">
        <v>47</v>
      </c>
    </row>
    <row r="365" spans="1:9" x14ac:dyDescent="0.35">
      <c r="A365" s="1">
        <v>45304</v>
      </c>
      <c r="B365" t="s">
        <v>12</v>
      </c>
      <c r="C365" t="s">
        <v>13</v>
      </c>
      <c r="D365" t="s">
        <v>24</v>
      </c>
      <c r="E365" t="s">
        <v>25</v>
      </c>
      <c r="F365">
        <v>50</v>
      </c>
      <c r="G365">
        <v>58.3</v>
      </c>
      <c r="H365" t="s">
        <v>48</v>
      </c>
      <c r="I365" t="s">
        <v>50</v>
      </c>
    </row>
    <row r="366" spans="1:9" x14ac:dyDescent="0.35">
      <c r="A366" s="1">
        <v>45304</v>
      </c>
      <c r="B366" t="s">
        <v>12</v>
      </c>
      <c r="C366" t="s">
        <v>13</v>
      </c>
      <c r="D366" t="s">
        <v>26</v>
      </c>
      <c r="E366" t="s">
        <v>27</v>
      </c>
      <c r="F366">
        <v>38</v>
      </c>
      <c r="G366">
        <v>38.299999999999997</v>
      </c>
      <c r="H366" t="s">
        <v>46</v>
      </c>
      <c r="I366" t="s">
        <v>47</v>
      </c>
    </row>
    <row r="367" spans="1:9" x14ac:dyDescent="0.35">
      <c r="A367" s="1">
        <v>45304</v>
      </c>
      <c r="B367" t="s">
        <v>12</v>
      </c>
      <c r="C367" t="s">
        <v>13</v>
      </c>
      <c r="D367" t="s">
        <v>28</v>
      </c>
      <c r="E367" t="s">
        <v>29</v>
      </c>
      <c r="F367">
        <v>32</v>
      </c>
      <c r="G367">
        <v>43.3</v>
      </c>
      <c r="H367" t="s">
        <v>48</v>
      </c>
      <c r="I367" t="s">
        <v>49</v>
      </c>
    </row>
    <row r="368" spans="1:9" x14ac:dyDescent="0.35">
      <c r="A368" s="1">
        <v>45304</v>
      </c>
      <c r="B368" t="s">
        <v>30</v>
      </c>
      <c r="C368" t="s">
        <v>31</v>
      </c>
      <c r="D368" t="s">
        <v>15</v>
      </c>
      <c r="E368" t="s">
        <v>16</v>
      </c>
      <c r="F368">
        <v>34</v>
      </c>
      <c r="G368">
        <v>47.5</v>
      </c>
      <c r="H368" t="s">
        <v>48</v>
      </c>
      <c r="I368" t="s">
        <v>49</v>
      </c>
    </row>
    <row r="369" spans="1:9" x14ac:dyDescent="0.35">
      <c r="A369" s="1">
        <v>45304</v>
      </c>
      <c r="B369" t="s">
        <v>30</v>
      </c>
      <c r="C369" t="s">
        <v>31</v>
      </c>
      <c r="D369" t="s">
        <v>18</v>
      </c>
      <c r="E369" t="s">
        <v>19</v>
      </c>
      <c r="F369">
        <v>38</v>
      </c>
      <c r="G369">
        <v>44.3</v>
      </c>
      <c r="H369" t="s">
        <v>48</v>
      </c>
      <c r="I369" t="s">
        <v>50</v>
      </c>
    </row>
    <row r="370" spans="1:9" x14ac:dyDescent="0.35">
      <c r="A370" s="1">
        <v>45304</v>
      </c>
      <c r="B370" t="s">
        <v>30</v>
      </c>
      <c r="C370" t="s">
        <v>31</v>
      </c>
      <c r="D370" t="s">
        <v>21</v>
      </c>
      <c r="E370" t="s">
        <v>22</v>
      </c>
      <c r="F370">
        <v>32</v>
      </c>
      <c r="G370">
        <v>39.5</v>
      </c>
      <c r="H370" t="s">
        <v>48</v>
      </c>
      <c r="I370" t="s">
        <v>50</v>
      </c>
    </row>
    <row r="371" spans="1:9" x14ac:dyDescent="0.35">
      <c r="A371" s="1">
        <v>45304</v>
      </c>
      <c r="B371" t="s">
        <v>30</v>
      </c>
      <c r="C371" t="s">
        <v>31</v>
      </c>
      <c r="D371" t="s">
        <v>24</v>
      </c>
      <c r="E371" t="s">
        <v>25</v>
      </c>
      <c r="F371">
        <v>50</v>
      </c>
      <c r="G371">
        <v>61.1</v>
      </c>
      <c r="H371" t="s">
        <v>48</v>
      </c>
      <c r="I371" t="s">
        <v>49</v>
      </c>
    </row>
    <row r="372" spans="1:9" x14ac:dyDescent="0.35">
      <c r="A372" s="1">
        <v>45304</v>
      </c>
      <c r="B372" t="s">
        <v>30</v>
      </c>
      <c r="C372" t="s">
        <v>31</v>
      </c>
      <c r="D372" t="s">
        <v>26</v>
      </c>
      <c r="E372" t="s">
        <v>27</v>
      </c>
      <c r="F372">
        <v>38</v>
      </c>
      <c r="G372">
        <v>39</v>
      </c>
      <c r="H372" t="s">
        <v>46</v>
      </c>
      <c r="I372" t="s">
        <v>47</v>
      </c>
    </row>
    <row r="373" spans="1:9" x14ac:dyDescent="0.35">
      <c r="A373" s="1">
        <v>45304</v>
      </c>
      <c r="B373" t="s">
        <v>30</v>
      </c>
      <c r="C373" t="s">
        <v>31</v>
      </c>
      <c r="D373" t="s">
        <v>28</v>
      </c>
      <c r="E373" t="s">
        <v>29</v>
      </c>
      <c r="F373">
        <v>32</v>
      </c>
      <c r="G373">
        <v>33.4</v>
      </c>
      <c r="H373" t="s">
        <v>46</v>
      </c>
      <c r="I373" t="s">
        <v>47</v>
      </c>
    </row>
    <row r="374" spans="1:9" x14ac:dyDescent="0.35">
      <c r="A374" s="1">
        <v>45304</v>
      </c>
      <c r="B374" t="s">
        <v>33</v>
      </c>
      <c r="C374" t="s">
        <v>34</v>
      </c>
      <c r="D374" t="s">
        <v>15</v>
      </c>
      <c r="E374" t="s">
        <v>16</v>
      </c>
      <c r="F374">
        <v>34</v>
      </c>
      <c r="G374">
        <v>41.8</v>
      </c>
      <c r="H374" t="s">
        <v>48</v>
      </c>
      <c r="I374" t="s">
        <v>50</v>
      </c>
    </row>
    <row r="375" spans="1:9" x14ac:dyDescent="0.35">
      <c r="A375" s="1">
        <v>45304</v>
      </c>
      <c r="B375" t="s">
        <v>33</v>
      </c>
      <c r="C375" t="s">
        <v>34</v>
      </c>
      <c r="D375" t="s">
        <v>18</v>
      </c>
      <c r="E375" t="s">
        <v>19</v>
      </c>
      <c r="F375">
        <v>38</v>
      </c>
      <c r="G375">
        <v>37.1</v>
      </c>
      <c r="H375" t="s">
        <v>46</v>
      </c>
      <c r="I375" t="s">
        <v>47</v>
      </c>
    </row>
    <row r="376" spans="1:9" x14ac:dyDescent="0.35">
      <c r="A376" s="1">
        <v>45304</v>
      </c>
      <c r="B376" t="s">
        <v>33</v>
      </c>
      <c r="C376" t="s">
        <v>34</v>
      </c>
      <c r="D376" t="s">
        <v>21</v>
      </c>
      <c r="E376" t="s">
        <v>22</v>
      </c>
      <c r="F376">
        <v>32</v>
      </c>
      <c r="G376">
        <v>33.6</v>
      </c>
      <c r="H376" t="s">
        <v>46</v>
      </c>
      <c r="I376" t="s">
        <v>47</v>
      </c>
    </row>
    <row r="377" spans="1:9" x14ac:dyDescent="0.35">
      <c r="A377" s="1">
        <v>45304</v>
      </c>
      <c r="B377" t="s">
        <v>33</v>
      </c>
      <c r="C377" t="s">
        <v>34</v>
      </c>
      <c r="D377" t="s">
        <v>24</v>
      </c>
      <c r="E377" t="s">
        <v>25</v>
      </c>
      <c r="F377">
        <v>50</v>
      </c>
      <c r="G377">
        <v>52.3</v>
      </c>
      <c r="H377" t="s">
        <v>46</v>
      </c>
      <c r="I377" t="s">
        <v>47</v>
      </c>
    </row>
    <row r="378" spans="1:9" x14ac:dyDescent="0.35">
      <c r="A378" s="1">
        <v>45304</v>
      </c>
      <c r="B378" t="s">
        <v>33</v>
      </c>
      <c r="C378" t="s">
        <v>34</v>
      </c>
      <c r="D378" t="s">
        <v>26</v>
      </c>
      <c r="E378" t="s">
        <v>27</v>
      </c>
      <c r="F378">
        <v>38</v>
      </c>
      <c r="G378">
        <v>39.6</v>
      </c>
      <c r="H378" t="s">
        <v>46</v>
      </c>
      <c r="I378" t="s">
        <v>47</v>
      </c>
    </row>
    <row r="379" spans="1:9" x14ac:dyDescent="0.35">
      <c r="A379" s="1">
        <v>45304</v>
      </c>
      <c r="B379" t="s">
        <v>33</v>
      </c>
      <c r="C379" t="s">
        <v>34</v>
      </c>
      <c r="D379" t="s">
        <v>28</v>
      </c>
      <c r="E379" t="s">
        <v>29</v>
      </c>
      <c r="F379">
        <v>32</v>
      </c>
      <c r="G379">
        <v>34</v>
      </c>
      <c r="H379" t="s">
        <v>46</v>
      </c>
      <c r="I379" t="s">
        <v>47</v>
      </c>
    </row>
    <row r="380" spans="1:9" x14ac:dyDescent="0.35">
      <c r="A380" s="1">
        <v>45304</v>
      </c>
      <c r="B380" t="s">
        <v>36</v>
      </c>
      <c r="C380" t="s">
        <v>37</v>
      </c>
      <c r="D380" t="s">
        <v>15</v>
      </c>
      <c r="E380" t="s">
        <v>16</v>
      </c>
      <c r="F380">
        <v>34</v>
      </c>
      <c r="G380">
        <v>36.299999999999997</v>
      </c>
      <c r="H380" t="s">
        <v>46</v>
      </c>
      <c r="I380" t="s">
        <v>47</v>
      </c>
    </row>
    <row r="381" spans="1:9" x14ac:dyDescent="0.35">
      <c r="A381" s="1">
        <v>45304</v>
      </c>
      <c r="B381" t="s">
        <v>36</v>
      </c>
      <c r="C381" t="s">
        <v>37</v>
      </c>
      <c r="D381" t="s">
        <v>18</v>
      </c>
      <c r="E381" t="s">
        <v>19</v>
      </c>
      <c r="F381">
        <v>38</v>
      </c>
      <c r="G381">
        <v>37.200000000000003</v>
      </c>
      <c r="H381" t="s">
        <v>46</v>
      </c>
      <c r="I381" t="s">
        <v>47</v>
      </c>
    </row>
    <row r="382" spans="1:9" x14ac:dyDescent="0.35">
      <c r="A382" s="1">
        <v>45304</v>
      </c>
      <c r="B382" t="s">
        <v>36</v>
      </c>
      <c r="C382" t="s">
        <v>37</v>
      </c>
      <c r="D382" t="s">
        <v>21</v>
      </c>
      <c r="E382" t="s">
        <v>22</v>
      </c>
      <c r="F382">
        <v>32</v>
      </c>
      <c r="G382">
        <v>33.1</v>
      </c>
      <c r="H382" t="s">
        <v>46</v>
      </c>
      <c r="I382" t="s">
        <v>47</v>
      </c>
    </row>
    <row r="383" spans="1:9" x14ac:dyDescent="0.35">
      <c r="A383" s="1">
        <v>45304</v>
      </c>
      <c r="B383" t="s">
        <v>36</v>
      </c>
      <c r="C383" t="s">
        <v>37</v>
      </c>
      <c r="D383" t="s">
        <v>24</v>
      </c>
      <c r="E383" t="s">
        <v>25</v>
      </c>
      <c r="F383">
        <v>50</v>
      </c>
      <c r="G383">
        <v>52.3</v>
      </c>
      <c r="H383" t="s">
        <v>46</v>
      </c>
      <c r="I383" t="s">
        <v>47</v>
      </c>
    </row>
    <row r="384" spans="1:9" x14ac:dyDescent="0.35">
      <c r="A384" s="1">
        <v>45304</v>
      </c>
      <c r="B384" t="s">
        <v>36</v>
      </c>
      <c r="C384" t="s">
        <v>37</v>
      </c>
      <c r="D384" t="s">
        <v>26</v>
      </c>
      <c r="E384" t="s">
        <v>27</v>
      </c>
      <c r="F384">
        <v>38</v>
      </c>
      <c r="G384">
        <v>45.7</v>
      </c>
      <c r="H384" t="s">
        <v>48</v>
      </c>
      <c r="I384" t="s">
        <v>50</v>
      </c>
    </row>
    <row r="385" spans="1:9" x14ac:dyDescent="0.35">
      <c r="A385" s="1">
        <v>45304</v>
      </c>
      <c r="B385" t="s">
        <v>36</v>
      </c>
      <c r="C385" t="s">
        <v>37</v>
      </c>
      <c r="D385" t="s">
        <v>28</v>
      </c>
      <c r="E385" t="s">
        <v>29</v>
      </c>
      <c r="F385">
        <v>32</v>
      </c>
      <c r="G385">
        <v>31.4</v>
      </c>
      <c r="H385" t="s">
        <v>46</v>
      </c>
      <c r="I385" t="s">
        <v>47</v>
      </c>
    </row>
    <row r="386" spans="1:9" x14ac:dyDescent="0.35">
      <c r="A386" s="1">
        <v>45304</v>
      </c>
      <c r="B386" t="s">
        <v>39</v>
      </c>
      <c r="C386" t="s">
        <v>40</v>
      </c>
      <c r="D386" t="s">
        <v>15</v>
      </c>
      <c r="E386" t="s">
        <v>16</v>
      </c>
      <c r="F386">
        <v>34</v>
      </c>
      <c r="G386">
        <v>34.5</v>
      </c>
      <c r="H386" t="s">
        <v>46</v>
      </c>
      <c r="I386" t="s">
        <v>47</v>
      </c>
    </row>
    <row r="387" spans="1:9" x14ac:dyDescent="0.35">
      <c r="A387" s="1">
        <v>45304</v>
      </c>
      <c r="B387" t="s">
        <v>39</v>
      </c>
      <c r="C387" t="s">
        <v>40</v>
      </c>
      <c r="D387" t="s">
        <v>18</v>
      </c>
      <c r="E387" t="s">
        <v>19</v>
      </c>
      <c r="F387">
        <v>38</v>
      </c>
      <c r="G387">
        <v>39.6</v>
      </c>
      <c r="H387" t="s">
        <v>46</v>
      </c>
      <c r="I387" t="s">
        <v>47</v>
      </c>
    </row>
    <row r="388" spans="1:9" x14ac:dyDescent="0.35">
      <c r="A388" s="1">
        <v>45304</v>
      </c>
      <c r="B388" t="s">
        <v>39</v>
      </c>
      <c r="C388" t="s">
        <v>40</v>
      </c>
      <c r="D388" t="s">
        <v>21</v>
      </c>
      <c r="E388" t="s">
        <v>22</v>
      </c>
      <c r="F388">
        <v>32</v>
      </c>
      <c r="G388">
        <v>34.799999999999997</v>
      </c>
      <c r="H388" t="s">
        <v>46</v>
      </c>
      <c r="I388" t="s">
        <v>47</v>
      </c>
    </row>
    <row r="389" spans="1:9" x14ac:dyDescent="0.35">
      <c r="A389" s="1">
        <v>45304</v>
      </c>
      <c r="B389" t="s">
        <v>39</v>
      </c>
      <c r="C389" t="s">
        <v>40</v>
      </c>
      <c r="D389" t="s">
        <v>24</v>
      </c>
      <c r="E389" t="s">
        <v>25</v>
      </c>
      <c r="F389">
        <v>50</v>
      </c>
      <c r="G389">
        <v>51.2</v>
      </c>
      <c r="H389" t="s">
        <v>46</v>
      </c>
      <c r="I389" t="s">
        <v>47</v>
      </c>
    </row>
    <row r="390" spans="1:9" x14ac:dyDescent="0.35">
      <c r="A390" s="1">
        <v>45304</v>
      </c>
      <c r="B390" t="s">
        <v>39</v>
      </c>
      <c r="C390" t="s">
        <v>40</v>
      </c>
      <c r="D390" t="s">
        <v>26</v>
      </c>
      <c r="E390" t="s">
        <v>27</v>
      </c>
      <c r="F390">
        <v>38</v>
      </c>
      <c r="G390">
        <v>40.1</v>
      </c>
      <c r="H390" t="s">
        <v>46</v>
      </c>
      <c r="I390" t="s">
        <v>47</v>
      </c>
    </row>
    <row r="391" spans="1:9" x14ac:dyDescent="0.35">
      <c r="A391" s="1">
        <v>45304</v>
      </c>
      <c r="B391" t="s">
        <v>39</v>
      </c>
      <c r="C391" t="s">
        <v>40</v>
      </c>
      <c r="D391" t="s">
        <v>28</v>
      </c>
      <c r="E391" t="s">
        <v>29</v>
      </c>
      <c r="F391">
        <v>32</v>
      </c>
      <c r="G391">
        <v>33.700000000000003</v>
      </c>
      <c r="H391" t="s">
        <v>46</v>
      </c>
      <c r="I391" t="s">
        <v>47</v>
      </c>
    </row>
    <row r="392" spans="1:9" x14ac:dyDescent="0.35">
      <c r="A392" s="1">
        <v>45305</v>
      </c>
      <c r="B392" t="s">
        <v>12</v>
      </c>
      <c r="C392" t="s">
        <v>13</v>
      </c>
      <c r="D392" t="s">
        <v>15</v>
      </c>
      <c r="E392" t="s">
        <v>16</v>
      </c>
      <c r="F392">
        <v>34</v>
      </c>
      <c r="G392">
        <v>34.700000000000003</v>
      </c>
      <c r="H392" t="s">
        <v>46</v>
      </c>
      <c r="I392" t="s">
        <v>47</v>
      </c>
    </row>
    <row r="393" spans="1:9" x14ac:dyDescent="0.35">
      <c r="A393" s="1">
        <v>45305</v>
      </c>
      <c r="B393" t="s">
        <v>12</v>
      </c>
      <c r="C393" t="s">
        <v>13</v>
      </c>
      <c r="D393" t="s">
        <v>18</v>
      </c>
      <c r="E393" t="s">
        <v>19</v>
      </c>
      <c r="F393">
        <v>38</v>
      </c>
      <c r="G393">
        <v>50.3</v>
      </c>
      <c r="H393" t="s">
        <v>48</v>
      </c>
      <c r="I393" t="s">
        <v>49</v>
      </c>
    </row>
    <row r="394" spans="1:9" x14ac:dyDescent="0.35">
      <c r="A394" s="1">
        <v>45305</v>
      </c>
      <c r="B394" t="s">
        <v>12</v>
      </c>
      <c r="C394" t="s">
        <v>13</v>
      </c>
      <c r="D394" t="s">
        <v>21</v>
      </c>
      <c r="E394" t="s">
        <v>22</v>
      </c>
      <c r="F394">
        <v>32</v>
      </c>
      <c r="G394">
        <v>33</v>
      </c>
      <c r="H394" t="s">
        <v>46</v>
      </c>
      <c r="I394" t="s">
        <v>47</v>
      </c>
    </row>
    <row r="395" spans="1:9" x14ac:dyDescent="0.35">
      <c r="A395" s="1">
        <v>45305</v>
      </c>
      <c r="B395" t="s">
        <v>12</v>
      </c>
      <c r="C395" t="s">
        <v>13</v>
      </c>
      <c r="D395" t="s">
        <v>24</v>
      </c>
      <c r="E395" t="s">
        <v>25</v>
      </c>
      <c r="F395">
        <v>50</v>
      </c>
      <c r="G395">
        <v>51.1</v>
      </c>
      <c r="H395" t="s">
        <v>46</v>
      </c>
      <c r="I395" t="s">
        <v>47</v>
      </c>
    </row>
    <row r="396" spans="1:9" x14ac:dyDescent="0.35">
      <c r="A396" s="1">
        <v>45305</v>
      </c>
      <c r="B396" t="s">
        <v>12</v>
      </c>
      <c r="C396" t="s">
        <v>13</v>
      </c>
      <c r="D396" t="s">
        <v>26</v>
      </c>
      <c r="E396" t="s">
        <v>27</v>
      </c>
      <c r="F396">
        <v>38</v>
      </c>
      <c r="G396">
        <v>40.700000000000003</v>
      </c>
      <c r="H396" t="s">
        <v>46</v>
      </c>
      <c r="I396" t="s">
        <v>47</v>
      </c>
    </row>
    <row r="397" spans="1:9" x14ac:dyDescent="0.35">
      <c r="A397" s="1">
        <v>45305</v>
      </c>
      <c r="B397" t="s">
        <v>12</v>
      </c>
      <c r="C397" t="s">
        <v>13</v>
      </c>
      <c r="D397" t="s">
        <v>28</v>
      </c>
      <c r="E397" t="s">
        <v>29</v>
      </c>
      <c r="F397">
        <v>32</v>
      </c>
      <c r="G397">
        <v>33.200000000000003</v>
      </c>
      <c r="H397" t="s">
        <v>46</v>
      </c>
      <c r="I397" t="s">
        <v>47</v>
      </c>
    </row>
    <row r="398" spans="1:9" x14ac:dyDescent="0.35">
      <c r="A398" s="1">
        <v>45305</v>
      </c>
      <c r="B398" t="s">
        <v>30</v>
      </c>
      <c r="C398" t="s">
        <v>31</v>
      </c>
      <c r="D398" t="s">
        <v>15</v>
      </c>
      <c r="E398" t="s">
        <v>16</v>
      </c>
      <c r="F398">
        <v>34</v>
      </c>
      <c r="G398">
        <v>36.4</v>
      </c>
      <c r="H398" t="s">
        <v>46</v>
      </c>
      <c r="I398" t="s">
        <v>47</v>
      </c>
    </row>
    <row r="399" spans="1:9" x14ac:dyDescent="0.35">
      <c r="A399" s="1">
        <v>45305</v>
      </c>
      <c r="B399" t="s">
        <v>30</v>
      </c>
      <c r="C399" t="s">
        <v>31</v>
      </c>
      <c r="D399" t="s">
        <v>18</v>
      </c>
      <c r="E399" t="s">
        <v>19</v>
      </c>
      <c r="F399">
        <v>38</v>
      </c>
      <c r="G399">
        <v>39.5</v>
      </c>
      <c r="H399" t="s">
        <v>46</v>
      </c>
      <c r="I399" t="s">
        <v>47</v>
      </c>
    </row>
    <row r="400" spans="1:9" x14ac:dyDescent="0.35">
      <c r="A400" s="1">
        <v>45305</v>
      </c>
      <c r="B400" t="s">
        <v>30</v>
      </c>
      <c r="C400" t="s">
        <v>31</v>
      </c>
      <c r="D400" t="s">
        <v>21</v>
      </c>
      <c r="E400" t="s">
        <v>22</v>
      </c>
      <c r="F400">
        <v>32</v>
      </c>
      <c r="G400">
        <v>32.299999999999997</v>
      </c>
      <c r="H400" t="s">
        <v>46</v>
      </c>
      <c r="I400" t="s">
        <v>47</v>
      </c>
    </row>
    <row r="401" spans="1:9" x14ac:dyDescent="0.35">
      <c r="A401" s="1">
        <v>45305</v>
      </c>
      <c r="B401" t="s">
        <v>30</v>
      </c>
      <c r="C401" t="s">
        <v>31</v>
      </c>
      <c r="D401" t="s">
        <v>24</v>
      </c>
      <c r="E401" t="s">
        <v>25</v>
      </c>
      <c r="F401">
        <v>50</v>
      </c>
      <c r="G401">
        <v>51.2</v>
      </c>
      <c r="H401" t="s">
        <v>46</v>
      </c>
      <c r="I401" t="s">
        <v>47</v>
      </c>
    </row>
    <row r="402" spans="1:9" x14ac:dyDescent="0.35">
      <c r="A402" s="1">
        <v>45305</v>
      </c>
      <c r="B402" t="s">
        <v>30</v>
      </c>
      <c r="C402" t="s">
        <v>31</v>
      </c>
      <c r="D402" t="s">
        <v>26</v>
      </c>
      <c r="E402" t="s">
        <v>27</v>
      </c>
      <c r="F402">
        <v>38</v>
      </c>
      <c r="G402">
        <v>39.200000000000003</v>
      </c>
      <c r="H402" t="s">
        <v>46</v>
      </c>
      <c r="I402" t="s">
        <v>47</v>
      </c>
    </row>
    <row r="403" spans="1:9" x14ac:dyDescent="0.35">
      <c r="A403" s="1">
        <v>45305</v>
      </c>
      <c r="B403" t="s">
        <v>30</v>
      </c>
      <c r="C403" t="s">
        <v>31</v>
      </c>
      <c r="D403" t="s">
        <v>28</v>
      </c>
      <c r="E403" t="s">
        <v>29</v>
      </c>
      <c r="F403">
        <v>32</v>
      </c>
      <c r="G403">
        <v>32.4</v>
      </c>
      <c r="H403" t="s">
        <v>46</v>
      </c>
      <c r="I403" t="s">
        <v>47</v>
      </c>
    </row>
    <row r="404" spans="1:9" x14ac:dyDescent="0.35">
      <c r="A404" s="1">
        <v>45305</v>
      </c>
      <c r="B404" t="s">
        <v>33</v>
      </c>
      <c r="C404" t="s">
        <v>34</v>
      </c>
      <c r="D404" t="s">
        <v>15</v>
      </c>
      <c r="E404" t="s">
        <v>16</v>
      </c>
      <c r="F404">
        <v>34</v>
      </c>
      <c r="G404">
        <v>36.799999999999997</v>
      </c>
      <c r="H404" t="s">
        <v>46</v>
      </c>
      <c r="I404" t="s">
        <v>47</v>
      </c>
    </row>
    <row r="405" spans="1:9" x14ac:dyDescent="0.35">
      <c r="A405" s="1">
        <v>45305</v>
      </c>
      <c r="B405" t="s">
        <v>33</v>
      </c>
      <c r="C405" t="s">
        <v>34</v>
      </c>
      <c r="D405" t="s">
        <v>18</v>
      </c>
      <c r="E405" t="s">
        <v>19</v>
      </c>
      <c r="F405">
        <v>38</v>
      </c>
      <c r="G405">
        <v>44.3</v>
      </c>
      <c r="H405" t="s">
        <v>48</v>
      </c>
      <c r="I405" t="s">
        <v>50</v>
      </c>
    </row>
    <row r="406" spans="1:9" x14ac:dyDescent="0.35">
      <c r="A406" s="1">
        <v>45305</v>
      </c>
      <c r="B406" t="s">
        <v>33</v>
      </c>
      <c r="C406" t="s">
        <v>34</v>
      </c>
      <c r="D406" t="s">
        <v>21</v>
      </c>
      <c r="E406" t="s">
        <v>22</v>
      </c>
      <c r="F406">
        <v>32</v>
      </c>
      <c r="G406">
        <v>31.1</v>
      </c>
      <c r="H406" t="s">
        <v>46</v>
      </c>
      <c r="I406" t="s">
        <v>47</v>
      </c>
    </row>
    <row r="407" spans="1:9" x14ac:dyDescent="0.35">
      <c r="A407" s="1">
        <v>45305</v>
      </c>
      <c r="B407" t="s">
        <v>33</v>
      </c>
      <c r="C407" t="s">
        <v>34</v>
      </c>
      <c r="D407" t="s">
        <v>24</v>
      </c>
      <c r="E407" t="s">
        <v>25</v>
      </c>
      <c r="F407">
        <v>50</v>
      </c>
      <c r="G407">
        <v>63.1</v>
      </c>
      <c r="H407" t="s">
        <v>48</v>
      </c>
      <c r="I407" t="s">
        <v>49</v>
      </c>
    </row>
    <row r="408" spans="1:9" x14ac:dyDescent="0.35">
      <c r="A408" s="1">
        <v>45305</v>
      </c>
      <c r="B408" t="s">
        <v>33</v>
      </c>
      <c r="C408" t="s">
        <v>34</v>
      </c>
      <c r="D408" t="s">
        <v>26</v>
      </c>
      <c r="E408" t="s">
        <v>27</v>
      </c>
      <c r="F408">
        <v>38</v>
      </c>
      <c r="G408">
        <v>51.9</v>
      </c>
      <c r="H408" t="s">
        <v>48</v>
      </c>
      <c r="I408" t="s">
        <v>49</v>
      </c>
    </row>
    <row r="409" spans="1:9" x14ac:dyDescent="0.35">
      <c r="A409" s="1">
        <v>45305</v>
      </c>
      <c r="B409" t="s">
        <v>33</v>
      </c>
      <c r="C409" t="s">
        <v>34</v>
      </c>
      <c r="D409" t="s">
        <v>28</v>
      </c>
      <c r="E409" t="s">
        <v>29</v>
      </c>
      <c r="F409">
        <v>32</v>
      </c>
      <c r="G409">
        <v>32.299999999999997</v>
      </c>
      <c r="H409" t="s">
        <v>46</v>
      </c>
      <c r="I409" t="s">
        <v>47</v>
      </c>
    </row>
    <row r="410" spans="1:9" x14ac:dyDescent="0.35">
      <c r="A410" s="1">
        <v>45305</v>
      </c>
      <c r="B410" t="s">
        <v>36</v>
      </c>
      <c r="C410" t="s">
        <v>37</v>
      </c>
      <c r="D410" t="s">
        <v>15</v>
      </c>
      <c r="E410" t="s">
        <v>16</v>
      </c>
      <c r="F410">
        <v>34</v>
      </c>
      <c r="G410">
        <v>36.799999999999997</v>
      </c>
      <c r="H410" t="s">
        <v>46</v>
      </c>
      <c r="I410" t="s">
        <v>47</v>
      </c>
    </row>
    <row r="411" spans="1:9" x14ac:dyDescent="0.35">
      <c r="A411" s="1">
        <v>45305</v>
      </c>
      <c r="B411" t="s">
        <v>36</v>
      </c>
      <c r="C411" t="s">
        <v>37</v>
      </c>
      <c r="D411" t="s">
        <v>18</v>
      </c>
      <c r="E411" t="s">
        <v>19</v>
      </c>
      <c r="F411">
        <v>38</v>
      </c>
      <c r="G411">
        <v>40.700000000000003</v>
      </c>
      <c r="H411" t="s">
        <v>46</v>
      </c>
      <c r="I411" t="s">
        <v>47</v>
      </c>
    </row>
    <row r="412" spans="1:9" x14ac:dyDescent="0.35">
      <c r="A412" s="1">
        <v>45305</v>
      </c>
      <c r="B412" t="s">
        <v>36</v>
      </c>
      <c r="C412" t="s">
        <v>37</v>
      </c>
      <c r="D412" t="s">
        <v>21</v>
      </c>
      <c r="E412" t="s">
        <v>22</v>
      </c>
      <c r="F412">
        <v>32</v>
      </c>
      <c r="G412">
        <v>33.299999999999997</v>
      </c>
      <c r="H412" t="s">
        <v>46</v>
      </c>
      <c r="I412" t="s">
        <v>47</v>
      </c>
    </row>
    <row r="413" spans="1:9" x14ac:dyDescent="0.35">
      <c r="A413" s="1">
        <v>45305</v>
      </c>
      <c r="B413" t="s">
        <v>36</v>
      </c>
      <c r="C413" t="s">
        <v>37</v>
      </c>
      <c r="D413" t="s">
        <v>24</v>
      </c>
      <c r="E413" t="s">
        <v>25</v>
      </c>
      <c r="F413">
        <v>50</v>
      </c>
      <c r="G413">
        <v>49.4</v>
      </c>
      <c r="H413" t="s">
        <v>46</v>
      </c>
      <c r="I413" t="s">
        <v>47</v>
      </c>
    </row>
    <row r="414" spans="1:9" x14ac:dyDescent="0.35">
      <c r="A414" s="1">
        <v>45305</v>
      </c>
      <c r="B414" t="s">
        <v>36</v>
      </c>
      <c r="C414" t="s">
        <v>37</v>
      </c>
      <c r="D414" t="s">
        <v>26</v>
      </c>
      <c r="E414" t="s">
        <v>27</v>
      </c>
      <c r="F414">
        <v>38</v>
      </c>
      <c r="G414">
        <v>37.6</v>
      </c>
      <c r="H414" t="s">
        <v>46</v>
      </c>
      <c r="I414" t="s">
        <v>47</v>
      </c>
    </row>
    <row r="415" spans="1:9" x14ac:dyDescent="0.35">
      <c r="A415" s="1">
        <v>45305</v>
      </c>
      <c r="B415" t="s">
        <v>36</v>
      </c>
      <c r="C415" t="s">
        <v>37</v>
      </c>
      <c r="D415" t="s">
        <v>28</v>
      </c>
      <c r="E415" t="s">
        <v>29</v>
      </c>
      <c r="F415">
        <v>32</v>
      </c>
      <c r="G415">
        <v>34.6</v>
      </c>
      <c r="H415" t="s">
        <v>46</v>
      </c>
      <c r="I415" t="s">
        <v>47</v>
      </c>
    </row>
    <row r="416" spans="1:9" x14ac:dyDescent="0.35">
      <c r="A416" s="1">
        <v>45305</v>
      </c>
      <c r="B416" t="s">
        <v>39</v>
      </c>
      <c r="C416" t="s">
        <v>40</v>
      </c>
      <c r="D416" t="s">
        <v>15</v>
      </c>
      <c r="E416" t="s">
        <v>16</v>
      </c>
      <c r="F416">
        <v>34</v>
      </c>
      <c r="G416">
        <v>34</v>
      </c>
      <c r="H416" t="s">
        <v>46</v>
      </c>
      <c r="I416" t="s">
        <v>47</v>
      </c>
    </row>
    <row r="417" spans="1:9" x14ac:dyDescent="0.35">
      <c r="A417" s="1">
        <v>45305</v>
      </c>
      <c r="B417" t="s">
        <v>39</v>
      </c>
      <c r="C417" t="s">
        <v>40</v>
      </c>
      <c r="D417" t="s">
        <v>18</v>
      </c>
      <c r="E417" t="s">
        <v>19</v>
      </c>
      <c r="F417">
        <v>38</v>
      </c>
      <c r="G417">
        <v>39.299999999999997</v>
      </c>
      <c r="H417" t="s">
        <v>46</v>
      </c>
      <c r="I417" t="s">
        <v>47</v>
      </c>
    </row>
    <row r="418" spans="1:9" x14ac:dyDescent="0.35">
      <c r="A418" s="1">
        <v>45305</v>
      </c>
      <c r="B418" t="s">
        <v>39</v>
      </c>
      <c r="C418" t="s">
        <v>40</v>
      </c>
      <c r="D418" t="s">
        <v>21</v>
      </c>
      <c r="E418" t="s">
        <v>22</v>
      </c>
      <c r="F418">
        <v>32</v>
      </c>
      <c r="G418">
        <v>31.9</v>
      </c>
      <c r="H418" t="s">
        <v>46</v>
      </c>
      <c r="I418" t="s">
        <v>47</v>
      </c>
    </row>
    <row r="419" spans="1:9" x14ac:dyDescent="0.35">
      <c r="A419" s="1">
        <v>45305</v>
      </c>
      <c r="B419" t="s">
        <v>39</v>
      </c>
      <c r="C419" t="s">
        <v>40</v>
      </c>
      <c r="D419" t="s">
        <v>24</v>
      </c>
      <c r="E419" t="s">
        <v>25</v>
      </c>
      <c r="F419">
        <v>50</v>
      </c>
      <c r="G419">
        <v>58.6</v>
      </c>
      <c r="H419" t="s">
        <v>48</v>
      </c>
      <c r="I419" t="s">
        <v>50</v>
      </c>
    </row>
    <row r="420" spans="1:9" x14ac:dyDescent="0.35">
      <c r="A420" s="1">
        <v>45305</v>
      </c>
      <c r="B420" t="s">
        <v>39</v>
      </c>
      <c r="C420" t="s">
        <v>40</v>
      </c>
      <c r="D420" t="s">
        <v>26</v>
      </c>
      <c r="E420" t="s">
        <v>27</v>
      </c>
      <c r="F420">
        <v>38</v>
      </c>
      <c r="G420">
        <v>39</v>
      </c>
      <c r="H420" t="s">
        <v>46</v>
      </c>
      <c r="I420" t="s">
        <v>47</v>
      </c>
    </row>
    <row r="421" spans="1:9" x14ac:dyDescent="0.35">
      <c r="A421" s="1">
        <v>45305</v>
      </c>
      <c r="B421" t="s">
        <v>39</v>
      </c>
      <c r="C421" t="s">
        <v>40</v>
      </c>
      <c r="D421" t="s">
        <v>28</v>
      </c>
      <c r="E421" t="s">
        <v>29</v>
      </c>
      <c r="F421">
        <v>32</v>
      </c>
      <c r="G421">
        <v>33.799999999999997</v>
      </c>
      <c r="H421" t="s">
        <v>46</v>
      </c>
      <c r="I421" t="s">
        <v>47</v>
      </c>
    </row>
    <row r="422" spans="1:9" x14ac:dyDescent="0.35">
      <c r="A422" s="1">
        <v>45306</v>
      </c>
      <c r="B422" t="s">
        <v>12</v>
      </c>
      <c r="C422" t="s">
        <v>13</v>
      </c>
      <c r="D422" t="s">
        <v>15</v>
      </c>
      <c r="E422" t="s">
        <v>16</v>
      </c>
      <c r="F422">
        <v>34</v>
      </c>
      <c r="G422">
        <v>33.4</v>
      </c>
      <c r="H422" t="s">
        <v>46</v>
      </c>
      <c r="I422" t="s">
        <v>47</v>
      </c>
    </row>
    <row r="423" spans="1:9" x14ac:dyDescent="0.35">
      <c r="A423" s="1">
        <v>45306</v>
      </c>
      <c r="B423" t="s">
        <v>12</v>
      </c>
      <c r="C423" t="s">
        <v>13</v>
      </c>
      <c r="D423" t="s">
        <v>18</v>
      </c>
      <c r="E423" t="s">
        <v>19</v>
      </c>
      <c r="F423">
        <v>38</v>
      </c>
      <c r="G423">
        <v>37.1</v>
      </c>
      <c r="H423" t="s">
        <v>46</v>
      </c>
      <c r="I423" t="s">
        <v>47</v>
      </c>
    </row>
    <row r="424" spans="1:9" x14ac:dyDescent="0.35">
      <c r="A424" s="1">
        <v>45306</v>
      </c>
      <c r="B424" t="s">
        <v>12</v>
      </c>
      <c r="C424" t="s">
        <v>13</v>
      </c>
      <c r="D424" t="s">
        <v>21</v>
      </c>
      <c r="E424" t="s">
        <v>22</v>
      </c>
      <c r="F424">
        <v>32</v>
      </c>
      <c r="G424">
        <v>32.5</v>
      </c>
      <c r="H424" t="s">
        <v>46</v>
      </c>
      <c r="I424" t="s">
        <v>47</v>
      </c>
    </row>
    <row r="425" spans="1:9" x14ac:dyDescent="0.35">
      <c r="A425" s="1">
        <v>45306</v>
      </c>
      <c r="B425" t="s">
        <v>12</v>
      </c>
      <c r="C425" t="s">
        <v>13</v>
      </c>
      <c r="D425" t="s">
        <v>24</v>
      </c>
      <c r="E425" t="s">
        <v>25</v>
      </c>
      <c r="F425">
        <v>50</v>
      </c>
      <c r="G425">
        <v>52.7</v>
      </c>
      <c r="H425" t="s">
        <v>46</v>
      </c>
      <c r="I425" t="s">
        <v>47</v>
      </c>
    </row>
    <row r="426" spans="1:9" x14ac:dyDescent="0.35">
      <c r="A426" s="1">
        <v>45306</v>
      </c>
      <c r="B426" t="s">
        <v>12</v>
      </c>
      <c r="C426" t="s">
        <v>13</v>
      </c>
      <c r="D426" t="s">
        <v>26</v>
      </c>
      <c r="E426" t="s">
        <v>27</v>
      </c>
      <c r="F426">
        <v>38</v>
      </c>
      <c r="G426">
        <v>40.5</v>
      </c>
      <c r="H426" t="s">
        <v>46</v>
      </c>
      <c r="I426" t="s">
        <v>47</v>
      </c>
    </row>
    <row r="427" spans="1:9" x14ac:dyDescent="0.35">
      <c r="A427" s="1">
        <v>45306</v>
      </c>
      <c r="B427" t="s">
        <v>12</v>
      </c>
      <c r="C427" t="s">
        <v>13</v>
      </c>
      <c r="D427" t="s">
        <v>28</v>
      </c>
      <c r="E427" t="s">
        <v>29</v>
      </c>
      <c r="F427">
        <v>32</v>
      </c>
      <c r="G427">
        <v>34.700000000000003</v>
      </c>
      <c r="H427" t="s">
        <v>46</v>
      </c>
      <c r="I427" t="s">
        <v>47</v>
      </c>
    </row>
    <row r="428" spans="1:9" x14ac:dyDescent="0.35">
      <c r="A428" s="1">
        <v>45306</v>
      </c>
      <c r="B428" t="s">
        <v>30</v>
      </c>
      <c r="C428" t="s">
        <v>31</v>
      </c>
      <c r="D428" t="s">
        <v>15</v>
      </c>
      <c r="E428" t="s">
        <v>16</v>
      </c>
      <c r="F428">
        <v>34</v>
      </c>
      <c r="G428">
        <v>46.2</v>
      </c>
      <c r="H428" t="s">
        <v>48</v>
      </c>
      <c r="I428" t="s">
        <v>49</v>
      </c>
    </row>
    <row r="429" spans="1:9" x14ac:dyDescent="0.35">
      <c r="A429" s="1">
        <v>45306</v>
      </c>
      <c r="B429" t="s">
        <v>30</v>
      </c>
      <c r="C429" t="s">
        <v>31</v>
      </c>
      <c r="D429" t="s">
        <v>18</v>
      </c>
      <c r="E429" t="s">
        <v>19</v>
      </c>
      <c r="F429">
        <v>38</v>
      </c>
      <c r="G429">
        <v>40.4</v>
      </c>
      <c r="H429" t="s">
        <v>46</v>
      </c>
      <c r="I429" t="s">
        <v>47</v>
      </c>
    </row>
    <row r="430" spans="1:9" x14ac:dyDescent="0.35">
      <c r="A430" s="1">
        <v>45306</v>
      </c>
      <c r="B430" t="s">
        <v>30</v>
      </c>
      <c r="C430" t="s">
        <v>31</v>
      </c>
      <c r="D430" t="s">
        <v>21</v>
      </c>
      <c r="E430" t="s">
        <v>22</v>
      </c>
      <c r="F430">
        <v>32</v>
      </c>
      <c r="G430">
        <v>33.5</v>
      </c>
      <c r="H430" t="s">
        <v>46</v>
      </c>
      <c r="I430" t="s">
        <v>47</v>
      </c>
    </row>
    <row r="431" spans="1:9" x14ac:dyDescent="0.35">
      <c r="A431" s="1">
        <v>45306</v>
      </c>
      <c r="B431" t="s">
        <v>30</v>
      </c>
      <c r="C431" t="s">
        <v>31</v>
      </c>
      <c r="D431" t="s">
        <v>24</v>
      </c>
      <c r="E431" t="s">
        <v>25</v>
      </c>
      <c r="F431">
        <v>50</v>
      </c>
      <c r="G431">
        <v>49.2</v>
      </c>
      <c r="H431" t="s">
        <v>46</v>
      </c>
      <c r="I431" t="s">
        <v>47</v>
      </c>
    </row>
    <row r="432" spans="1:9" x14ac:dyDescent="0.35">
      <c r="A432" s="1">
        <v>45306</v>
      </c>
      <c r="B432" t="s">
        <v>30</v>
      </c>
      <c r="C432" t="s">
        <v>31</v>
      </c>
      <c r="D432" t="s">
        <v>26</v>
      </c>
      <c r="E432" t="s">
        <v>27</v>
      </c>
      <c r="F432">
        <v>38</v>
      </c>
      <c r="G432">
        <v>38.299999999999997</v>
      </c>
      <c r="H432" t="s">
        <v>46</v>
      </c>
      <c r="I432" t="s">
        <v>47</v>
      </c>
    </row>
    <row r="433" spans="1:9" x14ac:dyDescent="0.35">
      <c r="A433" s="1">
        <v>45306</v>
      </c>
      <c r="B433" t="s">
        <v>30</v>
      </c>
      <c r="C433" t="s">
        <v>31</v>
      </c>
      <c r="D433" t="s">
        <v>28</v>
      </c>
      <c r="E433" t="s">
        <v>29</v>
      </c>
      <c r="F433">
        <v>32</v>
      </c>
      <c r="G433">
        <v>32.299999999999997</v>
      </c>
      <c r="H433" t="s">
        <v>46</v>
      </c>
      <c r="I433" t="s">
        <v>47</v>
      </c>
    </row>
    <row r="434" spans="1:9" x14ac:dyDescent="0.35">
      <c r="A434" s="1">
        <v>45306</v>
      </c>
      <c r="B434" t="s">
        <v>33</v>
      </c>
      <c r="C434" t="s">
        <v>34</v>
      </c>
      <c r="D434" t="s">
        <v>15</v>
      </c>
      <c r="E434" t="s">
        <v>16</v>
      </c>
      <c r="F434">
        <v>34</v>
      </c>
      <c r="G434">
        <v>33.6</v>
      </c>
      <c r="H434" t="s">
        <v>46</v>
      </c>
      <c r="I434" t="s">
        <v>47</v>
      </c>
    </row>
    <row r="435" spans="1:9" x14ac:dyDescent="0.35">
      <c r="A435" s="1">
        <v>45306</v>
      </c>
      <c r="B435" t="s">
        <v>33</v>
      </c>
      <c r="C435" t="s">
        <v>34</v>
      </c>
      <c r="D435" t="s">
        <v>18</v>
      </c>
      <c r="E435" t="s">
        <v>19</v>
      </c>
      <c r="F435">
        <v>38</v>
      </c>
      <c r="G435">
        <v>41</v>
      </c>
      <c r="H435" t="s">
        <v>46</v>
      </c>
      <c r="I435" t="s">
        <v>47</v>
      </c>
    </row>
    <row r="436" spans="1:9" x14ac:dyDescent="0.35">
      <c r="A436" s="1">
        <v>45306</v>
      </c>
      <c r="B436" t="s">
        <v>33</v>
      </c>
      <c r="C436" t="s">
        <v>34</v>
      </c>
      <c r="D436" t="s">
        <v>21</v>
      </c>
      <c r="E436" t="s">
        <v>22</v>
      </c>
      <c r="F436">
        <v>32</v>
      </c>
      <c r="G436">
        <v>34</v>
      </c>
      <c r="H436" t="s">
        <v>46</v>
      </c>
      <c r="I436" t="s">
        <v>47</v>
      </c>
    </row>
    <row r="437" spans="1:9" x14ac:dyDescent="0.35">
      <c r="A437" s="1">
        <v>45306</v>
      </c>
      <c r="B437" t="s">
        <v>33</v>
      </c>
      <c r="C437" t="s">
        <v>34</v>
      </c>
      <c r="D437" t="s">
        <v>24</v>
      </c>
      <c r="E437" t="s">
        <v>25</v>
      </c>
      <c r="F437">
        <v>50</v>
      </c>
      <c r="G437">
        <v>49.4</v>
      </c>
      <c r="H437" t="s">
        <v>46</v>
      </c>
      <c r="I437" t="s">
        <v>47</v>
      </c>
    </row>
    <row r="438" spans="1:9" x14ac:dyDescent="0.35">
      <c r="A438" s="1">
        <v>45306</v>
      </c>
      <c r="B438" t="s">
        <v>33</v>
      </c>
      <c r="C438" t="s">
        <v>34</v>
      </c>
      <c r="D438" t="s">
        <v>26</v>
      </c>
      <c r="E438" t="s">
        <v>27</v>
      </c>
      <c r="F438">
        <v>38</v>
      </c>
      <c r="G438">
        <v>40.1</v>
      </c>
      <c r="H438" t="s">
        <v>46</v>
      </c>
      <c r="I438" t="s">
        <v>47</v>
      </c>
    </row>
    <row r="439" spans="1:9" x14ac:dyDescent="0.35">
      <c r="A439" s="1">
        <v>45306</v>
      </c>
      <c r="B439" t="s">
        <v>33</v>
      </c>
      <c r="C439" t="s">
        <v>34</v>
      </c>
      <c r="D439" t="s">
        <v>28</v>
      </c>
      <c r="E439" t="s">
        <v>29</v>
      </c>
      <c r="F439">
        <v>32</v>
      </c>
      <c r="G439">
        <v>40.700000000000003</v>
      </c>
      <c r="H439" t="s">
        <v>48</v>
      </c>
      <c r="I439" t="s">
        <v>50</v>
      </c>
    </row>
    <row r="440" spans="1:9" x14ac:dyDescent="0.35">
      <c r="A440" s="1">
        <v>45306</v>
      </c>
      <c r="B440" t="s">
        <v>36</v>
      </c>
      <c r="C440" t="s">
        <v>37</v>
      </c>
      <c r="D440" t="s">
        <v>15</v>
      </c>
      <c r="E440" t="s">
        <v>16</v>
      </c>
      <c r="F440">
        <v>34</v>
      </c>
      <c r="G440">
        <v>36</v>
      </c>
      <c r="H440" t="s">
        <v>46</v>
      </c>
      <c r="I440" t="s">
        <v>47</v>
      </c>
    </row>
    <row r="441" spans="1:9" x14ac:dyDescent="0.35">
      <c r="A441" s="1">
        <v>45306</v>
      </c>
      <c r="B441" t="s">
        <v>36</v>
      </c>
      <c r="C441" t="s">
        <v>37</v>
      </c>
      <c r="D441" t="s">
        <v>18</v>
      </c>
      <c r="E441" t="s">
        <v>19</v>
      </c>
      <c r="F441">
        <v>38</v>
      </c>
      <c r="G441">
        <v>38.1</v>
      </c>
      <c r="H441" t="s">
        <v>46</v>
      </c>
      <c r="I441" t="s">
        <v>47</v>
      </c>
    </row>
    <row r="442" spans="1:9" x14ac:dyDescent="0.35">
      <c r="A442" s="1">
        <v>45306</v>
      </c>
      <c r="B442" t="s">
        <v>36</v>
      </c>
      <c r="C442" t="s">
        <v>37</v>
      </c>
      <c r="D442" t="s">
        <v>21</v>
      </c>
      <c r="E442" t="s">
        <v>22</v>
      </c>
      <c r="F442">
        <v>32</v>
      </c>
      <c r="G442">
        <v>32.700000000000003</v>
      </c>
      <c r="H442" t="s">
        <v>46</v>
      </c>
      <c r="I442" t="s">
        <v>47</v>
      </c>
    </row>
    <row r="443" spans="1:9" x14ac:dyDescent="0.35">
      <c r="A443" s="1">
        <v>45306</v>
      </c>
      <c r="B443" t="s">
        <v>36</v>
      </c>
      <c r="C443" t="s">
        <v>37</v>
      </c>
      <c r="D443" t="s">
        <v>24</v>
      </c>
      <c r="E443" t="s">
        <v>25</v>
      </c>
      <c r="F443">
        <v>50</v>
      </c>
      <c r="G443">
        <v>52</v>
      </c>
      <c r="H443" t="s">
        <v>46</v>
      </c>
      <c r="I443" t="s">
        <v>47</v>
      </c>
    </row>
    <row r="444" spans="1:9" x14ac:dyDescent="0.35">
      <c r="A444" s="1">
        <v>45306</v>
      </c>
      <c r="B444" t="s">
        <v>36</v>
      </c>
      <c r="C444" t="s">
        <v>37</v>
      </c>
      <c r="D444" t="s">
        <v>26</v>
      </c>
      <c r="E444" t="s">
        <v>27</v>
      </c>
      <c r="F444">
        <v>38</v>
      </c>
      <c r="G444">
        <v>37.799999999999997</v>
      </c>
      <c r="H444" t="s">
        <v>46</v>
      </c>
      <c r="I444" t="s">
        <v>47</v>
      </c>
    </row>
    <row r="445" spans="1:9" x14ac:dyDescent="0.35">
      <c r="A445" s="1">
        <v>45306</v>
      </c>
      <c r="B445" t="s">
        <v>36</v>
      </c>
      <c r="C445" t="s">
        <v>37</v>
      </c>
      <c r="D445" t="s">
        <v>28</v>
      </c>
      <c r="E445" t="s">
        <v>29</v>
      </c>
      <c r="F445">
        <v>32</v>
      </c>
      <c r="G445">
        <v>33.299999999999997</v>
      </c>
      <c r="H445" t="s">
        <v>46</v>
      </c>
      <c r="I445" t="s">
        <v>47</v>
      </c>
    </row>
    <row r="446" spans="1:9" x14ac:dyDescent="0.35">
      <c r="A446" s="1">
        <v>45306</v>
      </c>
      <c r="B446" t="s">
        <v>39</v>
      </c>
      <c r="C446" t="s">
        <v>40</v>
      </c>
      <c r="D446" t="s">
        <v>15</v>
      </c>
      <c r="E446" t="s">
        <v>16</v>
      </c>
      <c r="F446">
        <v>34</v>
      </c>
      <c r="G446">
        <v>37</v>
      </c>
      <c r="H446" t="s">
        <v>46</v>
      </c>
      <c r="I446" t="s">
        <v>47</v>
      </c>
    </row>
    <row r="447" spans="1:9" x14ac:dyDescent="0.35">
      <c r="A447" s="1">
        <v>45306</v>
      </c>
      <c r="B447" t="s">
        <v>39</v>
      </c>
      <c r="C447" t="s">
        <v>40</v>
      </c>
      <c r="D447" t="s">
        <v>18</v>
      </c>
      <c r="E447" t="s">
        <v>19</v>
      </c>
      <c r="F447">
        <v>38</v>
      </c>
      <c r="G447">
        <v>38</v>
      </c>
      <c r="H447" t="s">
        <v>46</v>
      </c>
      <c r="I447" t="s">
        <v>47</v>
      </c>
    </row>
    <row r="448" spans="1:9" x14ac:dyDescent="0.35">
      <c r="A448" s="1">
        <v>45306</v>
      </c>
      <c r="B448" t="s">
        <v>39</v>
      </c>
      <c r="C448" t="s">
        <v>40</v>
      </c>
      <c r="D448" t="s">
        <v>21</v>
      </c>
      <c r="E448" t="s">
        <v>22</v>
      </c>
      <c r="F448">
        <v>32</v>
      </c>
      <c r="G448">
        <v>32.700000000000003</v>
      </c>
      <c r="H448" t="s">
        <v>46</v>
      </c>
      <c r="I448" t="s">
        <v>47</v>
      </c>
    </row>
    <row r="449" spans="1:9" x14ac:dyDescent="0.35">
      <c r="A449" s="1">
        <v>45306</v>
      </c>
      <c r="B449" t="s">
        <v>39</v>
      </c>
      <c r="C449" t="s">
        <v>40</v>
      </c>
      <c r="D449" t="s">
        <v>24</v>
      </c>
      <c r="E449" t="s">
        <v>25</v>
      </c>
      <c r="F449">
        <v>50</v>
      </c>
      <c r="G449">
        <v>51.3</v>
      </c>
      <c r="H449" t="s">
        <v>46</v>
      </c>
      <c r="I449" t="s">
        <v>47</v>
      </c>
    </row>
    <row r="450" spans="1:9" x14ac:dyDescent="0.35">
      <c r="A450" s="1">
        <v>45306</v>
      </c>
      <c r="B450" t="s">
        <v>39</v>
      </c>
      <c r="C450" t="s">
        <v>40</v>
      </c>
      <c r="D450" t="s">
        <v>26</v>
      </c>
      <c r="E450" t="s">
        <v>27</v>
      </c>
      <c r="F450">
        <v>38</v>
      </c>
      <c r="G450">
        <v>47.3</v>
      </c>
      <c r="H450" t="s">
        <v>48</v>
      </c>
      <c r="I450" t="s">
        <v>50</v>
      </c>
    </row>
    <row r="451" spans="1:9" x14ac:dyDescent="0.35">
      <c r="A451" s="1">
        <v>45306</v>
      </c>
      <c r="B451" t="s">
        <v>39</v>
      </c>
      <c r="C451" t="s">
        <v>40</v>
      </c>
      <c r="D451" t="s">
        <v>28</v>
      </c>
      <c r="E451" t="s">
        <v>29</v>
      </c>
      <c r="F451">
        <v>32</v>
      </c>
      <c r="G451">
        <v>31.8</v>
      </c>
      <c r="H451" t="s">
        <v>46</v>
      </c>
      <c r="I451" t="s">
        <v>47</v>
      </c>
    </row>
    <row r="452" spans="1:9" x14ac:dyDescent="0.35">
      <c r="A452" s="1">
        <v>45307</v>
      </c>
      <c r="B452" t="s">
        <v>12</v>
      </c>
      <c r="C452" t="s">
        <v>13</v>
      </c>
      <c r="D452" t="s">
        <v>15</v>
      </c>
      <c r="E452" t="s">
        <v>16</v>
      </c>
      <c r="F452">
        <v>34</v>
      </c>
      <c r="G452">
        <v>35.6</v>
      </c>
      <c r="H452" t="s">
        <v>46</v>
      </c>
      <c r="I452" t="s">
        <v>47</v>
      </c>
    </row>
    <row r="453" spans="1:9" x14ac:dyDescent="0.35">
      <c r="A453" s="1">
        <v>45307</v>
      </c>
      <c r="B453" t="s">
        <v>12</v>
      </c>
      <c r="C453" t="s">
        <v>13</v>
      </c>
      <c r="D453" t="s">
        <v>18</v>
      </c>
      <c r="E453" t="s">
        <v>19</v>
      </c>
      <c r="F453">
        <v>38</v>
      </c>
      <c r="G453">
        <v>37.700000000000003</v>
      </c>
      <c r="H453" t="s">
        <v>46</v>
      </c>
      <c r="I453" t="s">
        <v>47</v>
      </c>
    </row>
    <row r="454" spans="1:9" x14ac:dyDescent="0.35">
      <c r="A454" s="1">
        <v>45307</v>
      </c>
      <c r="B454" t="s">
        <v>12</v>
      </c>
      <c r="C454" t="s">
        <v>13</v>
      </c>
      <c r="D454" t="s">
        <v>21</v>
      </c>
      <c r="E454" t="s">
        <v>22</v>
      </c>
      <c r="F454">
        <v>32</v>
      </c>
      <c r="G454">
        <v>34.299999999999997</v>
      </c>
      <c r="H454" t="s">
        <v>46</v>
      </c>
      <c r="I454" t="s">
        <v>47</v>
      </c>
    </row>
    <row r="455" spans="1:9" x14ac:dyDescent="0.35">
      <c r="A455" s="1">
        <v>45307</v>
      </c>
      <c r="B455" t="s">
        <v>12</v>
      </c>
      <c r="C455" t="s">
        <v>13</v>
      </c>
      <c r="D455" t="s">
        <v>24</v>
      </c>
      <c r="E455" t="s">
        <v>25</v>
      </c>
      <c r="F455">
        <v>50</v>
      </c>
      <c r="G455">
        <v>51.5</v>
      </c>
      <c r="H455" t="s">
        <v>46</v>
      </c>
      <c r="I455" t="s">
        <v>47</v>
      </c>
    </row>
    <row r="456" spans="1:9" x14ac:dyDescent="0.35">
      <c r="A456" s="1">
        <v>45307</v>
      </c>
      <c r="B456" t="s">
        <v>12</v>
      </c>
      <c r="C456" t="s">
        <v>13</v>
      </c>
      <c r="D456" t="s">
        <v>26</v>
      </c>
      <c r="E456" t="s">
        <v>27</v>
      </c>
      <c r="F456">
        <v>38</v>
      </c>
      <c r="G456">
        <v>40.700000000000003</v>
      </c>
      <c r="H456" t="s">
        <v>46</v>
      </c>
      <c r="I456" t="s">
        <v>47</v>
      </c>
    </row>
    <row r="457" spans="1:9" x14ac:dyDescent="0.35">
      <c r="A457" s="1">
        <v>45307</v>
      </c>
      <c r="B457" t="s">
        <v>12</v>
      </c>
      <c r="C457" t="s">
        <v>13</v>
      </c>
      <c r="D457" t="s">
        <v>28</v>
      </c>
      <c r="E457" t="s">
        <v>29</v>
      </c>
      <c r="F457">
        <v>32</v>
      </c>
      <c r="G457">
        <v>33.700000000000003</v>
      </c>
      <c r="H457" t="s">
        <v>46</v>
      </c>
      <c r="I457" t="s">
        <v>47</v>
      </c>
    </row>
    <row r="458" spans="1:9" x14ac:dyDescent="0.35">
      <c r="A458" s="1">
        <v>45307</v>
      </c>
      <c r="B458" t="s">
        <v>30</v>
      </c>
      <c r="C458" t="s">
        <v>31</v>
      </c>
      <c r="D458" t="s">
        <v>15</v>
      </c>
      <c r="E458" t="s">
        <v>16</v>
      </c>
      <c r="F458">
        <v>34</v>
      </c>
      <c r="G458">
        <v>45.8</v>
      </c>
      <c r="H458" t="s">
        <v>48</v>
      </c>
      <c r="I458" t="s">
        <v>49</v>
      </c>
    </row>
    <row r="459" spans="1:9" x14ac:dyDescent="0.35">
      <c r="A459" s="1">
        <v>45307</v>
      </c>
      <c r="B459" t="s">
        <v>30</v>
      </c>
      <c r="C459" t="s">
        <v>31</v>
      </c>
      <c r="D459" t="s">
        <v>18</v>
      </c>
      <c r="E459" t="s">
        <v>19</v>
      </c>
      <c r="F459">
        <v>38</v>
      </c>
      <c r="G459">
        <v>49.9</v>
      </c>
      <c r="H459" t="s">
        <v>48</v>
      </c>
      <c r="I459" t="s">
        <v>49</v>
      </c>
    </row>
    <row r="460" spans="1:9" x14ac:dyDescent="0.35">
      <c r="A460" s="1">
        <v>45307</v>
      </c>
      <c r="B460" t="s">
        <v>30</v>
      </c>
      <c r="C460" t="s">
        <v>31</v>
      </c>
      <c r="D460" t="s">
        <v>21</v>
      </c>
      <c r="E460" t="s">
        <v>22</v>
      </c>
      <c r="F460">
        <v>32</v>
      </c>
      <c r="G460">
        <v>33.5</v>
      </c>
      <c r="H460" t="s">
        <v>46</v>
      </c>
      <c r="I460" t="s">
        <v>47</v>
      </c>
    </row>
    <row r="461" spans="1:9" x14ac:dyDescent="0.35">
      <c r="A461" s="1">
        <v>45307</v>
      </c>
      <c r="B461" t="s">
        <v>30</v>
      </c>
      <c r="C461" t="s">
        <v>31</v>
      </c>
      <c r="D461" t="s">
        <v>24</v>
      </c>
      <c r="E461" t="s">
        <v>25</v>
      </c>
      <c r="F461">
        <v>50</v>
      </c>
      <c r="G461">
        <v>62.7</v>
      </c>
      <c r="H461" t="s">
        <v>48</v>
      </c>
      <c r="I461" t="s">
        <v>49</v>
      </c>
    </row>
    <row r="462" spans="1:9" x14ac:dyDescent="0.35">
      <c r="A462" s="1">
        <v>45307</v>
      </c>
      <c r="B462" t="s">
        <v>30</v>
      </c>
      <c r="C462" t="s">
        <v>31</v>
      </c>
      <c r="D462" t="s">
        <v>26</v>
      </c>
      <c r="E462" t="s">
        <v>27</v>
      </c>
      <c r="F462">
        <v>38</v>
      </c>
      <c r="G462">
        <v>38.4</v>
      </c>
      <c r="H462" t="s">
        <v>46</v>
      </c>
      <c r="I462" t="s">
        <v>47</v>
      </c>
    </row>
    <row r="463" spans="1:9" x14ac:dyDescent="0.35">
      <c r="A463" s="1">
        <v>45307</v>
      </c>
      <c r="B463" t="s">
        <v>30</v>
      </c>
      <c r="C463" t="s">
        <v>31</v>
      </c>
      <c r="D463" t="s">
        <v>28</v>
      </c>
      <c r="E463" t="s">
        <v>29</v>
      </c>
      <c r="F463">
        <v>32</v>
      </c>
      <c r="G463">
        <v>32.200000000000003</v>
      </c>
      <c r="H463" t="s">
        <v>46</v>
      </c>
      <c r="I463" t="s">
        <v>47</v>
      </c>
    </row>
    <row r="464" spans="1:9" x14ac:dyDescent="0.35">
      <c r="A464" s="1">
        <v>45307</v>
      </c>
      <c r="B464" t="s">
        <v>33</v>
      </c>
      <c r="C464" t="s">
        <v>34</v>
      </c>
      <c r="D464" t="s">
        <v>15</v>
      </c>
      <c r="E464" t="s">
        <v>16</v>
      </c>
      <c r="F464">
        <v>34</v>
      </c>
      <c r="G464">
        <v>34.299999999999997</v>
      </c>
      <c r="H464" t="s">
        <v>46</v>
      </c>
      <c r="I464" t="s">
        <v>47</v>
      </c>
    </row>
    <row r="465" spans="1:9" x14ac:dyDescent="0.35">
      <c r="A465" s="1">
        <v>45307</v>
      </c>
      <c r="B465" t="s">
        <v>33</v>
      </c>
      <c r="C465" t="s">
        <v>34</v>
      </c>
      <c r="D465" t="s">
        <v>18</v>
      </c>
      <c r="E465" t="s">
        <v>19</v>
      </c>
      <c r="F465">
        <v>38</v>
      </c>
      <c r="G465">
        <v>37.799999999999997</v>
      </c>
      <c r="H465" t="s">
        <v>46</v>
      </c>
      <c r="I465" t="s">
        <v>47</v>
      </c>
    </row>
    <row r="466" spans="1:9" x14ac:dyDescent="0.35">
      <c r="A466" s="1">
        <v>45307</v>
      </c>
      <c r="B466" t="s">
        <v>33</v>
      </c>
      <c r="C466" t="s">
        <v>34</v>
      </c>
      <c r="D466" t="s">
        <v>21</v>
      </c>
      <c r="E466" t="s">
        <v>22</v>
      </c>
      <c r="F466">
        <v>32</v>
      </c>
      <c r="G466">
        <v>34</v>
      </c>
      <c r="H466" t="s">
        <v>46</v>
      </c>
      <c r="I466" t="s">
        <v>47</v>
      </c>
    </row>
    <row r="467" spans="1:9" x14ac:dyDescent="0.35">
      <c r="A467" s="1">
        <v>45307</v>
      </c>
      <c r="B467" t="s">
        <v>33</v>
      </c>
      <c r="C467" t="s">
        <v>34</v>
      </c>
      <c r="D467" t="s">
        <v>24</v>
      </c>
      <c r="E467" t="s">
        <v>25</v>
      </c>
      <c r="F467">
        <v>50</v>
      </c>
      <c r="G467">
        <v>51.5</v>
      </c>
      <c r="H467" t="s">
        <v>46</v>
      </c>
      <c r="I467" t="s">
        <v>47</v>
      </c>
    </row>
    <row r="468" spans="1:9" x14ac:dyDescent="0.35">
      <c r="A468" s="1">
        <v>45307</v>
      </c>
      <c r="B468" t="s">
        <v>33</v>
      </c>
      <c r="C468" t="s">
        <v>34</v>
      </c>
      <c r="D468" t="s">
        <v>26</v>
      </c>
      <c r="E468" t="s">
        <v>27</v>
      </c>
      <c r="F468">
        <v>38</v>
      </c>
      <c r="G468">
        <v>39.799999999999997</v>
      </c>
      <c r="H468" t="s">
        <v>46</v>
      </c>
      <c r="I468" t="s">
        <v>47</v>
      </c>
    </row>
    <row r="469" spans="1:9" x14ac:dyDescent="0.35">
      <c r="A469" s="1">
        <v>45307</v>
      </c>
      <c r="B469" t="s">
        <v>33</v>
      </c>
      <c r="C469" t="s">
        <v>34</v>
      </c>
      <c r="D469" t="s">
        <v>28</v>
      </c>
      <c r="E469" t="s">
        <v>29</v>
      </c>
      <c r="F469">
        <v>32</v>
      </c>
      <c r="G469">
        <v>32.5</v>
      </c>
      <c r="H469" t="s">
        <v>46</v>
      </c>
      <c r="I469" t="s">
        <v>47</v>
      </c>
    </row>
    <row r="470" spans="1:9" x14ac:dyDescent="0.35">
      <c r="A470" s="1">
        <v>45307</v>
      </c>
      <c r="B470" t="s">
        <v>36</v>
      </c>
      <c r="C470" t="s">
        <v>37</v>
      </c>
      <c r="D470" t="s">
        <v>15</v>
      </c>
      <c r="E470" t="s">
        <v>16</v>
      </c>
      <c r="F470">
        <v>34</v>
      </c>
      <c r="G470">
        <v>35.1</v>
      </c>
      <c r="H470" t="s">
        <v>46</v>
      </c>
      <c r="I470" t="s">
        <v>47</v>
      </c>
    </row>
    <row r="471" spans="1:9" x14ac:dyDescent="0.35">
      <c r="A471" s="1">
        <v>45307</v>
      </c>
      <c r="B471" t="s">
        <v>36</v>
      </c>
      <c r="C471" t="s">
        <v>37</v>
      </c>
      <c r="D471" t="s">
        <v>18</v>
      </c>
      <c r="E471" t="s">
        <v>19</v>
      </c>
      <c r="F471">
        <v>38</v>
      </c>
      <c r="G471">
        <v>37.200000000000003</v>
      </c>
      <c r="H471" t="s">
        <v>46</v>
      </c>
      <c r="I471" t="s">
        <v>47</v>
      </c>
    </row>
    <row r="472" spans="1:9" x14ac:dyDescent="0.35">
      <c r="A472" s="1">
        <v>45307</v>
      </c>
      <c r="B472" t="s">
        <v>36</v>
      </c>
      <c r="C472" t="s">
        <v>37</v>
      </c>
      <c r="D472" t="s">
        <v>21</v>
      </c>
      <c r="E472" t="s">
        <v>22</v>
      </c>
      <c r="F472">
        <v>32</v>
      </c>
      <c r="G472">
        <v>33.799999999999997</v>
      </c>
      <c r="H472" t="s">
        <v>46</v>
      </c>
      <c r="I472" t="s">
        <v>47</v>
      </c>
    </row>
    <row r="473" spans="1:9" x14ac:dyDescent="0.35">
      <c r="A473" s="1">
        <v>45307</v>
      </c>
      <c r="B473" t="s">
        <v>36</v>
      </c>
      <c r="C473" t="s">
        <v>37</v>
      </c>
      <c r="D473" t="s">
        <v>24</v>
      </c>
      <c r="E473" t="s">
        <v>25</v>
      </c>
      <c r="F473">
        <v>50</v>
      </c>
      <c r="G473">
        <v>50.9</v>
      </c>
      <c r="H473" t="s">
        <v>46</v>
      </c>
      <c r="I473" t="s">
        <v>47</v>
      </c>
    </row>
    <row r="474" spans="1:9" x14ac:dyDescent="0.35">
      <c r="A474" s="1">
        <v>45307</v>
      </c>
      <c r="B474" t="s">
        <v>36</v>
      </c>
      <c r="C474" t="s">
        <v>37</v>
      </c>
      <c r="D474" t="s">
        <v>26</v>
      </c>
      <c r="E474" t="s">
        <v>27</v>
      </c>
      <c r="F474">
        <v>38</v>
      </c>
      <c r="G474">
        <v>37.299999999999997</v>
      </c>
      <c r="H474" t="s">
        <v>46</v>
      </c>
      <c r="I474" t="s">
        <v>47</v>
      </c>
    </row>
    <row r="475" spans="1:9" x14ac:dyDescent="0.35">
      <c r="A475" s="1">
        <v>45307</v>
      </c>
      <c r="B475" t="s">
        <v>36</v>
      </c>
      <c r="C475" t="s">
        <v>37</v>
      </c>
      <c r="D475" t="s">
        <v>28</v>
      </c>
      <c r="E475" t="s">
        <v>29</v>
      </c>
      <c r="F475">
        <v>32</v>
      </c>
      <c r="G475">
        <v>33.700000000000003</v>
      </c>
      <c r="H475" t="s">
        <v>46</v>
      </c>
      <c r="I475" t="s">
        <v>47</v>
      </c>
    </row>
    <row r="476" spans="1:9" x14ac:dyDescent="0.35">
      <c r="A476" s="1">
        <v>45307</v>
      </c>
      <c r="B476" t="s">
        <v>39</v>
      </c>
      <c r="C476" t="s">
        <v>40</v>
      </c>
      <c r="D476" t="s">
        <v>15</v>
      </c>
      <c r="E476" t="s">
        <v>16</v>
      </c>
      <c r="F476">
        <v>34</v>
      </c>
      <c r="G476">
        <v>34.4</v>
      </c>
      <c r="H476" t="s">
        <v>46</v>
      </c>
      <c r="I476" t="s">
        <v>47</v>
      </c>
    </row>
    <row r="477" spans="1:9" x14ac:dyDescent="0.35">
      <c r="A477" s="1">
        <v>45307</v>
      </c>
      <c r="B477" t="s">
        <v>39</v>
      </c>
      <c r="C477" t="s">
        <v>40</v>
      </c>
      <c r="D477" t="s">
        <v>18</v>
      </c>
      <c r="E477" t="s">
        <v>19</v>
      </c>
      <c r="F477">
        <v>38</v>
      </c>
      <c r="G477">
        <v>46.3</v>
      </c>
      <c r="H477" t="s">
        <v>48</v>
      </c>
      <c r="I477" t="s">
        <v>50</v>
      </c>
    </row>
    <row r="478" spans="1:9" x14ac:dyDescent="0.35">
      <c r="A478" s="1">
        <v>45307</v>
      </c>
      <c r="B478" t="s">
        <v>39</v>
      </c>
      <c r="C478" t="s">
        <v>40</v>
      </c>
      <c r="D478" t="s">
        <v>21</v>
      </c>
      <c r="E478" t="s">
        <v>22</v>
      </c>
      <c r="F478">
        <v>32</v>
      </c>
      <c r="G478">
        <v>32.5</v>
      </c>
      <c r="H478" t="s">
        <v>46</v>
      </c>
      <c r="I478" t="s">
        <v>47</v>
      </c>
    </row>
    <row r="479" spans="1:9" x14ac:dyDescent="0.35">
      <c r="A479" s="1">
        <v>45307</v>
      </c>
      <c r="B479" t="s">
        <v>39</v>
      </c>
      <c r="C479" t="s">
        <v>40</v>
      </c>
      <c r="D479" t="s">
        <v>24</v>
      </c>
      <c r="E479" t="s">
        <v>25</v>
      </c>
      <c r="F479">
        <v>50</v>
      </c>
      <c r="G479">
        <v>51</v>
      </c>
      <c r="H479" t="s">
        <v>46</v>
      </c>
      <c r="I479" t="s">
        <v>47</v>
      </c>
    </row>
    <row r="480" spans="1:9" x14ac:dyDescent="0.35">
      <c r="A480" s="1">
        <v>45307</v>
      </c>
      <c r="B480" t="s">
        <v>39</v>
      </c>
      <c r="C480" t="s">
        <v>40</v>
      </c>
      <c r="D480" t="s">
        <v>26</v>
      </c>
      <c r="E480" t="s">
        <v>27</v>
      </c>
      <c r="F480">
        <v>38</v>
      </c>
      <c r="G480">
        <v>40.6</v>
      </c>
      <c r="H480" t="s">
        <v>46</v>
      </c>
      <c r="I480" t="s">
        <v>47</v>
      </c>
    </row>
    <row r="481" spans="1:9" x14ac:dyDescent="0.35">
      <c r="A481" s="1">
        <v>45307</v>
      </c>
      <c r="B481" t="s">
        <v>39</v>
      </c>
      <c r="C481" t="s">
        <v>40</v>
      </c>
      <c r="D481" t="s">
        <v>28</v>
      </c>
      <c r="E481" t="s">
        <v>29</v>
      </c>
      <c r="F481">
        <v>32</v>
      </c>
      <c r="G481">
        <v>33.4</v>
      </c>
      <c r="H481" t="s">
        <v>46</v>
      </c>
      <c r="I481" t="s">
        <v>47</v>
      </c>
    </row>
    <row r="482" spans="1:9" x14ac:dyDescent="0.35">
      <c r="A482" s="1">
        <v>45308</v>
      </c>
      <c r="B482" t="s">
        <v>12</v>
      </c>
      <c r="C482" t="s">
        <v>13</v>
      </c>
      <c r="D482" t="s">
        <v>15</v>
      </c>
      <c r="E482" t="s">
        <v>16</v>
      </c>
      <c r="F482">
        <v>34</v>
      </c>
      <c r="G482">
        <v>41.6</v>
      </c>
      <c r="H482" t="s">
        <v>48</v>
      </c>
      <c r="I482" t="s">
        <v>50</v>
      </c>
    </row>
    <row r="483" spans="1:9" x14ac:dyDescent="0.35">
      <c r="A483" s="1">
        <v>45308</v>
      </c>
      <c r="B483" t="s">
        <v>12</v>
      </c>
      <c r="C483" t="s">
        <v>13</v>
      </c>
      <c r="D483" t="s">
        <v>18</v>
      </c>
      <c r="E483" t="s">
        <v>19</v>
      </c>
      <c r="F483">
        <v>38</v>
      </c>
      <c r="G483">
        <v>39.200000000000003</v>
      </c>
      <c r="H483" t="s">
        <v>46</v>
      </c>
      <c r="I483" t="s">
        <v>47</v>
      </c>
    </row>
    <row r="484" spans="1:9" x14ac:dyDescent="0.35">
      <c r="A484" s="1">
        <v>45308</v>
      </c>
      <c r="B484" t="s">
        <v>12</v>
      </c>
      <c r="C484" t="s">
        <v>13</v>
      </c>
      <c r="D484" t="s">
        <v>21</v>
      </c>
      <c r="E484" t="s">
        <v>22</v>
      </c>
      <c r="F484">
        <v>32</v>
      </c>
      <c r="G484">
        <v>31.2</v>
      </c>
      <c r="H484" t="s">
        <v>46</v>
      </c>
      <c r="I484" t="s">
        <v>47</v>
      </c>
    </row>
    <row r="485" spans="1:9" x14ac:dyDescent="0.35">
      <c r="A485" s="1">
        <v>45308</v>
      </c>
      <c r="B485" t="s">
        <v>12</v>
      </c>
      <c r="C485" t="s">
        <v>13</v>
      </c>
      <c r="D485" t="s">
        <v>24</v>
      </c>
      <c r="E485" t="s">
        <v>25</v>
      </c>
      <c r="F485">
        <v>50</v>
      </c>
      <c r="G485">
        <v>50.2</v>
      </c>
      <c r="H485" t="s">
        <v>46</v>
      </c>
      <c r="I485" t="s">
        <v>47</v>
      </c>
    </row>
    <row r="486" spans="1:9" x14ac:dyDescent="0.35">
      <c r="A486" s="1">
        <v>45308</v>
      </c>
      <c r="B486" t="s">
        <v>12</v>
      </c>
      <c r="C486" t="s">
        <v>13</v>
      </c>
      <c r="D486" t="s">
        <v>26</v>
      </c>
      <c r="E486" t="s">
        <v>27</v>
      </c>
      <c r="F486">
        <v>38</v>
      </c>
      <c r="G486">
        <v>40</v>
      </c>
      <c r="H486" t="s">
        <v>46</v>
      </c>
      <c r="I486" t="s">
        <v>47</v>
      </c>
    </row>
    <row r="487" spans="1:9" x14ac:dyDescent="0.35">
      <c r="A487" s="1">
        <v>45308</v>
      </c>
      <c r="B487" t="s">
        <v>12</v>
      </c>
      <c r="C487" t="s">
        <v>13</v>
      </c>
      <c r="D487" t="s">
        <v>28</v>
      </c>
      <c r="E487" t="s">
        <v>29</v>
      </c>
      <c r="F487">
        <v>32</v>
      </c>
      <c r="G487">
        <v>43.5</v>
      </c>
      <c r="H487" t="s">
        <v>48</v>
      </c>
      <c r="I487" t="s">
        <v>49</v>
      </c>
    </row>
    <row r="488" spans="1:9" x14ac:dyDescent="0.35">
      <c r="A488" s="1">
        <v>45308</v>
      </c>
      <c r="B488" t="s">
        <v>30</v>
      </c>
      <c r="C488" t="s">
        <v>31</v>
      </c>
      <c r="D488" t="s">
        <v>15</v>
      </c>
      <c r="E488" t="s">
        <v>16</v>
      </c>
      <c r="F488">
        <v>34</v>
      </c>
      <c r="G488">
        <v>34.200000000000003</v>
      </c>
      <c r="H488" t="s">
        <v>46</v>
      </c>
      <c r="I488" t="s">
        <v>47</v>
      </c>
    </row>
    <row r="489" spans="1:9" x14ac:dyDescent="0.35">
      <c r="A489" s="1">
        <v>45308</v>
      </c>
      <c r="B489" t="s">
        <v>30</v>
      </c>
      <c r="C489" t="s">
        <v>31</v>
      </c>
      <c r="D489" t="s">
        <v>18</v>
      </c>
      <c r="E489" t="s">
        <v>19</v>
      </c>
      <c r="F489">
        <v>38</v>
      </c>
      <c r="G489">
        <v>40.9</v>
      </c>
      <c r="H489" t="s">
        <v>46</v>
      </c>
      <c r="I489" t="s">
        <v>47</v>
      </c>
    </row>
    <row r="490" spans="1:9" x14ac:dyDescent="0.35">
      <c r="A490" s="1">
        <v>45308</v>
      </c>
      <c r="B490" t="s">
        <v>30</v>
      </c>
      <c r="C490" t="s">
        <v>31</v>
      </c>
      <c r="D490" t="s">
        <v>21</v>
      </c>
      <c r="E490" t="s">
        <v>22</v>
      </c>
      <c r="F490">
        <v>32</v>
      </c>
      <c r="G490">
        <v>31.2</v>
      </c>
      <c r="H490" t="s">
        <v>46</v>
      </c>
      <c r="I490" t="s">
        <v>47</v>
      </c>
    </row>
    <row r="491" spans="1:9" x14ac:dyDescent="0.35">
      <c r="A491" s="1">
        <v>45308</v>
      </c>
      <c r="B491" t="s">
        <v>30</v>
      </c>
      <c r="C491" t="s">
        <v>31</v>
      </c>
      <c r="D491" t="s">
        <v>24</v>
      </c>
      <c r="E491" t="s">
        <v>25</v>
      </c>
      <c r="F491">
        <v>50</v>
      </c>
      <c r="G491">
        <v>50.5</v>
      </c>
      <c r="H491" t="s">
        <v>46</v>
      </c>
      <c r="I491" t="s">
        <v>47</v>
      </c>
    </row>
    <row r="492" spans="1:9" x14ac:dyDescent="0.35">
      <c r="A492" s="1">
        <v>45308</v>
      </c>
      <c r="B492" t="s">
        <v>30</v>
      </c>
      <c r="C492" t="s">
        <v>31</v>
      </c>
      <c r="D492" t="s">
        <v>26</v>
      </c>
      <c r="E492" t="s">
        <v>27</v>
      </c>
      <c r="F492">
        <v>38</v>
      </c>
      <c r="G492">
        <v>41</v>
      </c>
      <c r="H492" t="s">
        <v>46</v>
      </c>
      <c r="I492" t="s">
        <v>47</v>
      </c>
    </row>
    <row r="493" spans="1:9" x14ac:dyDescent="0.35">
      <c r="A493" s="1">
        <v>45308</v>
      </c>
      <c r="B493" t="s">
        <v>30</v>
      </c>
      <c r="C493" t="s">
        <v>31</v>
      </c>
      <c r="D493" t="s">
        <v>28</v>
      </c>
      <c r="E493" t="s">
        <v>29</v>
      </c>
      <c r="F493">
        <v>32</v>
      </c>
      <c r="G493">
        <v>34.799999999999997</v>
      </c>
      <c r="H493" t="s">
        <v>46</v>
      </c>
      <c r="I493" t="s">
        <v>47</v>
      </c>
    </row>
    <row r="494" spans="1:9" x14ac:dyDescent="0.35">
      <c r="A494" s="1">
        <v>45308</v>
      </c>
      <c r="B494" t="s">
        <v>33</v>
      </c>
      <c r="C494" t="s">
        <v>34</v>
      </c>
      <c r="D494" t="s">
        <v>15</v>
      </c>
      <c r="E494" t="s">
        <v>16</v>
      </c>
      <c r="F494">
        <v>34</v>
      </c>
      <c r="G494">
        <v>34.4</v>
      </c>
      <c r="H494" t="s">
        <v>46</v>
      </c>
      <c r="I494" t="s">
        <v>47</v>
      </c>
    </row>
    <row r="495" spans="1:9" x14ac:dyDescent="0.35">
      <c r="A495" s="1">
        <v>45308</v>
      </c>
      <c r="B495" t="s">
        <v>33</v>
      </c>
      <c r="C495" t="s">
        <v>34</v>
      </c>
      <c r="D495" t="s">
        <v>18</v>
      </c>
      <c r="E495" t="s">
        <v>19</v>
      </c>
      <c r="F495">
        <v>38</v>
      </c>
      <c r="G495">
        <v>37.5</v>
      </c>
      <c r="H495" t="s">
        <v>46</v>
      </c>
      <c r="I495" t="s">
        <v>47</v>
      </c>
    </row>
    <row r="496" spans="1:9" x14ac:dyDescent="0.35">
      <c r="A496" s="1">
        <v>45308</v>
      </c>
      <c r="B496" t="s">
        <v>33</v>
      </c>
      <c r="C496" t="s">
        <v>34</v>
      </c>
      <c r="D496" t="s">
        <v>21</v>
      </c>
      <c r="E496" t="s">
        <v>22</v>
      </c>
      <c r="F496">
        <v>32</v>
      </c>
      <c r="G496">
        <v>33.1</v>
      </c>
      <c r="H496" t="s">
        <v>46</v>
      </c>
      <c r="I496" t="s">
        <v>47</v>
      </c>
    </row>
    <row r="497" spans="1:9" x14ac:dyDescent="0.35">
      <c r="A497" s="1">
        <v>45308</v>
      </c>
      <c r="B497" t="s">
        <v>33</v>
      </c>
      <c r="C497" t="s">
        <v>34</v>
      </c>
      <c r="D497" t="s">
        <v>24</v>
      </c>
      <c r="E497" t="s">
        <v>25</v>
      </c>
      <c r="F497">
        <v>50</v>
      </c>
      <c r="G497">
        <v>52.5</v>
      </c>
      <c r="H497" t="s">
        <v>46</v>
      </c>
      <c r="I497" t="s">
        <v>47</v>
      </c>
    </row>
    <row r="498" spans="1:9" x14ac:dyDescent="0.35">
      <c r="A498" s="1">
        <v>45308</v>
      </c>
      <c r="B498" t="s">
        <v>33</v>
      </c>
      <c r="C498" t="s">
        <v>34</v>
      </c>
      <c r="D498" t="s">
        <v>26</v>
      </c>
      <c r="E498" t="s">
        <v>27</v>
      </c>
      <c r="F498">
        <v>38</v>
      </c>
      <c r="G498">
        <v>38.700000000000003</v>
      </c>
      <c r="H498" t="s">
        <v>46</v>
      </c>
      <c r="I498" t="s">
        <v>47</v>
      </c>
    </row>
    <row r="499" spans="1:9" x14ac:dyDescent="0.35">
      <c r="A499" s="1">
        <v>45308</v>
      </c>
      <c r="B499" t="s">
        <v>33</v>
      </c>
      <c r="C499" t="s">
        <v>34</v>
      </c>
      <c r="D499" t="s">
        <v>28</v>
      </c>
      <c r="E499" t="s">
        <v>29</v>
      </c>
      <c r="F499">
        <v>32</v>
      </c>
      <c r="G499">
        <v>32.700000000000003</v>
      </c>
      <c r="H499" t="s">
        <v>46</v>
      </c>
      <c r="I499" t="s">
        <v>47</v>
      </c>
    </row>
    <row r="500" spans="1:9" x14ac:dyDescent="0.35">
      <c r="A500" s="1">
        <v>45308</v>
      </c>
      <c r="B500" t="s">
        <v>36</v>
      </c>
      <c r="C500" t="s">
        <v>37</v>
      </c>
      <c r="D500" t="s">
        <v>15</v>
      </c>
      <c r="E500" t="s">
        <v>16</v>
      </c>
      <c r="F500">
        <v>34</v>
      </c>
      <c r="G500">
        <v>35.4</v>
      </c>
      <c r="H500" t="s">
        <v>46</v>
      </c>
      <c r="I500" t="s">
        <v>47</v>
      </c>
    </row>
    <row r="501" spans="1:9" x14ac:dyDescent="0.35">
      <c r="A501" s="1">
        <v>45308</v>
      </c>
      <c r="B501" t="s">
        <v>36</v>
      </c>
      <c r="C501" t="s">
        <v>37</v>
      </c>
      <c r="D501" t="s">
        <v>18</v>
      </c>
      <c r="E501" t="s">
        <v>19</v>
      </c>
      <c r="F501">
        <v>38</v>
      </c>
      <c r="G501">
        <v>37.5</v>
      </c>
      <c r="H501" t="s">
        <v>46</v>
      </c>
      <c r="I501" t="s">
        <v>47</v>
      </c>
    </row>
    <row r="502" spans="1:9" x14ac:dyDescent="0.35">
      <c r="A502" s="1">
        <v>45308</v>
      </c>
      <c r="B502" t="s">
        <v>36</v>
      </c>
      <c r="C502" t="s">
        <v>37</v>
      </c>
      <c r="D502" t="s">
        <v>21</v>
      </c>
      <c r="E502" t="s">
        <v>22</v>
      </c>
      <c r="F502">
        <v>32</v>
      </c>
      <c r="G502">
        <v>33.299999999999997</v>
      </c>
      <c r="H502" t="s">
        <v>46</v>
      </c>
      <c r="I502" t="s">
        <v>47</v>
      </c>
    </row>
    <row r="503" spans="1:9" x14ac:dyDescent="0.35">
      <c r="A503" s="1">
        <v>45308</v>
      </c>
      <c r="B503" t="s">
        <v>36</v>
      </c>
      <c r="C503" t="s">
        <v>37</v>
      </c>
      <c r="D503" t="s">
        <v>24</v>
      </c>
      <c r="E503" t="s">
        <v>25</v>
      </c>
      <c r="F503">
        <v>50</v>
      </c>
      <c r="G503">
        <v>49.8</v>
      </c>
      <c r="H503" t="s">
        <v>46</v>
      </c>
      <c r="I503" t="s">
        <v>47</v>
      </c>
    </row>
    <row r="504" spans="1:9" x14ac:dyDescent="0.35">
      <c r="A504" s="1">
        <v>45308</v>
      </c>
      <c r="B504" t="s">
        <v>36</v>
      </c>
      <c r="C504" t="s">
        <v>37</v>
      </c>
      <c r="D504" t="s">
        <v>26</v>
      </c>
      <c r="E504" t="s">
        <v>27</v>
      </c>
      <c r="F504">
        <v>38</v>
      </c>
      <c r="G504">
        <v>49.5</v>
      </c>
      <c r="H504" t="s">
        <v>48</v>
      </c>
      <c r="I504" t="s">
        <v>49</v>
      </c>
    </row>
    <row r="505" spans="1:9" x14ac:dyDescent="0.35">
      <c r="A505" s="1">
        <v>45308</v>
      </c>
      <c r="B505" t="s">
        <v>36</v>
      </c>
      <c r="C505" t="s">
        <v>37</v>
      </c>
      <c r="D505" t="s">
        <v>28</v>
      </c>
      <c r="E505" t="s">
        <v>29</v>
      </c>
      <c r="F505">
        <v>32</v>
      </c>
      <c r="G505">
        <v>34.6</v>
      </c>
      <c r="H505" t="s">
        <v>46</v>
      </c>
      <c r="I505" t="s">
        <v>47</v>
      </c>
    </row>
    <row r="506" spans="1:9" x14ac:dyDescent="0.35">
      <c r="A506" s="1">
        <v>45308</v>
      </c>
      <c r="B506" t="s">
        <v>39</v>
      </c>
      <c r="C506" t="s">
        <v>40</v>
      </c>
      <c r="D506" t="s">
        <v>15</v>
      </c>
      <c r="E506" t="s">
        <v>16</v>
      </c>
      <c r="F506">
        <v>34</v>
      </c>
      <c r="G506">
        <v>36.6</v>
      </c>
      <c r="H506" t="s">
        <v>46</v>
      </c>
      <c r="I506" t="s">
        <v>47</v>
      </c>
    </row>
    <row r="507" spans="1:9" x14ac:dyDescent="0.35">
      <c r="A507" s="1">
        <v>45308</v>
      </c>
      <c r="B507" t="s">
        <v>39</v>
      </c>
      <c r="C507" t="s">
        <v>40</v>
      </c>
      <c r="D507" t="s">
        <v>18</v>
      </c>
      <c r="E507" t="s">
        <v>19</v>
      </c>
      <c r="F507">
        <v>38</v>
      </c>
      <c r="G507">
        <v>39.6</v>
      </c>
      <c r="H507" t="s">
        <v>46</v>
      </c>
      <c r="I507" t="s">
        <v>47</v>
      </c>
    </row>
    <row r="508" spans="1:9" x14ac:dyDescent="0.35">
      <c r="A508" s="1">
        <v>45308</v>
      </c>
      <c r="B508" t="s">
        <v>39</v>
      </c>
      <c r="C508" t="s">
        <v>40</v>
      </c>
      <c r="D508" t="s">
        <v>21</v>
      </c>
      <c r="E508" t="s">
        <v>22</v>
      </c>
      <c r="F508">
        <v>32</v>
      </c>
      <c r="G508">
        <v>31.6</v>
      </c>
      <c r="H508" t="s">
        <v>46</v>
      </c>
      <c r="I508" t="s">
        <v>47</v>
      </c>
    </row>
    <row r="509" spans="1:9" x14ac:dyDescent="0.35">
      <c r="A509" s="1">
        <v>45308</v>
      </c>
      <c r="B509" t="s">
        <v>39</v>
      </c>
      <c r="C509" t="s">
        <v>40</v>
      </c>
      <c r="D509" t="s">
        <v>24</v>
      </c>
      <c r="E509" t="s">
        <v>25</v>
      </c>
      <c r="F509">
        <v>50</v>
      </c>
      <c r="G509">
        <v>60.3</v>
      </c>
      <c r="H509" t="s">
        <v>48</v>
      </c>
      <c r="I509" t="s">
        <v>49</v>
      </c>
    </row>
    <row r="510" spans="1:9" x14ac:dyDescent="0.35">
      <c r="A510" s="1">
        <v>45308</v>
      </c>
      <c r="B510" t="s">
        <v>39</v>
      </c>
      <c r="C510" t="s">
        <v>40</v>
      </c>
      <c r="D510" t="s">
        <v>26</v>
      </c>
      <c r="E510" t="s">
        <v>27</v>
      </c>
      <c r="F510">
        <v>38</v>
      </c>
      <c r="G510">
        <v>37.700000000000003</v>
      </c>
      <c r="H510" t="s">
        <v>46</v>
      </c>
      <c r="I510" t="s">
        <v>47</v>
      </c>
    </row>
    <row r="511" spans="1:9" x14ac:dyDescent="0.35">
      <c r="A511" s="1">
        <v>45308</v>
      </c>
      <c r="B511" t="s">
        <v>39</v>
      </c>
      <c r="C511" t="s">
        <v>40</v>
      </c>
      <c r="D511" t="s">
        <v>28</v>
      </c>
      <c r="E511" t="s">
        <v>29</v>
      </c>
      <c r="F511">
        <v>32</v>
      </c>
      <c r="G511">
        <v>31.6</v>
      </c>
      <c r="H511" t="s">
        <v>46</v>
      </c>
      <c r="I511" t="s">
        <v>47</v>
      </c>
    </row>
    <row r="512" spans="1:9" x14ac:dyDescent="0.35">
      <c r="A512" s="1">
        <v>45309</v>
      </c>
      <c r="B512" t="s">
        <v>12</v>
      </c>
      <c r="C512" t="s">
        <v>13</v>
      </c>
      <c r="D512" t="s">
        <v>15</v>
      </c>
      <c r="E512" t="s">
        <v>16</v>
      </c>
      <c r="F512">
        <v>34</v>
      </c>
      <c r="G512">
        <v>42.5</v>
      </c>
      <c r="H512" t="s">
        <v>48</v>
      </c>
      <c r="I512" t="s">
        <v>50</v>
      </c>
    </row>
    <row r="513" spans="1:9" x14ac:dyDescent="0.35">
      <c r="A513" s="1">
        <v>45309</v>
      </c>
      <c r="B513" t="s">
        <v>12</v>
      </c>
      <c r="C513" t="s">
        <v>13</v>
      </c>
      <c r="D513" t="s">
        <v>18</v>
      </c>
      <c r="E513" t="s">
        <v>19</v>
      </c>
      <c r="F513">
        <v>38</v>
      </c>
      <c r="G513">
        <v>40.799999999999997</v>
      </c>
      <c r="H513" t="s">
        <v>46</v>
      </c>
      <c r="I513" t="s">
        <v>47</v>
      </c>
    </row>
    <row r="514" spans="1:9" x14ac:dyDescent="0.35">
      <c r="A514" s="1">
        <v>45309</v>
      </c>
      <c r="B514" t="s">
        <v>12</v>
      </c>
      <c r="C514" t="s">
        <v>13</v>
      </c>
      <c r="D514" t="s">
        <v>21</v>
      </c>
      <c r="E514" t="s">
        <v>22</v>
      </c>
      <c r="F514">
        <v>32</v>
      </c>
      <c r="G514">
        <v>34</v>
      </c>
      <c r="H514" t="s">
        <v>46</v>
      </c>
      <c r="I514" t="s">
        <v>47</v>
      </c>
    </row>
    <row r="515" spans="1:9" x14ac:dyDescent="0.35">
      <c r="A515" s="1">
        <v>45309</v>
      </c>
      <c r="B515" t="s">
        <v>12</v>
      </c>
      <c r="C515" t="s">
        <v>13</v>
      </c>
      <c r="D515" t="s">
        <v>24</v>
      </c>
      <c r="E515" t="s">
        <v>25</v>
      </c>
      <c r="F515">
        <v>50</v>
      </c>
      <c r="G515">
        <v>51.5</v>
      </c>
      <c r="H515" t="s">
        <v>46</v>
      </c>
      <c r="I515" t="s">
        <v>47</v>
      </c>
    </row>
    <row r="516" spans="1:9" x14ac:dyDescent="0.35">
      <c r="A516" s="1">
        <v>45309</v>
      </c>
      <c r="B516" t="s">
        <v>12</v>
      </c>
      <c r="C516" t="s">
        <v>13</v>
      </c>
      <c r="D516" t="s">
        <v>26</v>
      </c>
      <c r="E516" t="s">
        <v>27</v>
      </c>
      <c r="F516">
        <v>38</v>
      </c>
      <c r="G516">
        <v>37.6</v>
      </c>
      <c r="H516" t="s">
        <v>46</v>
      </c>
      <c r="I516" t="s">
        <v>47</v>
      </c>
    </row>
    <row r="517" spans="1:9" x14ac:dyDescent="0.35">
      <c r="A517" s="1">
        <v>45309</v>
      </c>
      <c r="B517" t="s">
        <v>12</v>
      </c>
      <c r="C517" t="s">
        <v>13</v>
      </c>
      <c r="D517" t="s">
        <v>28</v>
      </c>
      <c r="E517" t="s">
        <v>29</v>
      </c>
      <c r="F517">
        <v>32</v>
      </c>
      <c r="G517">
        <v>31.5</v>
      </c>
      <c r="H517" t="s">
        <v>46</v>
      </c>
      <c r="I517" t="s">
        <v>47</v>
      </c>
    </row>
    <row r="518" spans="1:9" x14ac:dyDescent="0.35">
      <c r="A518" s="1">
        <v>45309</v>
      </c>
      <c r="B518" t="s">
        <v>30</v>
      </c>
      <c r="C518" t="s">
        <v>31</v>
      </c>
      <c r="D518" t="s">
        <v>15</v>
      </c>
      <c r="E518" t="s">
        <v>16</v>
      </c>
      <c r="F518">
        <v>34</v>
      </c>
      <c r="G518">
        <v>47.9</v>
      </c>
      <c r="H518" t="s">
        <v>48</v>
      </c>
      <c r="I518" t="s">
        <v>49</v>
      </c>
    </row>
    <row r="519" spans="1:9" x14ac:dyDescent="0.35">
      <c r="A519" s="1">
        <v>45309</v>
      </c>
      <c r="B519" t="s">
        <v>30</v>
      </c>
      <c r="C519" t="s">
        <v>31</v>
      </c>
      <c r="D519" t="s">
        <v>18</v>
      </c>
      <c r="E519" t="s">
        <v>19</v>
      </c>
      <c r="F519">
        <v>38</v>
      </c>
      <c r="G519">
        <v>39.4</v>
      </c>
      <c r="H519" t="s">
        <v>46</v>
      </c>
      <c r="I519" t="s">
        <v>47</v>
      </c>
    </row>
    <row r="520" spans="1:9" x14ac:dyDescent="0.35">
      <c r="A520" s="1">
        <v>45309</v>
      </c>
      <c r="B520" t="s">
        <v>30</v>
      </c>
      <c r="C520" t="s">
        <v>31</v>
      </c>
      <c r="D520" t="s">
        <v>21</v>
      </c>
      <c r="E520" t="s">
        <v>22</v>
      </c>
      <c r="F520">
        <v>32</v>
      </c>
      <c r="G520">
        <v>33.4</v>
      </c>
      <c r="H520" t="s">
        <v>46</v>
      </c>
      <c r="I520" t="s">
        <v>47</v>
      </c>
    </row>
    <row r="521" spans="1:9" x14ac:dyDescent="0.35">
      <c r="A521" s="1">
        <v>45309</v>
      </c>
      <c r="B521" t="s">
        <v>30</v>
      </c>
      <c r="C521" t="s">
        <v>31</v>
      </c>
      <c r="D521" t="s">
        <v>24</v>
      </c>
      <c r="E521" t="s">
        <v>25</v>
      </c>
      <c r="F521">
        <v>50</v>
      </c>
      <c r="G521">
        <v>49.1</v>
      </c>
      <c r="H521" t="s">
        <v>46</v>
      </c>
      <c r="I521" t="s">
        <v>47</v>
      </c>
    </row>
    <row r="522" spans="1:9" x14ac:dyDescent="0.35">
      <c r="A522" s="1">
        <v>45309</v>
      </c>
      <c r="B522" t="s">
        <v>30</v>
      </c>
      <c r="C522" t="s">
        <v>31</v>
      </c>
      <c r="D522" t="s">
        <v>26</v>
      </c>
      <c r="E522" t="s">
        <v>27</v>
      </c>
      <c r="F522">
        <v>38</v>
      </c>
      <c r="G522">
        <v>50.2</v>
      </c>
      <c r="H522" t="s">
        <v>48</v>
      </c>
      <c r="I522" t="s">
        <v>49</v>
      </c>
    </row>
    <row r="523" spans="1:9" x14ac:dyDescent="0.35">
      <c r="A523" s="1">
        <v>45309</v>
      </c>
      <c r="B523" t="s">
        <v>30</v>
      </c>
      <c r="C523" t="s">
        <v>31</v>
      </c>
      <c r="D523" t="s">
        <v>28</v>
      </c>
      <c r="E523" t="s">
        <v>29</v>
      </c>
      <c r="F523">
        <v>32</v>
      </c>
      <c r="G523">
        <v>44.8</v>
      </c>
      <c r="H523" t="s">
        <v>48</v>
      </c>
      <c r="I523" t="s">
        <v>49</v>
      </c>
    </row>
    <row r="524" spans="1:9" x14ac:dyDescent="0.35">
      <c r="A524" s="1">
        <v>45309</v>
      </c>
      <c r="B524" t="s">
        <v>33</v>
      </c>
      <c r="C524" t="s">
        <v>34</v>
      </c>
      <c r="D524" t="s">
        <v>15</v>
      </c>
      <c r="E524" t="s">
        <v>16</v>
      </c>
      <c r="F524">
        <v>34</v>
      </c>
      <c r="G524">
        <v>35.6</v>
      </c>
      <c r="H524" t="s">
        <v>46</v>
      </c>
      <c r="I524" t="s">
        <v>47</v>
      </c>
    </row>
    <row r="525" spans="1:9" x14ac:dyDescent="0.35">
      <c r="A525" s="1">
        <v>45309</v>
      </c>
      <c r="B525" t="s">
        <v>33</v>
      </c>
      <c r="C525" t="s">
        <v>34</v>
      </c>
      <c r="D525" t="s">
        <v>18</v>
      </c>
      <c r="E525" t="s">
        <v>19</v>
      </c>
      <c r="F525">
        <v>38</v>
      </c>
      <c r="G525">
        <v>38.5</v>
      </c>
      <c r="H525" t="s">
        <v>46</v>
      </c>
      <c r="I525" t="s">
        <v>47</v>
      </c>
    </row>
    <row r="526" spans="1:9" x14ac:dyDescent="0.35">
      <c r="A526" s="1">
        <v>45309</v>
      </c>
      <c r="B526" t="s">
        <v>33</v>
      </c>
      <c r="C526" t="s">
        <v>34</v>
      </c>
      <c r="D526" t="s">
        <v>21</v>
      </c>
      <c r="E526" t="s">
        <v>22</v>
      </c>
      <c r="F526">
        <v>32</v>
      </c>
      <c r="G526">
        <v>31.7</v>
      </c>
      <c r="H526" t="s">
        <v>46</v>
      </c>
      <c r="I526" t="s">
        <v>47</v>
      </c>
    </row>
    <row r="527" spans="1:9" x14ac:dyDescent="0.35">
      <c r="A527" s="1">
        <v>45309</v>
      </c>
      <c r="B527" t="s">
        <v>33</v>
      </c>
      <c r="C527" t="s">
        <v>34</v>
      </c>
      <c r="D527" t="s">
        <v>24</v>
      </c>
      <c r="E527" t="s">
        <v>25</v>
      </c>
      <c r="F527">
        <v>50</v>
      </c>
      <c r="G527">
        <v>50.6</v>
      </c>
      <c r="H527" t="s">
        <v>46</v>
      </c>
      <c r="I527" t="s">
        <v>47</v>
      </c>
    </row>
    <row r="528" spans="1:9" x14ac:dyDescent="0.35">
      <c r="A528" s="1">
        <v>45309</v>
      </c>
      <c r="B528" t="s">
        <v>33</v>
      </c>
      <c r="C528" t="s">
        <v>34</v>
      </c>
      <c r="D528" t="s">
        <v>26</v>
      </c>
      <c r="E528" t="s">
        <v>27</v>
      </c>
      <c r="F528">
        <v>38</v>
      </c>
      <c r="G528">
        <v>40.700000000000003</v>
      </c>
      <c r="H528" t="s">
        <v>46</v>
      </c>
      <c r="I528" t="s">
        <v>47</v>
      </c>
    </row>
    <row r="529" spans="1:9" x14ac:dyDescent="0.35">
      <c r="A529" s="1">
        <v>45309</v>
      </c>
      <c r="B529" t="s">
        <v>33</v>
      </c>
      <c r="C529" t="s">
        <v>34</v>
      </c>
      <c r="D529" t="s">
        <v>28</v>
      </c>
      <c r="E529" t="s">
        <v>29</v>
      </c>
      <c r="F529">
        <v>32</v>
      </c>
      <c r="G529">
        <v>31.9</v>
      </c>
      <c r="H529" t="s">
        <v>46</v>
      </c>
      <c r="I529" t="s">
        <v>47</v>
      </c>
    </row>
    <row r="530" spans="1:9" x14ac:dyDescent="0.35">
      <c r="A530" s="1">
        <v>45309</v>
      </c>
      <c r="B530" t="s">
        <v>36</v>
      </c>
      <c r="C530" t="s">
        <v>37</v>
      </c>
      <c r="D530" t="s">
        <v>15</v>
      </c>
      <c r="E530" t="s">
        <v>16</v>
      </c>
      <c r="F530">
        <v>34</v>
      </c>
      <c r="G530">
        <v>33.799999999999997</v>
      </c>
      <c r="H530" t="s">
        <v>46</v>
      </c>
      <c r="I530" t="s">
        <v>47</v>
      </c>
    </row>
    <row r="531" spans="1:9" x14ac:dyDescent="0.35">
      <c r="A531" s="1">
        <v>45309</v>
      </c>
      <c r="B531" t="s">
        <v>36</v>
      </c>
      <c r="C531" t="s">
        <v>37</v>
      </c>
      <c r="D531" t="s">
        <v>18</v>
      </c>
      <c r="E531" t="s">
        <v>19</v>
      </c>
      <c r="F531">
        <v>38</v>
      </c>
      <c r="G531">
        <v>37.700000000000003</v>
      </c>
      <c r="H531" t="s">
        <v>46</v>
      </c>
      <c r="I531" t="s">
        <v>47</v>
      </c>
    </row>
    <row r="532" spans="1:9" x14ac:dyDescent="0.35">
      <c r="A532" s="1">
        <v>45309</v>
      </c>
      <c r="B532" t="s">
        <v>36</v>
      </c>
      <c r="C532" t="s">
        <v>37</v>
      </c>
      <c r="D532" t="s">
        <v>21</v>
      </c>
      <c r="E532" t="s">
        <v>22</v>
      </c>
      <c r="F532">
        <v>32</v>
      </c>
      <c r="G532">
        <v>32.799999999999997</v>
      </c>
      <c r="H532" t="s">
        <v>46</v>
      </c>
      <c r="I532" t="s">
        <v>47</v>
      </c>
    </row>
    <row r="533" spans="1:9" x14ac:dyDescent="0.35">
      <c r="A533" s="1">
        <v>45309</v>
      </c>
      <c r="B533" t="s">
        <v>36</v>
      </c>
      <c r="C533" t="s">
        <v>37</v>
      </c>
      <c r="D533" t="s">
        <v>24</v>
      </c>
      <c r="E533" t="s">
        <v>25</v>
      </c>
      <c r="F533">
        <v>50</v>
      </c>
      <c r="G533">
        <v>51.8</v>
      </c>
      <c r="H533" t="s">
        <v>46</v>
      </c>
      <c r="I533" t="s">
        <v>47</v>
      </c>
    </row>
    <row r="534" spans="1:9" x14ac:dyDescent="0.35">
      <c r="A534" s="1">
        <v>45309</v>
      </c>
      <c r="B534" t="s">
        <v>36</v>
      </c>
      <c r="C534" t="s">
        <v>37</v>
      </c>
      <c r="D534" t="s">
        <v>26</v>
      </c>
      <c r="E534" t="s">
        <v>27</v>
      </c>
      <c r="F534">
        <v>38</v>
      </c>
      <c r="G534">
        <v>40.6</v>
      </c>
      <c r="H534" t="s">
        <v>46</v>
      </c>
      <c r="I534" t="s">
        <v>47</v>
      </c>
    </row>
    <row r="535" spans="1:9" x14ac:dyDescent="0.35">
      <c r="A535" s="1">
        <v>45309</v>
      </c>
      <c r="B535" t="s">
        <v>36</v>
      </c>
      <c r="C535" t="s">
        <v>37</v>
      </c>
      <c r="D535" t="s">
        <v>28</v>
      </c>
      <c r="E535" t="s">
        <v>29</v>
      </c>
      <c r="F535">
        <v>32</v>
      </c>
      <c r="G535">
        <v>34.1</v>
      </c>
      <c r="H535" t="s">
        <v>46</v>
      </c>
      <c r="I535" t="s">
        <v>47</v>
      </c>
    </row>
    <row r="536" spans="1:9" x14ac:dyDescent="0.35">
      <c r="A536" s="1">
        <v>45309</v>
      </c>
      <c r="B536" t="s">
        <v>39</v>
      </c>
      <c r="C536" t="s">
        <v>40</v>
      </c>
      <c r="D536" t="s">
        <v>15</v>
      </c>
      <c r="E536" t="s">
        <v>16</v>
      </c>
      <c r="F536">
        <v>34</v>
      </c>
      <c r="G536">
        <v>36.299999999999997</v>
      </c>
      <c r="H536" t="s">
        <v>46</v>
      </c>
      <c r="I536" t="s">
        <v>47</v>
      </c>
    </row>
    <row r="537" spans="1:9" x14ac:dyDescent="0.35">
      <c r="A537" s="1">
        <v>45309</v>
      </c>
      <c r="B537" t="s">
        <v>39</v>
      </c>
      <c r="C537" t="s">
        <v>40</v>
      </c>
      <c r="D537" t="s">
        <v>18</v>
      </c>
      <c r="E537" t="s">
        <v>19</v>
      </c>
      <c r="F537">
        <v>38</v>
      </c>
      <c r="G537">
        <v>38.6</v>
      </c>
      <c r="H537" t="s">
        <v>46</v>
      </c>
      <c r="I537" t="s">
        <v>47</v>
      </c>
    </row>
    <row r="538" spans="1:9" x14ac:dyDescent="0.35">
      <c r="A538" s="1">
        <v>45309</v>
      </c>
      <c r="B538" t="s">
        <v>39</v>
      </c>
      <c r="C538" t="s">
        <v>40</v>
      </c>
      <c r="D538" t="s">
        <v>21</v>
      </c>
      <c r="E538" t="s">
        <v>22</v>
      </c>
      <c r="F538">
        <v>32</v>
      </c>
      <c r="G538">
        <v>33.299999999999997</v>
      </c>
      <c r="H538" t="s">
        <v>46</v>
      </c>
      <c r="I538" t="s">
        <v>47</v>
      </c>
    </row>
    <row r="539" spans="1:9" x14ac:dyDescent="0.35">
      <c r="A539" s="1">
        <v>45309</v>
      </c>
      <c r="B539" t="s">
        <v>39</v>
      </c>
      <c r="C539" t="s">
        <v>40</v>
      </c>
      <c r="D539" t="s">
        <v>24</v>
      </c>
      <c r="E539" t="s">
        <v>25</v>
      </c>
      <c r="F539">
        <v>50</v>
      </c>
      <c r="G539">
        <v>51.6</v>
      </c>
      <c r="H539" t="s">
        <v>46</v>
      </c>
      <c r="I539" t="s">
        <v>47</v>
      </c>
    </row>
    <row r="540" spans="1:9" x14ac:dyDescent="0.35">
      <c r="A540" s="1">
        <v>45309</v>
      </c>
      <c r="B540" t="s">
        <v>39</v>
      </c>
      <c r="C540" t="s">
        <v>40</v>
      </c>
      <c r="D540" t="s">
        <v>26</v>
      </c>
      <c r="E540" t="s">
        <v>27</v>
      </c>
      <c r="F540">
        <v>38</v>
      </c>
      <c r="G540">
        <v>37.200000000000003</v>
      </c>
      <c r="H540" t="s">
        <v>46</v>
      </c>
      <c r="I540" t="s">
        <v>47</v>
      </c>
    </row>
    <row r="541" spans="1:9" x14ac:dyDescent="0.35">
      <c r="A541" s="1">
        <v>45309</v>
      </c>
      <c r="B541" t="s">
        <v>39</v>
      </c>
      <c r="C541" t="s">
        <v>40</v>
      </c>
      <c r="D541" t="s">
        <v>28</v>
      </c>
      <c r="E541" t="s">
        <v>29</v>
      </c>
      <c r="F541">
        <v>32</v>
      </c>
      <c r="G541">
        <v>41.7</v>
      </c>
      <c r="H541" t="s">
        <v>48</v>
      </c>
      <c r="I541" t="s">
        <v>50</v>
      </c>
    </row>
    <row r="542" spans="1:9" x14ac:dyDescent="0.35">
      <c r="A542" s="1">
        <v>45310</v>
      </c>
      <c r="B542" t="s">
        <v>12</v>
      </c>
      <c r="C542" t="s">
        <v>13</v>
      </c>
      <c r="D542" t="s">
        <v>15</v>
      </c>
      <c r="E542" t="s">
        <v>16</v>
      </c>
      <c r="F542">
        <v>34</v>
      </c>
      <c r="G542">
        <v>36.5</v>
      </c>
      <c r="H542" t="s">
        <v>46</v>
      </c>
      <c r="I542" t="s">
        <v>47</v>
      </c>
    </row>
    <row r="543" spans="1:9" x14ac:dyDescent="0.35">
      <c r="A543" s="1">
        <v>45310</v>
      </c>
      <c r="B543" t="s">
        <v>12</v>
      </c>
      <c r="C543" t="s">
        <v>13</v>
      </c>
      <c r="D543" t="s">
        <v>18</v>
      </c>
      <c r="E543" t="s">
        <v>19</v>
      </c>
      <c r="F543">
        <v>38</v>
      </c>
      <c r="G543">
        <v>39.200000000000003</v>
      </c>
      <c r="H543" t="s">
        <v>46</v>
      </c>
      <c r="I543" t="s">
        <v>47</v>
      </c>
    </row>
    <row r="544" spans="1:9" x14ac:dyDescent="0.35">
      <c r="A544" s="1">
        <v>45310</v>
      </c>
      <c r="B544" t="s">
        <v>12</v>
      </c>
      <c r="C544" t="s">
        <v>13</v>
      </c>
      <c r="D544" t="s">
        <v>21</v>
      </c>
      <c r="E544" t="s">
        <v>22</v>
      </c>
      <c r="F544">
        <v>32</v>
      </c>
      <c r="G544">
        <v>31.2</v>
      </c>
      <c r="H544" t="s">
        <v>46</v>
      </c>
      <c r="I544" t="s">
        <v>47</v>
      </c>
    </row>
    <row r="545" spans="1:9" x14ac:dyDescent="0.35">
      <c r="A545" s="1">
        <v>45310</v>
      </c>
      <c r="B545" t="s">
        <v>12</v>
      </c>
      <c r="C545" t="s">
        <v>13</v>
      </c>
      <c r="D545" t="s">
        <v>24</v>
      </c>
      <c r="E545" t="s">
        <v>25</v>
      </c>
      <c r="F545">
        <v>50</v>
      </c>
      <c r="G545">
        <v>52.1</v>
      </c>
      <c r="H545" t="s">
        <v>46</v>
      </c>
      <c r="I545" t="s">
        <v>47</v>
      </c>
    </row>
    <row r="546" spans="1:9" x14ac:dyDescent="0.35">
      <c r="A546" s="1">
        <v>45310</v>
      </c>
      <c r="B546" t="s">
        <v>12</v>
      </c>
      <c r="C546" t="s">
        <v>13</v>
      </c>
      <c r="D546" t="s">
        <v>26</v>
      </c>
      <c r="E546" t="s">
        <v>27</v>
      </c>
      <c r="F546">
        <v>38</v>
      </c>
      <c r="G546">
        <v>37.799999999999997</v>
      </c>
      <c r="H546" t="s">
        <v>46</v>
      </c>
      <c r="I546" t="s">
        <v>47</v>
      </c>
    </row>
    <row r="547" spans="1:9" x14ac:dyDescent="0.35">
      <c r="A547" s="1">
        <v>45310</v>
      </c>
      <c r="B547" t="s">
        <v>12</v>
      </c>
      <c r="C547" t="s">
        <v>13</v>
      </c>
      <c r="D547" t="s">
        <v>28</v>
      </c>
      <c r="E547" t="s">
        <v>29</v>
      </c>
      <c r="F547">
        <v>32</v>
      </c>
      <c r="G547">
        <v>34.5</v>
      </c>
      <c r="H547" t="s">
        <v>46</v>
      </c>
      <c r="I547" t="s">
        <v>47</v>
      </c>
    </row>
    <row r="548" spans="1:9" x14ac:dyDescent="0.35">
      <c r="A548" s="1">
        <v>45310</v>
      </c>
      <c r="B548" t="s">
        <v>30</v>
      </c>
      <c r="C548" t="s">
        <v>31</v>
      </c>
      <c r="D548" t="s">
        <v>15</v>
      </c>
      <c r="E548" t="s">
        <v>16</v>
      </c>
      <c r="F548">
        <v>34</v>
      </c>
      <c r="G548">
        <v>34.1</v>
      </c>
      <c r="H548" t="s">
        <v>46</v>
      </c>
      <c r="I548" t="s">
        <v>47</v>
      </c>
    </row>
    <row r="549" spans="1:9" x14ac:dyDescent="0.35">
      <c r="A549" s="1">
        <v>45310</v>
      </c>
      <c r="B549" t="s">
        <v>30</v>
      </c>
      <c r="C549" t="s">
        <v>31</v>
      </c>
      <c r="D549" t="s">
        <v>18</v>
      </c>
      <c r="E549" t="s">
        <v>19</v>
      </c>
      <c r="F549">
        <v>38</v>
      </c>
      <c r="G549">
        <v>46.4</v>
      </c>
      <c r="H549" t="s">
        <v>48</v>
      </c>
      <c r="I549" t="s">
        <v>50</v>
      </c>
    </row>
    <row r="550" spans="1:9" x14ac:dyDescent="0.35">
      <c r="A550" s="1">
        <v>45310</v>
      </c>
      <c r="B550" t="s">
        <v>30</v>
      </c>
      <c r="C550" t="s">
        <v>31</v>
      </c>
      <c r="D550" t="s">
        <v>21</v>
      </c>
      <c r="E550" t="s">
        <v>22</v>
      </c>
      <c r="F550">
        <v>32</v>
      </c>
      <c r="G550">
        <v>33.799999999999997</v>
      </c>
      <c r="H550" t="s">
        <v>46</v>
      </c>
      <c r="I550" t="s">
        <v>47</v>
      </c>
    </row>
    <row r="551" spans="1:9" x14ac:dyDescent="0.35">
      <c r="A551" s="1">
        <v>45310</v>
      </c>
      <c r="B551" t="s">
        <v>30</v>
      </c>
      <c r="C551" t="s">
        <v>31</v>
      </c>
      <c r="D551" t="s">
        <v>24</v>
      </c>
      <c r="E551" t="s">
        <v>25</v>
      </c>
      <c r="F551">
        <v>50</v>
      </c>
      <c r="G551">
        <v>50.9</v>
      </c>
      <c r="H551" t="s">
        <v>46</v>
      </c>
      <c r="I551" t="s">
        <v>47</v>
      </c>
    </row>
    <row r="552" spans="1:9" x14ac:dyDescent="0.35">
      <c r="A552" s="1">
        <v>45310</v>
      </c>
      <c r="B552" t="s">
        <v>30</v>
      </c>
      <c r="C552" t="s">
        <v>31</v>
      </c>
      <c r="D552" t="s">
        <v>26</v>
      </c>
      <c r="E552" t="s">
        <v>27</v>
      </c>
      <c r="F552">
        <v>38</v>
      </c>
      <c r="G552">
        <v>37.4</v>
      </c>
      <c r="H552" t="s">
        <v>46</v>
      </c>
      <c r="I552" t="s">
        <v>47</v>
      </c>
    </row>
    <row r="553" spans="1:9" x14ac:dyDescent="0.35">
      <c r="A553" s="1">
        <v>45310</v>
      </c>
      <c r="B553" t="s">
        <v>30</v>
      </c>
      <c r="C553" t="s">
        <v>31</v>
      </c>
      <c r="D553" t="s">
        <v>28</v>
      </c>
      <c r="E553" t="s">
        <v>29</v>
      </c>
      <c r="F553">
        <v>32</v>
      </c>
      <c r="G553">
        <v>31.7</v>
      </c>
      <c r="H553" t="s">
        <v>46</v>
      </c>
      <c r="I553" t="s">
        <v>47</v>
      </c>
    </row>
    <row r="554" spans="1:9" x14ac:dyDescent="0.35">
      <c r="A554" s="1">
        <v>45310</v>
      </c>
      <c r="B554" t="s">
        <v>33</v>
      </c>
      <c r="C554" t="s">
        <v>34</v>
      </c>
      <c r="D554" t="s">
        <v>15</v>
      </c>
      <c r="E554" t="s">
        <v>16</v>
      </c>
      <c r="F554">
        <v>34</v>
      </c>
      <c r="G554">
        <v>36.6</v>
      </c>
      <c r="H554" t="s">
        <v>46</v>
      </c>
      <c r="I554" t="s">
        <v>47</v>
      </c>
    </row>
    <row r="555" spans="1:9" x14ac:dyDescent="0.35">
      <c r="A555" s="1">
        <v>45310</v>
      </c>
      <c r="B555" t="s">
        <v>33</v>
      </c>
      <c r="C555" t="s">
        <v>34</v>
      </c>
      <c r="D555" t="s">
        <v>18</v>
      </c>
      <c r="E555" t="s">
        <v>19</v>
      </c>
      <c r="F555">
        <v>38</v>
      </c>
      <c r="G555">
        <v>38.6</v>
      </c>
      <c r="H555" t="s">
        <v>46</v>
      </c>
      <c r="I555" t="s">
        <v>47</v>
      </c>
    </row>
    <row r="556" spans="1:9" x14ac:dyDescent="0.35">
      <c r="A556" s="1">
        <v>45310</v>
      </c>
      <c r="B556" t="s">
        <v>33</v>
      </c>
      <c r="C556" t="s">
        <v>34</v>
      </c>
      <c r="D556" t="s">
        <v>21</v>
      </c>
      <c r="E556" t="s">
        <v>22</v>
      </c>
      <c r="F556">
        <v>32</v>
      </c>
      <c r="G556">
        <v>31.1</v>
      </c>
      <c r="H556" t="s">
        <v>46</v>
      </c>
      <c r="I556" t="s">
        <v>47</v>
      </c>
    </row>
    <row r="557" spans="1:9" x14ac:dyDescent="0.35">
      <c r="A557" s="1">
        <v>45310</v>
      </c>
      <c r="B557" t="s">
        <v>33</v>
      </c>
      <c r="C557" t="s">
        <v>34</v>
      </c>
      <c r="D557" t="s">
        <v>24</v>
      </c>
      <c r="E557" t="s">
        <v>25</v>
      </c>
      <c r="F557">
        <v>50</v>
      </c>
      <c r="G557">
        <v>52.6</v>
      </c>
      <c r="H557" t="s">
        <v>46</v>
      </c>
      <c r="I557" t="s">
        <v>47</v>
      </c>
    </row>
    <row r="558" spans="1:9" x14ac:dyDescent="0.35">
      <c r="A558" s="1">
        <v>45310</v>
      </c>
      <c r="B558" t="s">
        <v>33</v>
      </c>
      <c r="C558" t="s">
        <v>34</v>
      </c>
      <c r="D558" t="s">
        <v>26</v>
      </c>
      <c r="E558" t="s">
        <v>27</v>
      </c>
      <c r="F558">
        <v>38</v>
      </c>
      <c r="G558">
        <v>40.5</v>
      </c>
      <c r="H558" t="s">
        <v>46</v>
      </c>
      <c r="I558" t="s">
        <v>47</v>
      </c>
    </row>
    <row r="559" spans="1:9" x14ac:dyDescent="0.35">
      <c r="A559" s="1">
        <v>45310</v>
      </c>
      <c r="B559" t="s">
        <v>33</v>
      </c>
      <c r="C559" t="s">
        <v>34</v>
      </c>
      <c r="D559" t="s">
        <v>28</v>
      </c>
      <c r="E559" t="s">
        <v>29</v>
      </c>
      <c r="F559">
        <v>32</v>
      </c>
      <c r="G559">
        <v>40.6</v>
      </c>
      <c r="H559" t="s">
        <v>48</v>
      </c>
      <c r="I559" t="s">
        <v>50</v>
      </c>
    </row>
    <row r="560" spans="1:9" x14ac:dyDescent="0.35">
      <c r="A560" s="1">
        <v>45310</v>
      </c>
      <c r="B560" t="s">
        <v>36</v>
      </c>
      <c r="C560" t="s">
        <v>37</v>
      </c>
      <c r="D560" t="s">
        <v>15</v>
      </c>
      <c r="E560" t="s">
        <v>16</v>
      </c>
      <c r="F560">
        <v>34</v>
      </c>
      <c r="G560">
        <v>35.799999999999997</v>
      </c>
      <c r="H560" t="s">
        <v>46</v>
      </c>
      <c r="I560" t="s">
        <v>47</v>
      </c>
    </row>
    <row r="561" spans="1:9" x14ac:dyDescent="0.35">
      <c r="A561" s="1">
        <v>45310</v>
      </c>
      <c r="B561" t="s">
        <v>36</v>
      </c>
      <c r="C561" t="s">
        <v>37</v>
      </c>
      <c r="D561" t="s">
        <v>18</v>
      </c>
      <c r="E561" t="s">
        <v>19</v>
      </c>
      <c r="F561">
        <v>38</v>
      </c>
      <c r="G561">
        <v>49.9</v>
      </c>
      <c r="H561" t="s">
        <v>48</v>
      </c>
      <c r="I561" t="s">
        <v>49</v>
      </c>
    </row>
    <row r="562" spans="1:9" x14ac:dyDescent="0.35">
      <c r="A562" s="1">
        <v>45310</v>
      </c>
      <c r="B562" t="s">
        <v>36</v>
      </c>
      <c r="C562" t="s">
        <v>37</v>
      </c>
      <c r="D562" t="s">
        <v>21</v>
      </c>
      <c r="E562" t="s">
        <v>22</v>
      </c>
      <c r="F562">
        <v>32</v>
      </c>
      <c r="G562">
        <v>43.6</v>
      </c>
      <c r="H562" t="s">
        <v>48</v>
      </c>
      <c r="I562" t="s">
        <v>49</v>
      </c>
    </row>
    <row r="563" spans="1:9" x14ac:dyDescent="0.35">
      <c r="A563" s="1">
        <v>45310</v>
      </c>
      <c r="B563" t="s">
        <v>36</v>
      </c>
      <c r="C563" t="s">
        <v>37</v>
      </c>
      <c r="D563" t="s">
        <v>24</v>
      </c>
      <c r="E563" t="s">
        <v>25</v>
      </c>
      <c r="F563">
        <v>50</v>
      </c>
      <c r="G563">
        <v>49.3</v>
      </c>
      <c r="H563" t="s">
        <v>46</v>
      </c>
      <c r="I563" t="s">
        <v>47</v>
      </c>
    </row>
    <row r="564" spans="1:9" x14ac:dyDescent="0.35">
      <c r="A564" s="1">
        <v>45310</v>
      </c>
      <c r="B564" t="s">
        <v>36</v>
      </c>
      <c r="C564" t="s">
        <v>37</v>
      </c>
      <c r="D564" t="s">
        <v>26</v>
      </c>
      <c r="E564" t="s">
        <v>27</v>
      </c>
      <c r="F564">
        <v>38</v>
      </c>
      <c r="G564">
        <v>39.9</v>
      </c>
      <c r="H564" t="s">
        <v>46</v>
      </c>
      <c r="I564" t="s">
        <v>47</v>
      </c>
    </row>
    <row r="565" spans="1:9" x14ac:dyDescent="0.35">
      <c r="A565" s="1">
        <v>45310</v>
      </c>
      <c r="B565" t="s">
        <v>36</v>
      </c>
      <c r="C565" t="s">
        <v>37</v>
      </c>
      <c r="D565" t="s">
        <v>28</v>
      </c>
      <c r="E565" t="s">
        <v>29</v>
      </c>
      <c r="F565">
        <v>32</v>
      </c>
      <c r="G565">
        <v>33.4</v>
      </c>
      <c r="H565" t="s">
        <v>46</v>
      </c>
      <c r="I565" t="s">
        <v>47</v>
      </c>
    </row>
    <row r="566" spans="1:9" x14ac:dyDescent="0.35">
      <c r="A566" s="1">
        <v>45310</v>
      </c>
      <c r="B566" t="s">
        <v>39</v>
      </c>
      <c r="C566" t="s">
        <v>40</v>
      </c>
      <c r="D566" t="s">
        <v>15</v>
      </c>
      <c r="E566" t="s">
        <v>16</v>
      </c>
      <c r="F566">
        <v>34</v>
      </c>
      <c r="G566">
        <v>44.4</v>
      </c>
      <c r="H566" t="s">
        <v>48</v>
      </c>
      <c r="I566" t="s">
        <v>49</v>
      </c>
    </row>
    <row r="567" spans="1:9" x14ac:dyDescent="0.35">
      <c r="A567" s="1">
        <v>45310</v>
      </c>
      <c r="B567" t="s">
        <v>39</v>
      </c>
      <c r="C567" t="s">
        <v>40</v>
      </c>
      <c r="D567" t="s">
        <v>18</v>
      </c>
      <c r="E567" t="s">
        <v>19</v>
      </c>
      <c r="F567">
        <v>38</v>
      </c>
      <c r="G567">
        <v>45.4</v>
      </c>
      <c r="H567" t="s">
        <v>48</v>
      </c>
      <c r="I567" t="s">
        <v>50</v>
      </c>
    </row>
    <row r="568" spans="1:9" x14ac:dyDescent="0.35">
      <c r="A568" s="1">
        <v>45310</v>
      </c>
      <c r="B568" t="s">
        <v>39</v>
      </c>
      <c r="C568" t="s">
        <v>40</v>
      </c>
      <c r="D568" t="s">
        <v>21</v>
      </c>
      <c r="E568" t="s">
        <v>22</v>
      </c>
      <c r="F568">
        <v>32</v>
      </c>
      <c r="G568">
        <v>34.5</v>
      </c>
      <c r="H568" t="s">
        <v>46</v>
      </c>
      <c r="I568" t="s">
        <v>47</v>
      </c>
    </row>
    <row r="569" spans="1:9" x14ac:dyDescent="0.35">
      <c r="A569" s="1">
        <v>45310</v>
      </c>
      <c r="B569" t="s">
        <v>39</v>
      </c>
      <c r="C569" t="s">
        <v>40</v>
      </c>
      <c r="D569" t="s">
        <v>24</v>
      </c>
      <c r="E569" t="s">
        <v>25</v>
      </c>
      <c r="F569">
        <v>50</v>
      </c>
      <c r="G569">
        <v>49.6</v>
      </c>
      <c r="H569" t="s">
        <v>46</v>
      </c>
      <c r="I569" t="s">
        <v>47</v>
      </c>
    </row>
    <row r="570" spans="1:9" x14ac:dyDescent="0.35">
      <c r="A570" s="1">
        <v>45310</v>
      </c>
      <c r="B570" t="s">
        <v>39</v>
      </c>
      <c r="C570" t="s">
        <v>40</v>
      </c>
      <c r="D570" t="s">
        <v>26</v>
      </c>
      <c r="E570" t="s">
        <v>27</v>
      </c>
      <c r="F570">
        <v>38</v>
      </c>
      <c r="G570">
        <v>50.2</v>
      </c>
      <c r="H570" t="s">
        <v>48</v>
      </c>
      <c r="I570" t="s">
        <v>49</v>
      </c>
    </row>
    <row r="571" spans="1:9" x14ac:dyDescent="0.35">
      <c r="A571" s="1">
        <v>45310</v>
      </c>
      <c r="B571" t="s">
        <v>39</v>
      </c>
      <c r="C571" t="s">
        <v>40</v>
      </c>
      <c r="D571" t="s">
        <v>28</v>
      </c>
      <c r="E571" t="s">
        <v>29</v>
      </c>
      <c r="F571">
        <v>32</v>
      </c>
      <c r="G571">
        <v>40.5</v>
      </c>
      <c r="H571" t="s">
        <v>48</v>
      </c>
      <c r="I571" t="s">
        <v>50</v>
      </c>
    </row>
    <row r="572" spans="1:9" x14ac:dyDescent="0.35">
      <c r="A572" s="1">
        <v>45311</v>
      </c>
      <c r="B572" t="s">
        <v>12</v>
      </c>
      <c r="C572" t="s">
        <v>13</v>
      </c>
      <c r="D572" t="s">
        <v>15</v>
      </c>
      <c r="E572" t="s">
        <v>16</v>
      </c>
      <c r="F572">
        <v>34</v>
      </c>
      <c r="G572">
        <v>36.799999999999997</v>
      </c>
      <c r="H572" t="s">
        <v>46</v>
      </c>
      <c r="I572" t="s">
        <v>47</v>
      </c>
    </row>
    <row r="573" spans="1:9" x14ac:dyDescent="0.35">
      <c r="A573" s="1">
        <v>45311</v>
      </c>
      <c r="B573" t="s">
        <v>12</v>
      </c>
      <c r="C573" t="s">
        <v>13</v>
      </c>
      <c r="D573" t="s">
        <v>18</v>
      </c>
      <c r="E573" t="s">
        <v>19</v>
      </c>
      <c r="F573">
        <v>38</v>
      </c>
      <c r="G573">
        <v>37.700000000000003</v>
      </c>
      <c r="H573" t="s">
        <v>46</v>
      </c>
      <c r="I573" t="s">
        <v>47</v>
      </c>
    </row>
    <row r="574" spans="1:9" x14ac:dyDescent="0.35">
      <c r="A574" s="1">
        <v>45311</v>
      </c>
      <c r="B574" t="s">
        <v>12</v>
      </c>
      <c r="C574" t="s">
        <v>13</v>
      </c>
      <c r="D574" t="s">
        <v>21</v>
      </c>
      <c r="E574" t="s">
        <v>22</v>
      </c>
      <c r="F574">
        <v>32</v>
      </c>
      <c r="G574">
        <v>34.799999999999997</v>
      </c>
      <c r="H574" t="s">
        <v>46</v>
      </c>
      <c r="I574" t="s">
        <v>47</v>
      </c>
    </row>
    <row r="575" spans="1:9" x14ac:dyDescent="0.35">
      <c r="A575" s="1">
        <v>45311</v>
      </c>
      <c r="B575" t="s">
        <v>12</v>
      </c>
      <c r="C575" t="s">
        <v>13</v>
      </c>
      <c r="D575" t="s">
        <v>24</v>
      </c>
      <c r="E575" t="s">
        <v>25</v>
      </c>
      <c r="F575">
        <v>50</v>
      </c>
      <c r="G575">
        <v>62.1</v>
      </c>
      <c r="H575" t="s">
        <v>48</v>
      </c>
      <c r="I575" t="s">
        <v>49</v>
      </c>
    </row>
    <row r="576" spans="1:9" x14ac:dyDescent="0.35">
      <c r="A576" s="1">
        <v>45311</v>
      </c>
      <c r="B576" t="s">
        <v>12</v>
      </c>
      <c r="C576" t="s">
        <v>13</v>
      </c>
      <c r="D576" t="s">
        <v>26</v>
      </c>
      <c r="E576" t="s">
        <v>27</v>
      </c>
      <c r="F576">
        <v>38</v>
      </c>
      <c r="G576">
        <v>48</v>
      </c>
      <c r="H576" t="s">
        <v>48</v>
      </c>
      <c r="I576" t="s">
        <v>50</v>
      </c>
    </row>
    <row r="577" spans="1:9" x14ac:dyDescent="0.35">
      <c r="A577" s="1">
        <v>45311</v>
      </c>
      <c r="B577" t="s">
        <v>12</v>
      </c>
      <c r="C577" t="s">
        <v>13</v>
      </c>
      <c r="D577" t="s">
        <v>28</v>
      </c>
      <c r="E577" t="s">
        <v>29</v>
      </c>
      <c r="F577">
        <v>32</v>
      </c>
      <c r="G577">
        <v>34.200000000000003</v>
      </c>
      <c r="H577" t="s">
        <v>46</v>
      </c>
      <c r="I577" t="s">
        <v>47</v>
      </c>
    </row>
    <row r="578" spans="1:9" x14ac:dyDescent="0.35">
      <c r="A578" s="1">
        <v>45311</v>
      </c>
      <c r="B578" t="s">
        <v>30</v>
      </c>
      <c r="C578" t="s">
        <v>31</v>
      </c>
      <c r="D578" t="s">
        <v>15</v>
      </c>
      <c r="E578" t="s">
        <v>16</v>
      </c>
      <c r="F578">
        <v>34</v>
      </c>
      <c r="G578">
        <v>35</v>
      </c>
      <c r="H578" t="s">
        <v>46</v>
      </c>
      <c r="I578" t="s">
        <v>47</v>
      </c>
    </row>
    <row r="579" spans="1:9" x14ac:dyDescent="0.35">
      <c r="A579" s="1">
        <v>45311</v>
      </c>
      <c r="B579" t="s">
        <v>30</v>
      </c>
      <c r="C579" t="s">
        <v>31</v>
      </c>
      <c r="D579" t="s">
        <v>18</v>
      </c>
      <c r="E579" t="s">
        <v>19</v>
      </c>
      <c r="F579">
        <v>38</v>
      </c>
      <c r="G579">
        <v>39.6</v>
      </c>
      <c r="H579" t="s">
        <v>46</v>
      </c>
      <c r="I579" t="s">
        <v>47</v>
      </c>
    </row>
    <row r="580" spans="1:9" x14ac:dyDescent="0.35">
      <c r="A580" s="1">
        <v>45311</v>
      </c>
      <c r="B580" t="s">
        <v>30</v>
      </c>
      <c r="C580" t="s">
        <v>31</v>
      </c>
      <c r="D580" t="s">
        <v>21</v>
      </c>
      <c r="E580" t="s">
        <v>22</v>
      </c>
      <c r="F580">
        <v>32</v>
      </c>
      <c r="G580">
        <v>32.799999999999997</v>
      </c>
      <c r="H580" t="s">
        <v>46</v>
      </c>
      <c r="I580" t="s">
        <v>47</v>
      </c>
    </row>
    <row r="581" spans="1:9" x14ac:dyDescent="0.35">
      <c r="A581" s="1">
        <v>45311</v>
      </c>
      <c r="B581" t="s">
        <v>30</v>
      </c>
      <c r="C581" t="s">
        <v>31</v>
      </c>
      <c r="D581" t="s">
        <v>24</v>
      </c>
      <c r="E581" t="s">
        <v>25</v>
      </c>
      <c r="F581">
        <v>50</v>
      </c>
      <c r="G581">
        <v>49</v>
      </c>
      <c r="H581" t="s">
        <v>46</v>
      </c>
      <c r="I581" t="s">
        <v>47</v>
      </c>
    </row>
    <row r="582" spans="1:9" x14ac:dyDescent="0.35">
      <c r="A582" s="1">
        <v>45311</v>
      </c>
      <c r="B582" t="s">
        <v>30</v>
      </c>
      <c r="C582" t="s">
        <v>31</v>
      </c>
      <c r="D582" t="s">
        <v>26</v>
      </c>
      <c r="E582" t="s">
        <v>27</v>
      </c>
      <c r="F582">
        <v>38</v>
      </c>
      <c r="G582">
        <v>38.1</v>
      </c>
      <c r="H582" t="s">
        <v>46</v>
      </c>
      <c r="I582" t="s">
        <v>47</v>
      </c>
    </row>
    <row r="583" spans="1:9" x14ac:dyDescent="0.35">
      <c r="A583" s="1">
        <v>45311</v>
      </c>
      <c r="B583" t="s">
        <v>30</v>
      </c>
      <c r="C583" t="s">
        <v>31</v>
      </c>
      <c r="D583" t="s">
        <v>28</v>
      </c>
      <c r="E583" t="s">
        <v>29</v>
      </c>
      <c r="F583">
        <v>32</v>
      </c>
      <c r="G583">
        <v>34.299999999999997</v>
      </c>
      <c r="H583" t="s">
        <v>46</v>
      </c>
      <c r="I583" t="s">
        <v>47</v>
      </c>
    </row>
    <row r="584" spans="1:9" x14ac:dyDescent="0.35">
      <c r="A584" s="1">
        <v>45311</v>
      </c>
      <c r="B584" t="s">
        <v>33</v>
      </c>
      <c r="C584" t="s">
        <v>34</v>
      </c>
      <c r="D584" t="s">
        <v>15</v>
      </c>
      <c r="E584" t="s">
        <v>16</v>
      </c>
      <c r="F584">
        <v>34</v>
      </c>
      <c r="G584">
        <v>33.700000000000003</v>
      </c>
      <c r="H584" t="s">
        <v>46</v>
      </c>
      <c r="I584" t="s">
        <v>47</v>
      </c>
    </row>
    <row r="585" spans="1:9" x14ac:dyDescent="0.35">
      <c r="A585" s="1">
        <v>45311</v>
      </c>
      <c r="B585" t="s">
        <v>33</v>
      </c>
      <c r="C585" t="s">
        <v>34</v>
      </c>
      <c r="D585" t="s">
        <v>18</v>
      </c>
      <c r="E585" t="s">
        <v>19</v>
      </c>
      <c r="F585">
        <v>38</v>
      </c>
      <c r="G585">
        <v>46.8</v>
      </c>
      <c r="H585" t="s">
        <v>48</v>
      </c>
      <c r="I585" t="s">
        <v>50</v>
      </c>
    </row>
    <row r="586" spans="1:9" x14ac:dyDescent="0.35">
      <c r="A586" s="1">
        <v>45311</v>
      </c>
      <c r="B586" t="s">
        <v>33</v>
      </c>
      <c r="C586" t="s">
        <v>34</v>
      </c>
      <c r="D586" t="s">
        <v>21</v>
      </c>
      <c r="E586" t="s">
        <v>22</v>
      </c>
      <c r="F586">
        <v>32</v>
      </c>
      <c r="G586">
        <v>38.299999999999997</v>
      </c>
      <c r="H586" t="s">
        <v>48</v>
      </c>
      <c r="I586" t="s">
        <v>50</v>
      </c>
    </row>
    <row r="587" spans="1:9" x14ac:dyDescent="0.35">
      <c r="A587" s="1">
        <v>45311</v>
      </c>
      <c r="B587" t="s">
        <v>33</v>
      </c>
      <c r="C587" t="s">
        <v>34</v>
      </c>
      <c r="D587" t="s">
        <v>24</v>
      </c>
      <c r="E587" t="s">
        <v>25</v>
      </c>
      <c r="F587">
        <v>50</v>
      </c>
      <c r="G587">
        <v>51.4</v>
      </c>
      <c r="H587" t="s">
        <v>46</v>
      </c>
      <c r="I587" t="s">
        <v>47</v>
      </c>
    </row>
    <row r="588" spans="1:9" x14ac:dyDescent="0.35">
      <c r="A588" s="1">
        <v>45311</v>
      </c>
      <c r="B588" t="s">
        <v>33</v>
      </c>
      <c r="C588" t="s">
        <v>34</v>
      </c>
      <c r="D588" t="s">
        <v>26</v>
      </c>
      <c r="E588" t="s">
        <v>27</v>
      </c>
      <c r="F588">
        <v>38</v>
      </c>
      <c r="G588">
        <v>37.4</v>
      </c>
      <c r="H588" t="s">
        <v>46</v>
      </c>
      <c r="I588" t="s">
        <v>47</v>
      </c>
    </row>
    <row r="589" spans="1:9" x14ac:dyDescent="0.35">
      <c r="A589" s="1">
        <v>45311</v>
      </c>
      <c r="B589" t="s">
        <v>33</v>
      </c>
      <c r="C589" t="s">
        <v>34</v>
      </c>
      <c r="D589" t="s">
        <v>28</v>
      </c>
      <c r="E589" t="s">
        <v>29</v>
      </c>
      <c r="F589">
        <v>32</v>
      </c>
      <c r="G589">
        <v>45.9</v>
      </c>
      <c r="H589" t="s">
        <v>48</v>
      </c>
      <c r="I589" t="s">
        <v>49</v>
      </c>
    </row>
    <row r="590" spans="1:9" x14ac:dyDescent="0.35">
      <c r="A590" s="1">
        <v>45311</v>
      </c>
      <c r="B590" t="s">
        <v>36</v>
      </c>
      <c r="C590" t="s">
        <v>37</v>
      </c>
      <c r="D590" t="s">
        <v>15</v>
      </c>
      <c r="E590" t="s">
        <v>16</v>
      </c>
      <c r="F590">
        <v>34</v>
      </c>
      <c r="G590">
        <v>42.3</v>
      </c>
      <c r="H590" t="s">
        <v>48</v>
      </c>
      <c r="I590" t="s">
        <v>50</v>
      </c>
    </row>
    <row r="591" spans="1:9" x14ac:dyDescent="0.35">
      <c r="A591" s="1">
        <v>45311</v>
      </c>
      <c r="B591" t="s">
        <v>36</v>
      </c>
      <c r="C591" t="s">
        <v>37</v>
      </c>
      <c r="D591" t="s">
        <v>18</v>
      </c>
      <c r="E591" t="s">
        <v>19</v>
      </c>
      <c r="F591">
        <v>38</v>
      </c>
      <c r="G591">
        <v>39.799999999999997</v>
      </c>
      <c r="H591" t="s">
        <v>46</v>
      </c>
      <c r="I591" t="s">
        <v>47</v>
      </c>
    </row>
    <row r="592" spans="1:9" x14ac:dyDescent="0.35">
      <c r="A592" s="1">
        <v>45311</v>
      </c>
      <c r="B592" t="s">
        <v>36</v>
      </c>
      <c r="C592" t="s">
        <v>37</v>
      </c>
      <c r="D592" t="s">
        <v>21</v>
      </c>
      <c r="E592" t="s">
        <v>22</v>
      </c>
      <c r="F592">
        <v>32</v>
      </c>
      <c r="G592">
        <v>33.200000000000003</v>
      </c>
      <c r="H592" t="s">
        <v>46</v>
      </c>
      <c r="I592" t="s">
        <v>47</v>
      </c>
    </row>
    <row r="593" spans="1:9" x14ac:dyDescent="0.35">
      <c r="A593" s="1">
        <v>45311</v>
      </c>
      <c r="B593" t="s">
        <v>36</v>
      </c>
      <c r="C593" t="s">
        <v>37</v>
      </c>
      <c r="D593" t="s">
        <v>24</v>
      </c>
      <c r="E593" t="s">
        <v>25</v>
      </c>
      <c r="F593">
        <v>50</v>
      </c>
      <c r="G593">
        <v>52</v>
      </c>
      <c r="H593" t="s">
        <v>46</v>
      </c>
      <c r="I593" t="s">
        <v>47</v>
      </c>
    </row>
    <row r="594" spans="1:9" x14ac:dyDescent="0.35">
      <c r="A594" s="1">
        <v>45311</v>
      </c>
      <c r="B594" t="s">
        <v>36</v>
      </c>
      <c r="C594" t="s">
        <v>37</v>
      </c>
      <c r="D594" t="s">
        <v>26</v>
      </c>
      <c r="E594" t="s">
        <v>27</v>
      </c>
      <c r="F594">
        <v>38</v>
      </c>
      <c r="G594">
        <v>37.1</v>
      </c>
      <c r="H594" t="s">
        <v>46</v>
      </c>
      <c r="I594" t="s">
        <v>47</v>
      </c>
    </row>
    <row r="595" spans="1:9" x14ac:dyDescent="0.35">
      <c r="A595" s="1">
        <v>45311</v>
      </c>
      <c r="B595" t="s">
        <v>36</v>
      </c>
      <c r="C595" t="s">
        <v>37</v>
      </c>
      <c r="D595" t="s">
        <v>28</v>
      </c>
      <c r="E595" t="s">
        <v>29</v>
      </c>
      <c r="F595">
        <v>32</v>
      </c>
      <c r="G595">
        <v>32.299999999999997</v>
      </c>
      <c r="H595" t="s">
        <v>46</v>
      </c>
      <c r="I595" t="s">
        <v>47</v>
      </c>
    </row>
    <row r="596" spans="1:9" x14ac:dyDescent="0.35">
      <c r="A596" s="1">
        <v>45311</v>
      </c>
      <c r="B596" t="s">
        <v>39</v>
      </c>
      <c r="C596" t="s">
        <v>40</v>
      </c>
      <c r="D596" t="s">
        <v>15</v>
      </c>
      <c r="E596" t="s">
        <v>16</v>
      </c>
      <c r="F596">
        <v>34</v>
      </c>
      <c r="G596">
        <v>36.299999999999997</v>
      </c>
      <c r="H596" t="s">
        <v>46</v>
      </c>
      <c r="I596" t="s">
        <v>47</v>
      </c>
    </row>
    <row r="597" spans="1:9" x14ac:dyDescent="0.35">
      <c r="A597" s="1">
        <v>45311</v>
      </c>
      <c r="B597" t="s">
        <v>39</v>
      </c>
      <c r="C597" t="s">
        <v>40</v>
      </c>
      <c r="D597" t="s">
        <v>18</v>
      </c>
      <c r="E597" t="s">
        <v>19</v>
      </c>
      <c r="F597">
        <v>38</v>
      </c>
      <c r="G597">
        <v>40.4</v>
      </c>
      <c r="H597" t="s">
        <v>46</v>
      </c>
      <c r="I597" t="s">
        <v>47</v>
      </c>
    </row>
    <row r="598" spans="1:9" x14ac:dyDescent="0.35">
      <c r="A598" s="1">
        <v>45311</v>
      </c>
      <c r="B598" t="s">
        <v>39</v>
      </c>
      <c r="C598" t="s">
        <v>40</v>
      </c>
      <c r="D598" t="s">
        <v>21</v>
      </c>
      <c r="E598" t="s">
        <v>22</v>
      </c>
      <c r="F598">
        <v>32</v>
      </c>
      <c r="G598">
        <v>41.8</v>
      </c>
      <c r="H598" t="s">
        <v>48</v>
      </c>
      <c r="I598" t="s">
        <v>50</v>
      </c>
    </row>
    <row r="599" spans="1:9" x14ac:dyDescent="0.35">
      <c r="A599" s="1">
        <v>45311</v>
      </c>
      <c r="B599" t="s">
        <v>39</v>
      </c>
      <c r="C599" t="s">
        <v>40</v>
      </c>
      <c r="D599" t="s">
        <v>24</v>
      </c>
      <c r="E599" t="s">
        <v>25</v>
      </c>
      <c r="F599">
        <v>50</v>
      </c>
      <c r="G599">
        <v>62.9</v>
      </c>
      <c r="H599" t="s">
        <v>48</v>
      </c>
      <c r="I599" t="s">
        <v>49</v>
      </c>
    </row>
    <row r="600" spans="1:9" x14ac:dyDescent="0.35">
      <c r="A600" s="1">
        <v>45311</v>
      </c>
      <c r="B600" t="s">
        <v>39</v>
      </c>
      <c r="C600" t="s">
        <v>40</v>
      </c>
      <c r="D600" t="s">
        <v>26</v>
      </c>
      <c r="E600" t="s">
        <v>27</v>
      </c>
      <c r="F600">
        <v>38</v>
      </c>
      <c r="G600">
        <v>38.700000000000003</v>
      </c>
      <c r="H600" t="s">
        <v>46</v>
      </c>
      <c r="I600" t="s">
        <v>47</v>
      </c>
    </row>
    <row r="601" spans="1:9" x14ac:dyDescent="0.35">
      <c r="A601" s="1">
        <v>45311</v>
      </c>
      <c r="B601" t="s">
        <v>39</v>
      </c>
      <c r="C601" t="s">
        <v>40</v>
      </c>
      <c r="D601" t="s">
        <v>28</v>
      </c>
      <c r="E601" t="s">
        <v>29</v>
      </c>
      <c r="F601">
        <v>32</v>
      </c>
      <c r="G601">
        <v>31.8</v>
      </c>
      <c r="H601" t="s">
        <v>46</v>
      </c>
      <c r="I601" t="s">
        <v>47</v>
      </c>
    </row>
    <row r="602" spans="1:9" x14ac:dyDescent="0.35">
      <c r="A602" s="1">
        <v>45312</v>
      </c>
      <c r="B602" t="s">
        <v>12</v>
      </c>
      <c r="C602" t="s">
        <v>13</v>
      </c>
      <c r="D602" t="s">
        <v>15</v>
      </c>
      <c r="E602" t="s">
        <v>16</v>
      </c>
      <c r="F602">
        <v>34</v>
      </c>
      <c r="G602">
        <v>44.6</v>
      </c>
      <c r="H602" t="s">
        <v>48</v>
      </c>
      <c r="I602" t="s">
        <v>49</v>
      </c>
    </row>
    <row r="603" spans="1:9" x14ac:dyDescent="0.35">
      <c r="A603" s="1">
        <v>45312</v>
      </c>
      <c r="B603" t="s">
        <v>12</v>
      </c>
      <c r="C603" t="s">
        <v>13</v>
      </c>
      <c r="D603" t="s">
        <v>18</v>
      </c>
      <c r="E603" t="s">
        <v>19</v>
      </c>
      <c r="F603">
        <v>38</v>
      </c>
      <c r="G603">
        <v>39.1</v>
      </c>
      <c r="H603" t="s">
        <v>46</v>
      </c>
      <c r="I603" t="s">
        <v>47</v>
      </c>
    </row>
    <row r="604" spans="1:9" x14ac:dyDescent="0.35">
      <c r="A604" s="1">
        <v>45312</v>
      </c>
      <c r="B604" t="s">
        <v>12</v>
      </c>
      <c r="C604" t="s">
        <v>13</v>
      </c>
      <c r="D604" t="s">
        <v>21</v>
      </c>
      <c r="E604" t="s">
        <v>22</v>
      </c>
      <c r="F604">
        <v>32</v>
      </c>
      <c r="G604">
        <v>43.8</v>
      </c>
      <c r="H604" t="s">
        <v>48</v>
      </c>
      <c r="I604" t="s">
        <v>49</v>
      </c>
    </row>
    <row r="605" spans="1:9" x14ac:dyDescent="0.35">
      <c r="A605" s="1">
        <v>45312</v>
      </c>
      <c r="B605" t="s">
        <v>12</v>
      </c>
      <c r="C605" t="s">
        <v>13</v>
      </c>
      <c r="D605" t="s">
        <v>24</v>
      </c>
      <c r="E605" t="s">
        <v>25</v>
      </c>
      <c r="F605">
        <v>50</v>
      </c>
      <c r="G605">
        <v>52.2</v>
      </c>
      <c r="H605" t="s">
        <v>46</v>
      </c>
      <c r="I605" t="s">
        <v>47</v>
      </c>
    </row>
    <row r="606" spans="1:9" x14ac:dyDescent="0.35">
      <c r="A606" s="1">
        <v>45312</v>
      </c>
      <c r="B606" t="s">
        <v>12</v>
      </c>
      <c r="C606" t="s">
        <v>13</v>
      </c>
      <c r="D606" t="s">
        <v>26</v>
      </c>
      <c r="E606" t="s">
        <v>27</v>
      </c>
      <c r="F606">
        <v>38</v>
      </c>
      <c r="G606">
        <v>38.700000000000003</v>
      </c>
      <c r="H606" t="s">
        <v>46</v>
      </c>
      <c r="I606" t="s">
        <v>47</v>
      </c>
    </row>
    <row r="607" spans="1:9" x14ac:dyDescent="0.35">
      <c r="A607" s="1">
        <v>45312</v>
      </c>
      <c r="B607" t="s">
        <v>12</v>
      </c>
      <c r="C607" t="s">
        <v>13</v>
      </c>
      <c r="D607" t="s">
        <v>28</v>
      </c>
      <c r="E607" t="s">
        <v>29</v>
      </c>
      <c r="F607">
        <v>32</v>
      </c>
      <c r="G607">
        <v>32</v>
      </c>
      <c r="H607" t="s">
        <v>46</v>
      </c>
      <c r="I607" t="s">
        <v>47</v>
      </c>
    </row>
    <row r="608" spans="1:9" x14ac:dyDescent="0.35">
      <c r="A608" s="1">
        <v>45312</v>
      </c>
      <c r="B608" t="s">
        <v>30</v>
      </c>
      <c r="C608" t="s">
        <v>31</v>
      </c>
      <c r="D608" t="s">
        <v>15</v>
      </c>
      <c r="E608" t="s">
        <v>16</v>
      </c>
      <c r="F608">
        <v>34</v>
      </c>
      <c r="G608">
        <v>35.5</v>
      </c>
      <c r="H608" t="s">
        <v>46</v>
      </c>
      <c r="I608" t="s">
        <v>47</v>
      </c>
    </row>
    <row r="609" spans="1:9" x14ac:dyDescent="0.35">
      <c r="A609" s="1">
        <v>45312</v>
      </c>
      <c r="B609" t="s">
        <v>30</v>
      </c>
      <c r="C609" t="s">
        <v>31</v>
      </c>
      <c r="D609" t="s">
        <v>18</v>
      </c>
      <c r="E609" t="s">
        <v>19</v>
      </c>
      <c r="F609">
        <v>38</v>
      </c>
      <c r="G609">
        <v>39.5</v>
      </c>
      <c r="H609" t="s">
        <v>46</v>
      </c>
      <c r="I609" t="s">
        <v>47</v>
      </c>
    </row>
    <row r="610" spans="1:9" x14ac:dyDescent="0.35">
      <c r="A610" s="1">
        <v>45312</v>
      </c>
      <c r="B610" t="s">
        <v>30</v>
      </c>
      <c r="C610" t="s">
        <v>31</v>
      </c>
      <c r="D610" t="s">
        <v>21</v>
      </c>
      <c r="E610" t="s">
        <v>22</v>
      </c>
      <c r="F610">
        <v>32</v>
      </c>
      <c r="G610">
        <v>33.9</v>
      </c>
      <c r="H610" t="s">
        <v>46</v>
      </c>
      <c r="I610" t="s">
        <v>47</v>
      </c>
    </row>
    <row r="611" spans="1:9" x14ac:dyDescent="0.35">
      <c r="A611" s="1">
        <v>45312</v>
      </c>
      <c r="B611" t="s">
        <v>30</v>
      </c>
      <c r="C611" t="s">
        <v>31</v>
      </c>
      <c r="D611" t="s">
        <v>24</v>
      </c>
      <c r="E611" t="s">
        <v>25</v>
      </c>
      <c r="F611">
        <v>50</v>
      </c>
      <c r="G611">
        <v>52.2</v>
      </c>
      <c r="H611" t="s">
        <v>46</v>
      </c>
      <c r="I611" t="s">
        <v>47</v>
      </c>
    </row>
    <row r="612" spans="1:9" x14ac:dyDescent="0.35">
      <c r="A612" s="1">
        <v>45312</v>
      </c>
      <c r="B612" t="s">
        <v>30</v>
      </c>
      <c r="C612" t="s">
        <v>31</v>
      </c>
      <c r="D612" t="s">
        <v>26</v>
      </c>
      <c r="E612" t="s">
        <v>27</v>
      </c>
      <c r="F612">
        <v>38</v>
      </c>
      <c r="G612">
        <v>37.9</v>
      </c>
      <c r="H612" t="s">
        <v>46</v>
      </c>
      <c r="I612" t="s">
        <v>47</v>
      </c>
    </row>
    <row r="613" spans="1:9" x14ac:dyDescent="0.35">
      <c r="A613" s="1">
        <v>45312</v>
      </c>
      <c r="B613" t="s">
        <v>30</v>
      </c>
      <c r="C613" t="s">
        <v>31</v>
      </c>
      <c r="D613" t="s">
        <v>28</v>
      </c>
      <c r="E613" t="s">
        <v>29</v>
      </c>
      <c r="F613">
        <v>32</v>
      </c>
      <c r="G613">
        <v>31.8</v>
      </c>
      <c r="H613" t="s">
        <v>46</v>
      </c>
      <c r="I613" t="s">
        <v>47</v>
      </c>
    </row>
    <row r="614" spans="1:9" x14ac:dyDescent="0.35">
      <c r="A614" s="1">
        <v>45312</v>
      </c>
      <c r="B614" t="s">
        <v>33</v>
      </c>
      <c r="C614" t="s">
        <v>34</v>
      </c>
      <c r="D614" t="s">
        <v>15</v>
      </c>
      <c r="E614" t="s">
        <v>16</v>
      </c>
      <c r="F614">
        <v>34</v>
      </c>
      <c r="G614">
        <v>43.7</v>
      </c>
      <c r="H614" t="s">
        <v>48</v>
      </c>
      <c r="I614" t="s">
        <v>50</v>
      </c>
    </row>
    <row r="615" spans="1:9" x14ac:dyDescent="0.35">
      <c r="A615" s="1">
        <v>45312</v>
      </c>
      <c r="B615" t="s">
        <v>33</v>
      </c>
      <c r="C615" t="s">
        <v>34</v>
      </c>
      <c r="D615" t="s">
        <v>18</v>
      </c>
      <c r="E615" t="s">
        <v>19</v>
      </c>
      <c r="F615">
        <v>38</v>
      </c>
      <c r="G615">
        <v>39.9</v>
      </c>
      <c r="H615" t="s">
        <v>46</v>
      </c>
      <c r="I615" t="s">
        <v>47</v>
      </c>
    </row>
    <row r="616" spans="1:9" x14ac:dyDescent="0.35">
      <c r="A616" s="1">
        <v>45312</v>
      </c>
      <c r="B616" t="s">
        <v>33</v>
      </c>
      <c r="C616" t="s">
        <v>34</v>
      </c>
      <c r="D616" t="s">
        <v>21</v>
      </c>
      <c r="E616" t="s">
        <v>22</v>
      </c>
      <c r="F616">
        <v>32</v>
      </c>
      <c r="G616">
        <v>33.5</v>
      </c>
      <c r="H616" t="s">
        <v>46</v>
      </c>
      <c r="I616" t="s">
        <v>47</v>
      </c>
    </row>
    <row r="617" spans="1:9" x14ac:dyDescent="0.35">
      <c r="A617" s="1">
        <v>45312</v>
      </c>
      <c r="B617" t="s">
        <v>33</v>
      </c>
      <c r="C617" t="s">
        <v>34</v>
      </c>
      <c r="D617" t="s">
        <v>24</v>
      </c>
      <c r="E617" t="s">
        <v>25</v>
      </c>
      <c r="F617">
        <v>50</v>
      </c>
      <c r="G617">
        <v>49.2</v>
      </c>
      <c r="H617" t="s">
        <v>46</v>
      </c>
      <c r="I617" t="s">
        <v>47</v>
      </c>
    </row>
    <row r="618" spans="1:9" x14ac:dyDescent="0.35">
      <c r="A618" s="1">
        <v>45312</v>
      </c>
      <c r="B618" t="s">
        <v>33</v>
      </c>
      <c r="C618" t="s">
        <v>34</v>
      </c>
      <c r="D618" t="s">
        <v>26</v>
      </c>
      <c r="E618" t="s">
        <v>27</v>
      </c>
      <c r="F618">
        <v>38</v>
      </c>
      <c r="G618">
        <v>40.200000000000003</v>
      </c>
      <c r="H618" t="s">
        <v>46</v>
      </c>
      <c r="I618" t="s">
        <v>47</v>
      </c>
    </row>
    <row r="619" spans="1:9" x14ac:dyDescent="0.35">
      <c r="A619" s="1">
        <v>45312</v>
      </c>
      <c r="B619" t="s">
        <v>33</v>
      </c>
      <c r="C619" t="s">
        <v>34</v>
      </c>
      <c r="D619" t="s">
        <v>28</v>
      </c>
      <c r="E619" t="s">
        <v>29</v>
      </c>
      <c r="F619">
        <v>32</v>
      </c>
      <c r="G619">
        <v>33.6</v>
      </c>
      <c r="H619" t="s">
        <v>46</v>
      </c>
      <c r="I619" t="s">
        <v>47</v>
      </c>
    </row>
    <row r="620" spans="1:9" x14ac:dyDescent="0.35">
      <c r="A620" s="1">
        <v>45312</v>
      </c>
      <c r="B620" t="s">
        <v>36</v>
      </c>
      <c r="C620" t="s">
        <v>37</v>
      </c>
      <c r="D620" t="s">
        <v>15</v>
      </c>
      <c r="E620" t="s">
        <v>16</v>
      </c>
      <c r="F620">
        <v>34</v>
      </c>
      <c r="G620">
        <v>34</v>
      </c>
      <c r="H620" t="s">
        <v>46</v>
      </c>
      <c r="I620" t="s">
        <v>47</v>
      </c>
    </row>
    <row r="621" spans="1:9" x14ac:dyDescent="0.35">
      <c r="A621" s="1">
        <v>45312</v>
      </c>
      <c r="B621" t="s">
        <v>36</v>
      </c>
      <c r="C621" t="s">
        <v>37</v>
      </c>
      <c r="D621" t="s">
        <v>18</v>
      </c>
      <c r="E621" t="s">
        <v>19</v>
      </c>
      <c r="F621">
        <v>38</v>
      </c>
      <c r="G621">
        <v>46.4</v>
      </c>
      <c r="H621" t="s">
        <v>48</v>
      </c>
      <c r="I621" t="s">
        <v>50</v>
      </c>
    </row>
    <row r="622" spans="1:9" x14ac:dyDescent="0.35">
      <c r="A622" s="1">
        <v>45312</v>
      </c>
      <c r="B622" t="s">
        <v>36</v>
      </c>
      <c r="C622" t="s">
        <v>37</v>
      </c>
      <c r="D622" t="s">
        <v>21</v>
      </c>
      <c r="E622" t="s">
        <v>22</v>
      </c>
      <c r="F622">
        <v>32</v>
      </c>
      <c r="G622">
        <v>34.1</v>
      </c>
      <c r="H622" t="s">
        <v>46</v>
      </c>
      <c r="I622" t="s">
        <v>47</v>
      </c>
    </row>
    <row r="623" spans="1:9" x14ac:dyDescent="0.35">
      <c r="A623" s="1">
        <v>45312</v>
      </c>
      <c r="B623" t="s">
        <v>36</v>
      </c>
      <c r="C623" t="s">
        <v>37</v>
      </c>
      <c r="D623" t="s">
        <v>24</v>
      </c>
      <c r="E623" t="s">
        <v>25</v>
      </c>
      <c r="F623">
        <v>50</v>
      </c>
      <c r="G623">
        <v>58.7</v>
      </c>
      <c r="H623" t="s">
        <v>48</v>
      </c>
      <c r="I623" t="s">
        <v>50</v>
      </c>
    </row>
    <row r="624" spans="1:9" x14ac:dyDescent="0.35">
      <c r="A624" s="1">
        <v>45312</v>
      </c>
      <c r="B624" t="s">
        <v>36</v>
      </c>
      <c r="C624" t="s">
        <v>37</v>
      </c>
      <c r="D624" t="s">
        <v>26</v>
      </c>
      <c r="E624" t="s">
        <v>27</v>
      </c>
      <c r="F624">
        <v>38</v>
      </c>
      <c r="G624">
        <v>39.299999999999997</v>
      </c>
      <c r="H624" t="s">
        <v>46</v>
      </c>
      <c r="I624" t="s">
        <v>47</v>
      </c>
    </row>
    <row r="625" spans="1:9" x14ac:dyDescent="0.35">
      <c r="A625" s="1">
        <v>45312</v>
      </c>
      <c r="B625" t="s">
        <v>36</v>
      </c>
      <c r="C625" t="s">
        <v>37</v>
      </c>
      <c r="D625" t="s">
        <v>28</v>
      </c>
      <c r="E625" t="s">
        <v>29</v>
      </c>
      <c r="F625">
        <v>32</v>
      </c>
      <c r="G625">
        <v>34.299999999999997</v>
      </c>
      <c r="H625" t="s">
        <v>46</v>
      </c>
      <c r="I625" t="s">
        <v>47</v>
      </c>
    </row>
    <row r="626" spans="1:9" x14ac:dyDescent="0.35">
      <c r="A626" s="1">
        <v>45312</v>
      </c>
      <c r="B626" t="s">
        <v>39</v>
      </c>
      <c r="C626" t="s">
        <v>40</v>
      </c>
      <c r="D626" t="s">
        <v>15</v>
      </c>
      <c r="E626" t="s">
        <v>16</v>
      </c>
      <c r="F626">
        <v>34</v>
      </c>
      <c r="G626">
        <v>36.299999999999997</v>
      </c>
      <c r="H626" t="s">
        <v>46</v>
      </c>
      <c r="I626" t="s">
        <v>47</v>
      </c>
    </row>
    <row r="627" spans="1:9" x14ac:dyDescent="0.35">
      <c r="A627" s="1">
        <v>45312</v>
      </c>
      <c r="B627" t="s">
        <v>39</v>
      </c>
      <c r="C627" t="s">
        <v>40</v>
      </c>
      <c r="D627" t="s">
        <v>18</v>
      </c>
      <c r="E627" t="s">
        <v>19</v>
      </c>
      <c r="F627">
        <v>38</v>
      </c>
      <c r="G627">
        <v>38.9</v>
      </c>
      <c r="H627" t="s">
        <v>46</v>
      </c>
      <c r="I627" t="s">
        <v>47</v>
      </c>
    </row>
    <row r="628" spans="1:9" x14ac:dyDescent="0.35">
      <c r="A628" s="1">
        <v>45312</v>
      </c>
      <c r="B628" t="s">
        <v>39</v>
      </c>
      <c r="C628" t="s">
        <v>40</v>
      </c>
      <c r="D628" t="s">
        <v>21</v>
      </c>
      <c r="E628" t="s">
        <v>22</v>
      </c>
      <c r="F628">
        <v>32</v>
      </c>
      <c r="G628">
        <v>31.1</v>
      </c>
      <c r="H628" t="s">
        <v>46</v>
      </c>
      <c r="I628" t="s">
        <v>47</v>
      </c>
    </row>
    <row r="629" spans="1:9" x14ac:dyDescent="0.35">
      <c r="A629" s="1">
        <v>45312</v>
      </c>
      <c r="B629" t="s">
        <v>39</v>
      </c>
      <c r="C629" t="s">
        <v>40</v>
      </c>
      <c r="D629" t="s">
        <v>24</v>
      </c>
      <c r="E629" t="s">
        <v>25</v>
      </c>
      <c r="F629">
        <v>50</v>
      </c>
      <c r="G629">
        <v>57.2</v>
      </c>
      <c r="H629" t="s">
        <v>48</v>
      </c>
      <c r="I629" t="s">
        <v>50</v>
      </c>
    </row>
    <row r="630" spans="1:9" x14ac:dyDescent="0.35">
      <c r="A630" s="1">
        <v>45312</v>
      </c>
      <c r="B630" t="s">
        <v>39</v>
      </c>
      <c r="C630" t="s">
        <v>40</v>
      </c>
      <c r="D630" t="s">
        <v>26</v>
      </c>
      <c r="E630" t="s">
        <v>27</v>
      </c>
      <c r="F630">
        <v>38</v>
      </c>
      <c r="G630">
        <v>40.5</v>
      </c>
      <c r="H630" t="s">
        <v>46</v>
      </c>
      <c r="I630" t="s">
        <v>47</v>
      </c>
    </row>
    <row r="631" spans="1:9" x14ac:dyDescent="0.35">
      <c r="A631" s="1">
        <v>45312</v>
      </c>
      <c r="B631" t="s">
        <v>39</v>
      </c>
      <c r="C631" t="s">
        <v>40</v>
      </c>
      <c r="D631" t="s">
        <v>28</v>
      </c>
      <c r="E631" t="s">
        <v>29</v>
      </c>
      <c r="F631">
        <v>32</v>
      </c>
      <c r="G631">
        <v>32.799999999999997</v>
      </c>
      <c r="H631" t="s">
        <v>46</v>
      </c>
      <c r="I631" t="s">
        <v>47</v>
      </c>
    </row>
    <row r="632" spans="1:9" x14ac:dyDescent="0.35">
      <c r="A632" s="1">
        <v>45313</v>
      </c>
      <c r="B632" t="s">
        <v>12</v>
      </c>
      <c r="C632" t="s">
        <v>13</v>
      </c>
      <c r="D632" t="s">
        <v>15</v>
      </c>
      <c r="E632" t="s">
        <v>16</v>
      </c>
      <c r="F632">
        <v>34</v>
      </c>
      <c r="G632">
        <v>36.700000000000003</v>
      </c>
      <c r="H632" t="s">
        <v>46</v>
      </c>
      <c r="I632" t="s">
        <v>47</v>
      </c>
    </row>
    <row r="633" spans="1:9" x14ac:dyDescent="0.35">
      <c r="A633" s="1">
        <v>45313</v>
      </c>
      <c r="B633" t="s">
        <v>12</v>
      </c>
      <c r="C633" t="s">
        <v>13</v>
      </c>
      <c r="D633" t="s">
        <v>18</v>
      </c>
      <c r="E633" t="s">
        <v>19</v>
      </c>
      <c r="F633">
        <v>38</v>
      </c>
      <c r="G633">
        <v>48.2</v>
      </c>
      <c r="H633" t="s">
        <v>48</v>
      </c>
      <c r="I633" t="s">
        <v>49</v>
      </c>
    </row>
    <row r="634" spans="1:9" x14ac:dyDescent="0.35">
      <c r="A634" s="1">
        <v>45313</v>
      </c>
      <c r="B634" t="s">
        <v>12</v>
      </c>
      <c r="C634" t="s">
        <v>13</v>
      </c>
      <c r="D634" t="s">
        <v>21</v>
      </c>
      <c r="E634" t="s">
        <v>22</v>
      </c>
      <c r="F634">
        <v>32</v>
      </c>
      <c r="G634">
        <v>33.700000000000003</v>
      </c>
      <c r="H634" t="s">
        <v>46</v>
      </c>
      <c r="I634" t="s">
        <v>47</v>
      </c>
    </row>
    <row r="635" spans="1:9" x14ac:dyDescent="0.35">
      <c r="A635" s="1">
        <v>45313</v>
      </c>
      <c r="B635" t="s">
        <v>12</v>
      </c>
      <c r="C635" t="s">
        <v>13</v>
      </c>
      <c r="D635" t="s">
        <v>24</v>
      </c>
      <c r="E635" t="s">
        <v>25</v>
      </c>
      <c r="F635">
        <v>50</v>
      </c>
      <c r="G635">
        <v>49.1</v>
      </c>
      <c r="H635" t="s">
        <v>46</v>
      </c>
      <c r="I635" t="s">
        <v>47</v>
      </c>
    </row>
    <row r="636" spans="1:9" x14ac:dyDescent="0.35">
      <c r="A636" s="1">
        <v>45313</v>
      </c>
      <c r="B636" t="s">
        <v>12</v>
      </c>
      <c r="C636" t="s">
        <v>13</v>
      </c>
      <c r="D636" t="s">
        <v>26</v>
      </c>
      <c r="E636" t="s">
        <v>27</v>
      </c>
      <c r="F636">
        <v>38</v>
      </c>
      <c r="G636">
        <v>38.299999999999997</v>
      </c>
      <c r="H636" t="s">
        <v>46</v>
      </c>
      <c r="I636" t="s">
        <v>47</v>
      </c>
    </row>
    <row r="637" spans="1:9" x14ac:dyDescent="0.35">
      <c r="A637" s="1">
        <v>45313</v>
      </c>
      <c r="B637" t="s">
        <v>12</v>
      </c>
      <c r="C637" t="s">
        <v>13</v>
      </c>
      <c r="D637" t="s">
        <v>28</v>
      </c>
      <c r="E637" t="s">
        <v>29</v>
      </c>
      <c r="F637">
        <v>32</v>
      </c>
      <c r="G637">
        <v>34.200000000000003</v>
      </c>
      <c r="H637" t="s">
        <v>46</v>
      </c>
      <c r="I637" t="s">
        <v>47</v>
      </c>
    </row>
    <row r="638" spans="1:9" x14ac:dyDescent="0.35">
      <c r="A638" s="1">
        <v>45313</v>
      </c>
      <c r="B638" t="s">
        <v>30</v>
      </c>
      <c r="C638" t="s">
        <v>31</v>
      </c>
      <c r="D638" t="s">
        <v>15</v>
      </c>
      <c r="E638" t="s">
        <v>16</v>
      </c>
      <c r="F638">
        <v>34</v>
      </c>
      <c r="G638">
        <v>41.2</v>
      </c>
      <c r="H638" t="s">
        <v>48</v>
      </c>
      <c r="I638" t="s">
        <v>50</v>
      </c>
    </row>
    <row r="639" spans="1:9" x14ac:dyDescent="0.35">
      <c r="A639" s="1">
        <v>45313</v>
      </c>
      <c r="B639" t="s">
        <v>30</v>
      </c>
      <c r="C639" t="s">
        <v>31</v>
      </c>
      <c r="D639" t="s">
        <v>18</v>
      </c>
      <c r="E639" t="s">
        <v>19</v>
      </c>
      <c r="F639">
        <v>38</v>
      </c>
      <c r="G639">
        <v>38.4</v>
      </c>
      <c r="H639" t="s">
        <v>46</v>
      </c>
      <c r="I639" t="s">
        <v>47</v>
      </c>
    </row>
    <row r="640" spans="1:9" x14ac:dyDescent="0.35">
      <c r="A640" s="1">
        <v>45313</v>
      </c>
      <c r="B640" t="s">
        <v>30</v>
      </c>
      <c r="C640" t="s">
        <v>31</v>
      </c>
      <c r="D640" t="s">
        <v>21</v>
      </c>
      <c r="E640" t="s">
        <v>22</v>
      </c>
      <c r="F640">
        <v>32</v>
      </c>
      <c r="G640">
        <v>33.1</v>
      </c>
      <c r="H640" t="s">
        <v>46</v>
      </c>
      <c r="I640" t="s">
        <v>47</v>
      </c>
    </row>
    <row r="641" spans="1:9" x14ac:dyDescent="0.35">
      <c r="A641" s="1">
        <v>45313</v>
      </c>
      <c r="B641" t="s">
        <v>30</v>
      </c>
      <c r="C641" t="s">
        <v>31</v>
      </c>
      <c r="D641" t="s">
        <v>24</v>
      </c>
      <c r="E641" t="s">
        <v>25</v>
      </c>
      <c r="F641">
        <v>50</v>
      </c>
      <c r="G641">
        <v>60.8</v>
      </c>
      <c r="H641" t="s">
        <v>48</v>
      </c>
      <c r="I641" t="s">
        <v>49</v>
      </c>
    </row>
    <row r="642" spans="1:9" x14ac:dyDescent="0.35">
      <c r="A642" s="1">
        <v>45313</v>
      </c>
      <c r="B642" t="s">
        <v>30</v>
      </c>
      <c r="C642" t="s">
        <v>31</v>
      </c>
      <c r="D642" t="s">
        <v>26</v>
      </c>
      <c r="E642" t="s">
        <v>27</v>
      </c>
      <c r="F642">
        <v>38</v>
      </c>
      <c r="G642">
        <v>37.5</v>
      </c>
      <c r="H642" t="s">
        <v>46</v>
      </c>
      <c r="I642" t="s">
        <v>47</v>
      </c>
    </row>
    <row r="643" spans="1:9" x14ac:dyDescent="0.35">
      <c r="A643" s="1">
        <v>45313</v>
      </c>
      <c r="B643" t="s">
        <v>30</v>
      </c>
      <c r="C643" t="s">
        <v>31</v>
      </c>
      <c r="D643" t="s">
        <v>28</v>
      </c>
      <c r="E643" t="s">
        <v>29</v>
      </c>
      <c r="F643">
        <v>32</v>
      </c>
      <c r="G643">
        <v>32.200000000000003</v>
      </c>
      <c r="H643" t="s">
        <v>46</v>
      </c>
      <c r="I643" t="s">
        <v>47</v>
      </c>
    </row>
    <row r="644" spans="1:9" x14ac:dyDescent="0.35">
      <c r="A644" s="1">
        <v>45313</v>
      </c>
      <c r="B644" t="s">
        <v>33</v>
      </c>
      <c r="C644" t="s">
        <v>34</v>
      </c>
      <c r="D644" t="s">
        <v>15</v>
      </c>
      <c r="E644" t="s">
        <v>16</v>
      </c>
      <c r="F644">
        <v>34</v>
      </c>
      <c r="G644">
        <v>35.799999999999997</v>
      </c>
      <c r="H644" t="s">
        <v>46</v>
      </c>
      <c r="I644" t="s">
        <v>47</v>
      </c>
    </row>
    <row r="645" spans="1:9" x14ac:dyDescent="0.35">
      <c r="A645" s="1">
        <v>45313</v>
      </c>
      <c r="B645" t="s">
        <v>33</v>
      </c>
      <c r="C645" t="s">
        <v>34</v>
      </c>
      <c r="D645" t="s">
        <v>18</v>
      </c>
      <c r="E645" t="s">
        <v>19</v>
      </c>
      <c r="F645">
        <v>38</v>
      </c>
      <c r="G645">
        <v>37.299999999999997</v>
      </c>
      <c r="H645" t="s">
        <v>46</v>
      </c>
      <c r="I645" t="s">
        <v>47</v>
      </c>
    </row>
    <row r="646" spans="1:9" x14ac:dyDescent="0.35">
      <c r="A646" s="1">
        <v>45313</v>
      </c>
      <c r="B646" t="s">
        <v>33</v>
      </c>
      <c r="C646" t="s">
        <v>34</v>
      </c>
      <c r="D646" t="s">
        <v>21</v>
      </c>
      <c r="E646" t="s">
        <v>22</v>
      </c>
      <c r="F646">
        <v>32</v>
      </c>
      <c r="G646">
        <v>32.5</v>
      </c>
      <c r="H646" t="s">
        <v>46</v>
      </c>
      <c r="I646" t="s">
        <v>47</v>
      </c>
    </row>
    <row r="647" spans="1:9" x14ac:dyDescent="0.35">
      <c r="A647" s="1">
        <v>45313</v>
      </c>
      <c r="B647" t="s">
        <v>33</v>
      </c>
      <c r="C647" t="s">
        <v>34</v>
      </c>
      <c r="D647" t="s">
        <v>24</v>
      </c>
      <c r="E647" t="s">
        <v>25</v>
      </c>
      <c r="F647">
        <v>50</v>
      </c>
      <c r="G647">
        <v>50.2</v>
      </c>
      <c r="H647" t="s">
        <v>46</v>
      </c>
      <c r="I647" t="s">
        <v>47</v>
      </c>
    </row>
    <row r="648" spans="1:9" x14ac:dyDescent="0.35">
      <c r="A648" s="1">
        <v>45313</v>
      </c>
      <c r="B648" t="s">
        <v>33</v>
      </c>
      <c r="C648" t="s">
        <v>34</v>
      </c>
      <c r="D648" t="s">
        <v>26</v>
      </c>
      <c r="E648" t="s">
        <v>27</v>
      </c>
      <c r="F648">
        <v>38</v>
      </c>
      <c r="G648">
        <v>37.700000000000003</v>
      </c>
      <c r="H648" t="s">
        <v>46</v>
      </c>
      <c r="I648" t="s">
        <v>47</v>
      </c>
    </row>
    <row r="649" spans="1:9" x14ac:dyDescent="0.35">
      <c r="A649" s="1">
        <v>45313</v>
      </c>
      <c r="B649" t="s">
        <v>33</v>
      </c>
      <c r="C649" t="s">
        <v>34</v>
      </c>
      <c r="D649" t="s">
        <v>28</v>
      </c>
      <c r="E649" t="s">
        <v>29</v>
      </c>
      <c r="F649">
        <v>32</v>
      </c>
      <c r="G649">
        <v>31.1</v>
      </c>
      <c r="H649" t="s">
        <v>46</v>
      </c>
      <c r="I649" t="s">
        <v>47</v>
      </c>
    </row>
    <row r="650" spans="1:9" x14ac:dyDescent="0.35">
      <c r="A650" s="1">
        <v>45313</v>
      </c>
      <c r="B650" t="s">
        <v>36</v>
      </c>
      <c r="C650" t="s">
        <v>37</v>
      </c>
      <c r="D650" t="s">
        <v>15</v>
      </c>
      <c r="E650" t="s">
        <v>16</v>
      </c>
      <c r="F650">
        <v>34</v>
      </c>
      <c r="G650">
        <v>33.4</v>
      </c>
      <c r="H650" t="s">
        <v>46</v>
      </c>
      <c r="I650" t="s">
        <v>47</v>
      </c>
    </row>
    <row r="651" spans="1:9" x14ac:dyDescent="0.35">
      <c r="A651" s="1">
        <v>45313</v>
      </c>
      <c r="B651" t="s">
        <v>36</v>
      </c>
      <c r="C651" t="s">
        <v>37</v>
      </c>
      <c r="D651" t="s">
        <v>18</v>
      </c>
      <c r="E651" t="s">
        <v>19</v>
      </c>
      <c r="F651">
        <v>38</v>
      </c>
      <c r="G651">
        <v>40.200000000000003</v>
      </c>
      <c r="H651" t="s">
        <v>46</v>
      </c>
      <c r="I651" t="s">
        <v>47</v>
      </c>
    </row>
    <row r="652" spans="1:9" x14ac:dyDescent="0.35">
      <c r="A652" s="1">
        <v>45313</v>
      </c>
      <c r="B652" t="s">
        <v>36</v>
      </c>
      <c r="C652" t="s">
        <v>37</v>
      </c>
      <c r="D652" t="s">
        <v>21</v>
      </c>
      <c r="E652" t="s">
        <v>22</v>
      </c>
      <c r="F652">
        <v>32</v>
      </c>
      <c r="G652">
        <v>31.6</v>
      </c>
      <c r="H652" t="s">
        <v>46</v>
      </c>
      <c r="I652" t="s">
        <v>47</v>
      </c>
    </row>
    <row r="653" spans="1:9" x14ac:dyDescent="0.35">
      <c r="A653" s="1">
        <v>45313</v>
      </c>
      <c r="B653" t="s">
        <v>36</v>
      </c>
      <c r="C653" t="s">
        <v>37</v>
      </c>
      <c r="D653" t="s">
        <v>24</v>
      </c>
      <c r="E653" t="s">
        <v>25</v>
      </c>
      <c r="F653">
        <v>50</v>
      </c>
      <c r="G653">
        <v>50.9</v>
      </c>
      <c r="H653" t="s">
        <v>46</v>
      </c>
      <c r="I653" t="s">
        <v>47</v>
      </c>
    </row>
    <row r="654" spans="1:9" x14ac:dyDescent="0.35">
      <c r="A654" s="1">
        <v>45313</v>
      </c>
      <c r="B654" t="s">
        <v>36</v>
      </c>
      <c r="C654" t="s">
        <v>37</v>
      </c>
      <c r="D654" t="s">
        <v>26</v>
      </c>
      <c r="E654" t="s">
        <v>27</v>
      </c>
      <c r="F654">
        <v>38</v>
      </c>
      <c r="G654">
        <v>38.200000000000003</v>
      </c>
      <c r="H654" t="s">
        <v>46</v>
      </c>
      <c r="I654" t="s">
        <v>47</v>
      </c>
    </row>
    <row r="655" spans="1:9" x14ac:dyDescent="0.35">
      <c r="A655" s="1">
        <v>45313</v>
      </c>
      <c r="B655" t="s">
        <v>36</v>
      </c>
      <c r="C655" t="s">
        <v>37</v>
      </c>
      <c r="D655" t="s">
        <v>28</v>
      </c>
      <c r="E655" t="s">
        <v>29</v>
      </c>
      <c r="F655">
        <v>32</v>
      </c>
      <c r="G655">
        <v>34.1</v>
      </c>
      <c r="H655" t="s">
        <v>46</v>
      </c>
      <c r="I655" t="s">
        <v>47</v>
      </c>
    </row>
    <row r="656" spans="1:9" x14ac:dyDescent="0.35">
      <c r="A656" s="1">
        <v>45313</v>
      </c>
      <c r="B656" t="s">
        <v>39</v>
      </c>
      <c r="C656" t="s">
        <v>40</v>
      </c>
      <c r="D656" t="s">
        <v>15</v>
      </c>
      <c r="E656" t="s">
        <v>16</v>
      </c>
      <c r="F656">
        <v>34</v>
      </c>
      <c r="G656">
        <v>47.9</v>
      </c>
      <c r="H656" t="s">
        <v>48</v>
      </c>
      <c r="I656" t="s">
        <v>49</v>
      </c>
    </row>
    <row r="657" spans="1:9" x14ac:dyDescent="0.35">
      <c r="A657" s="1">
        <v>45313</v>
      </c>
      <c r="B657" t="s">
        <v>39</v>
      </c>
      <c r="C657" t="s">
        <v>40</v>
      </c>
      <c r="D657" t="s">
        <v>18</v>
      </c>
      <c r="E657" t="s">
        <v>19</v>
      </c>
      <c r="F657">
        <v>38</v>
      </c>
      <c r="G657">
        <v>41</v>
      </c>
      <c r="H657" t="s">
        <v>46</v>
      </c>
      <c r="I657" t="s">
        <v>47</v>
      </c>
    </row>
    <row r="658" spans="1:9" x14ac:dyDescent="0.35">
      <c r="A658" s="1">
        <v>45313</v>
      </c>
      <c r="B658" t="s">
        <v>39</v>
      </c>
      <c r="C658" t="s">
        <v>40</v>
      </c>
      <c r="D658" t="s">
        <v>21</v>
      </c>
      <c r="E658" t="s">
        <v>22</v>
      </c>
      <c r="F658">
        <v>32</v>
      </c>
      <c r="G658">
        <v>31.1</v>
      </c>
      <c r="H658" t="s">
        <v>46</v>
      </c>
      <c r="I658" t="s">
        <v>47</v>
      </c>
    </row>
    <row r="659" spans="1:9" x14ac:dyDescent="0.35">
      <c r="A659" s="1">
        <v>45313</v>
      </c>
      <c r="B659" t="s">
        <v>39</v>
      </c>
      <c r="C659" t="s">
        <v>40</v>
      </c>
      <c r="D659" t="s">
        <v>24</v>
      </c>
      <c r="E659" t="s">
        <v>25</v>
      </c>
      <c r="F659">
        <v>50</v>
      </c>
      <c r="G659">
        <v>52.5</v>
      </c>
      <c r="H659" t="s">
        <v>46</v>
      </c>
      <c r="I659" t="s">
        <v>47</v>
      </c>
    </row>
    <row r="660" spans="1:9" x14ac:dyDescent="0.35">
      <c r="A660" s="1">
        <v>45313</v>
      </c>
      <c r="B660" t="s">
        <v>39</v>
      </c>
      <c r="C660" t="s">
        <v>40</v>
      </c>
      <c r="D660" t="s">
        <v>26</v>
      </c>
      <c r="E660" t="s">
        <v>27</v>
      </c>
      <c r="F660">
        <v>38</v>
      </c>
      <c r="G660">
        <v>46.5</v>
      </c>
      <c r="H660" t="s">
        <v>48</v>
      </c>
      <c r="I660" t="s">
        <v>50</v>
      </c>
    </row>
    <row r="661" spans="1:9" x14ac:dyDescent="0.35">
      <c r="A661" s="1">
        <v>45313</v>
      </c>
      <c r="B661" t="s">
        <v>39</v>
      </c>
      <c r="C661" t="s">
        <v>40</v>
      </c>
      <c r="D661" t="s">
        <v>28</v>
      </c>
      <c r="E661" t="s">
        <v>29</v>
      </c>
      <c r="F661">
        <v>32</v>
      </c>
      <c r="G661">
        <v>44.8</v>
      </c>
      <c r="H661" t="s">
        <v>48</v>
      </c>
      <c r="I661" t="s">
        <v>49</v>
      </c>
    </row>
    <row r="662" spans="1:9" x14ac:dyDescent="0.35">
      <c r="A662" s="1">
        <v>45314</v>
      </c>
      <c r="B662" t="s">
        <v>12</v>
      </c>
      <c r="C662" t="s">
        <v>13</v>
      </c>
      <c r="D662" t="s">
        <v>15</v>
      </c>
      <c r="E662" t="s">
        <v>16</v>
      </c>
      <c r="F662">
        <v>34</v>
      </c>
      <c r="G662">
        <v>34.299999999999997</v>
      </c>
      <c r="H662" t="s">
        <v>46</v>
      </c>
      <c r="I662" t="s">
        <v>47</v>
      </c>
    </row>
    <row r="663" spans="1:9" x14ac:dyDescent="0.35">
      <c r="A663" s="1">
        <v>45314</v>
      </c>
      <c r="B663" t="s">
        <v>12</v>
      </c>
      <c r="C663" t="s">
        <v>13</v>
      </c>
      <c r="D663" t="s">
        <v>18</v>
      </c>
      <c r="E663" t="s">
        <v>19</v>
      </c>
      <c r="F663">
        <v>38</v>
      </c>
      <c r="G663">
        <v>37.4</v>
      </c>
      <c r="H663" t="s">
        <v>46</v>
      </c>
      <c r="I663" t="s">
        <v>47</v>
      </c>
    </row>
    <row r="664" spans="1:9" x14ac:dyDescent="0.35">
      <c r="A664" s="1">
        <v>45314</v>
      </c>
      <c r="B664" t="s">
        <v>12</v>
      </c>
      <c r="C664" t="s">
        <v>13</v>
      </c>
      <c r="D664" t="s">
        <v>21</v>
      </c>
      <c r="E664" t="s">
        <v>22</v>
      </c>
      <c r="F664">
        <v>32</v>
      </c>
      <c r="G664">
        <v>34</v>
      </c>
      <c r="H664" t="s">
        <v>46</v>
      </c>
      <c r="I664" t="s">
        <v>47</v>
      </c>
    </row>
    <row r="665" spans="1:9" x14ac:dyDescent="0.35">
      <c r="A665" s="1">
        <v>45314</v>
      </c>
      <c r="B665" t="s">
        <v>12</v>
      </c>
      <c r="C665" t="s">
        <v>13</v>
      </c>
      <c r="D665" t="s">
        <v>24</v>
      </c>
      <c r="E665" t="s">
        <v>25</v>
      </c>
      <c r="F665">
        <v>50</v>
      </c>
      <c r="G665">
        <v>62.1</v>
      </c>
      <c r="H665" t="s">
        <v>48</v>
      </c>
      <c r="I665" t="s">
        <v>49</v>
      </c>
    </row>
    <row r="666" spans="1:9" x14ac:dyDescent="0.35">
      <c r="A666" s="1">
        <v>45314</v>
      </c>
      <c r="B666" t="s">
        <v>12</v>
      </c>
      <c r="C666" t="s">
        <v>13</v>
      </c>
      <c r="D666" t="s">
        <v>26</v>
      </c>
      <c r="E666" t="s">
        <v>27</v>
      </c>
      <c r="F666">
        <v>38</v>
      </c>
      <c r="G666">
        <v>37.799999999999997</v>
      </c>
      <c r="H666" t="s">
        <v>46</v>
      </c>
      <c r="I666" t="s">
        <v>47</v>
      </c>
    </row>
    <row r="667" spans="1:9" x14ac:dyDescent="0.35">
      <c r="A667" s="1">
        <v>45314</v>
      </c>
      <c r="B667" t="s">
        <v>12</v>
      </c>
      <c r="C667" t="s">
        <v>13</v>
      </c>
      <c r="D667" t="s">
        <v>28</v>
      </c>
      <c r="E667" t="s">
        <v>29</v>
      </c>
      <c r="F667">
        <v>32</v>
      </c>
      <c r="G667">
        <v>32.1</v>
      </c>
      <c r="H667" t="s">
        <v>46</v>
      </c>
      <c r="I667" t="s">
        <v>47</v>
      </c>
    </row>
    <row r="668" spans="1:9" x14ac:dyDescent="0.35">
      <c r="A668" s="1">
        <v>45314</v>
      </c>
      <c r="B668" t="s">
        <v>30</v>
      </c>
      <c r="C668" t="s">
        <v>31</v>
      </c>
      <c r="D668" t="s">
        <v>15</v>
      </c>
      <c r="E668" t="s">
        <v>16</v>
      </c>
      <c r="F668">
        <v>34</v>
      </c>
      <c r="G668">
        <v>36.1</v>
      </c>
      <c r="H668" t="s">
        <v>46</v>
      </c>
      <c r="I668" t="s">
        <v>47</v>
      </c>
    </row>
    <row r="669" spans="1:9" x14ac:dyDescent="0.35">
      <c r="A669" s="1">
        <v>45314</v>
      </c>
      <c r="B669" t="s">
        <v>30</v>
      </c>
      <c r="C669" t="s">
        <v>31</v>
      </c>
      <c r="D669" t="s">
        <v>18</v>
      </c>
      <c r="E669" t="s">
        <v>19</v>
      </c>
      <c r="F669">
        <v>38</v>
      </c>
      <c r="G669">
        <v>38.1</v>
      </c>
      <c r="H669" t="s">
        <v>46</v>
      </c>
      <c r="I669" t="s">
        <v>47</v>
      </c>
    </row>
    <row r="670" spans="1:9" x14ac:dyDescent="0.35">
      <c r="A670" s="1">
        <v>45314</v>
      </c>
      <c r="B670" t="s">
        <v>30</v>
      </c>
      <c r="C670" t="s">
        <v>31</v>
      </c>
      <c r="D670" t="s">
        <v>21</v>
      </c>
      <c r="E670" t="s">
        <v>22</v>
      </c>
      <c r="F670">
        <v>32</v>
      </c>
      <c r="G670">
        <v>38.9</v>
      </c>
      <c r="H670" t="s">
        <v>48</v>
      </c>
      <c r="I670" t="s">
        <v>50</v>
      </c>
    </row>
    <row r="671" spans="1:9" x14ac:dyDescent="0.35">
      <c r="A671" s="1">
        <v>45314</v>
      </c>
      <c r="B671" t="s">
        <v>30</v>
      </c>
      <c r="C671" t="s">
        <v>31</v>
      </c>
      <c r="D671" t="s">
        <v>24</v>
      </c>
      <c r="E671" t="s">
        <v>25</v>
      </c>
      <c r="F671">
        <v>50</v>
      </c>
      <c r="G671">
        <v>51.2</v>
      </c>
      <c r="H671" t="s">
        <v>46</v>
      </c>
      <c r="I671" t="s">
        <v>47</v>
      </c>
    </row>
    <row r="672" spans="1:9" x14ac:dyDescent="0.35">
      <c r="A672" s="1">
        <v>45314</v>
      </c>
      <c r="B672" t="s">
        <v>30</v>
      </c>
      <c r="C672" t="s">
        <v>31</v>
      </c>
      <c r="D672" t="s">
        <v>26</v>
      </c>
      <c r="E672" t="s">
        <v>27</v>
      </c>
      <c r="F672">
        <v>38</v>
      </c>
      <c r="G672">
        <v>48.3</v>
      </c>
      <c r="H672" t="s">
        <v>48</v>
      </c>
      <c r="I672" t="s">
        <v>49</v>
      </c>
    </row>
    <row r="673" spans="1:9" x14ac:dyDescent="0.35">
      <c r="A673" s="1">
        <v>45314</v>
      </c>
      <c r="B673" t="s">
        <v>30</v>
      </c>
      <c r="C673" t="s">
        <v>31</v>
      </c>
      <c r="D673" t="s">
        <v>28</v>
      </c>
      <c r="E673" t="s">
        <v>29</v>
      </c>
      <c r="F673">
        <v>32</v>
      </c>
      <c r="G673">
        <v>32.1</v>
      </c>
      <c r="H673" t="s">
        <v>46</v>
      </c>
      <c r="I673" t="s">
        <v>47</v>
      </c>
    </row>
    <row r="674" spans="1:9" x14ac:dyDescent="0.35">
      <c r="A674" s="1">
        <v>45314</v>
      </c>
      <c r="B674" t="s">
        <v>33</v>
      </c>
      <c r="C674" t="s">
        <v>34</v>
      </c>
      <c r="D674" t="s">
        <v>15</v>
      </c>
      <c r="E674" t="s">
        <v>16</v>
      </c>
      <c r="F674">
        <v>34</v>
      </c>
      <c r="G674">
        <v>36.200000000000003</v>
      </c>
      <c r="H674" t="s">
        <v>46</v>
      </c>
      <c r="I674" t="s">
        <v>47</v>
      </c>
    </row>
    <row r="675" spans="1:9" x14ac:dyDescent="0.35">
      <c r="A675" s="1">
        <v>45314</v>
      </c>
      <c r="B675" t="s">
        <v>33</v>
      </c>
      <c r="C675" t="s">
        <v>34</v>
      </c>
      <c r="D675" t="s">
        <v>18</v>
      </c>
      <c r="E675" t="s">
        <v>19</v>
      </c>
      <c r="F675">
        <v>38</v>
      </c>
      <c r="G675">
        <v>37.700000000000003</v>
      </c>
      <c r="H675" t="s">
        <v>46</v>
      </c>
      <c r="I675" t="s">
        <v>47</v>
      </c>
    </row>
    <row r="676" spans="1:9" x14ac:dyDescent="0.35">
      <c r="A676" s="1">
        <v>45314</v>
      </c>
      <c r="B676" t="s">
        <v>33</v>
      </c>
      <c r="C676" t="s">
        <v>34</v>
      </c>
      <c r="D676" t="s">
        <v>21</v>
      </c>
      <c r="E676" t="s">
        <v>22</v>
      </c>
      <c r="F676">
        <v>32</v>
      </c>
      <c r="G676">
        <v>34.6</v>
      </c>
      <c r="H676" t="s">
        <v>46</v>
      </c>
      <c r="I676" t="s">
        <v>47</v>
      </c>
    </row>
    <row r="677" spans="1:9" x14ac:dyDescent="0.35">
      <c r="A677" s="1">
        <v>45314</v>
      </c>
      <c r="B677" t="s">
        <v>33</v>
      </c>
      <c r="C677" t="s">
        <v>34</v>
      </c>
      <c r="D677" t="s">
        <v>24</v>
      </c>
      <c r="E677" t="s">
        <v>25</v>
      </c>
      <c r="F677">
        <v>50</v>
      </c>
      <c r="G677">
        <v>49.2</v>
      </c>
      <c r="H677" t="s">
        <v>46</v>
      </c>
      <c r="I677" t="s">
        <v>47</v>
      </c>
    </row>
    <row r="678" spans="1:9" x14ac:dyDescent="0.35">
      <c r="A678" s="1">
        <v>45314</v>
      </c>
      <c r="B678" t="s">
        <v>33</v>
      </c>
      <c r="C678" t="s">
        <v>34</v>
      </c>
      <c r="D678" t="s">
        <v>26</v>
      </c>
      <c r="E678" t="s">
        <v>27</v>
      </c>
      <c r="F678">
        <v>38</v>
      </c>
      <c r="G678">
        <v>51.2</v>
      </c>
      <c r="H678" t="s">
        <v>48</v>
      </c>
      <c r="I678" t="s">
        <v>49</v>
      </c>
    </row>
    <row r="679" spans="1:9" x14ac:dyDescent="0.35">
      <c r="A679" s="1">
        <v>45314</v>
      </c>
      <c r="B679" t="s">
        <v>33</v>
      </c>
      <c r="C679" t="s">
        <v>34</v>
      </c>
      <c r="D679" t="s">
        <v>28</v>
      </c>
      <c r="E679" t="s">
        <v>29</v>
      </c>
      <c r="F679">
        <v>32</v>
      </c>
      <c r="G679">
        <v>41.1</v>
      </c>
      <c r="H679" t="s">
        <v>48</v>
      </c>
      <c r="I679" t="s">
        <v>50</v>
      </c>
    </row>
    <row r="680" spans="1:9" x14ac:dyDescent="0.35">
      <c r="A680" s="1">
        <v>45314</v>
      </c>
      <c r="B680" t="s">
        <v>36</v>
      </c>
      <c r="C680" t="s">
        <v>37</v>
      </c>
      <c r="D680" t="s">
        <v>15</v>
      </c>
      <c r="E680" t="s">
        <v>16</v>
      </c>
      <c r="F680">
        <v>34</v>
      </c>
      <c r="G680">
        <v>43.1</v>
      </c>
      <c r="H680" t="s">
        <v>48</v>
      </c>
      <c r="I680" t="s">
        <v>50</v>
      </c>
    </row>
    <row r="681" spans="1:9" x14ac:dyDescent="0.35">
      <c r="A681" s="1">
        <v>45314</v>
      </c>
      <c r="B681" t="s">
        <v>36</v>
      </c>
      <c r="C681" t="s">
        <v>37</v>
      </c>
      <c r="D681" t="s">
        <v>18</v>
      </c>
      <c r="E681" t="s">
        <v>19</v>
      </c>
      <c r="F681">
        <v>38</v>
      </c>
      <c r="G681">
        <v>40.6</v>
      </c>
      <c r="H681" t="s">
        <v>46</v>
      </c>
      <c r="I681" t="s">
        <v>47</v>
      </c>
    </row>
    <row r="682" spans="1:9" x14ac:dyDescent="0.35">
      <c r="A682" s="1">
        <v>45314</v>
      </c>
      <c r="B682" t="s">
        <v>36</v>
      </c>
      <c r="C682" t="s">
        <v>37</v>
      </c>
      <c r="D682" t="s">
        <v>21</v>
      </c>
      <c r="E682" t="s">
        <v>22</v>
      </c>
      <c r="F682">
        <v>32</v>
      </c>
      <c r="G682">
        <v>33.799999999999997</v>
      </c>
      <c r="H682" t="s">
        <v>46</v>
      </c>
      <c r="I682" t="s">
        <v>47</v>
      </c>
    </row>
    <row r="683" spans="1:9" x14ac:dyDescent="0.35">
      <c r="A683" s="1">
        <v>45314</v>
      </c>
      <c r="B683" t="s">
        <v>36</v>
      </c>
      <c r="C683" t="s">
        <v>37</v>
      </c>
      <c r="D683" t="s">
        <v>24</v>
      </c>
      <c r="E683" t="s">
        <v>25</v>
      </c>
      <c r="F683">
        <v>50</v>
      </c>
      <c r="G683">
        <v>50.4</v>
      </c>
      <c r="H683" t="s">
        <v>46</v>
      </c>
      <c r="I683" t="s">
        <v>47</v>
      </c>
    </row>
    <row r="684" spans="1:9" x14ac:dyDescent="0.35">
      <c r="A684" s="1">
        <v>45314</v>
      </c>
      <c r="B684" t="s">
        <v>36</v>
      </c>
      <c r="C684" t="s">
        <v>37</v>
      </c>
      <c r="D684" t="s">
        <v>26</v>
      </c>
      <c r="E684" t="s">
        <v>27</v>
      </c>
      <c r="F684">
        <v>38</v>
      </c>
      <c r="G684">
        <v>37.799999999999997</v>
      </c>
      <c r="H684" t="s">
        <v>46</v>
      </c>
      <c r="I684" t="s">
        <v>47</v>
      </c>
    </row>
    <row r="685" spans="1:9" x14ac:dyDescent="0.35">
      <c r="A685" s="1">
        <v>45314</v>
      </c>
      <c r="B685" t="s">
        <v>36</v>
      </c>
      <c r="C685" t="s">
        <v>37</v>
      </c>
      <c r="D685" t="s">
        <v>28</v>
      </c>
      <c r="E685" t="s">
        <v>29</v>
      </c>
      <c r="F685">
        <v>32</v>
      </c>
      <c r="G685">
        <v>34.200000000000003</v>
      </c>
      <c r="H685" t="s">
        <v>46</v>
      </c>
      <c r="I685" t="s">
        <v>47</v>
      </c>
    </row>
    <row r="686" spans="1:9" x14ac:dyDescent="0.35">
      <c r="A686" s="1">
        <v>45314</v>
      </c>
      <c r="B686" t="s">
        <v>39</v>
      </c>
      <c r="C686" t="s">
        <v>40</v>
      </c>
      <c r="D686" t="s">
        <v>15</v>
      </c>
      <c r="E686" t="s">
        <v>16</v>
      </c>
      <c r="F686">
        <v>34</v>
      </c>
      <c r="G686">
        <v>47.4</v>
      </c>
      <c r="H686" t="s">
        <v>48</v>
      </c>
      <c r="I686" t="s">
        <v>49</v>
      </c>
    </row>
    <row r="687" spans="1:9" x14ac:dyDescent="0.35">
      <c r="A687" s="1">
        <v>45314</v>
      </c>
      <c r="B687" t="s">
        <v>39</v>
      </c>
      <c r="C687" t="s">
        <v>40</v>
      </c>
      <c r="D687" t="s">
        <v>18</v>
      </c>
      <c r="E687" t="s">
        <v>19</v>
      </c>
      <c r="F687">
        <v>38</v>
      </c>
      <c r="G687">
        <v>39.299999999999997</v>
      </c>
      <c r="H687" t="s">
        <v>46</v>
      </c>
      <c r="I687" t="s">
        <v>47</v>
      </c>
    </row>
    <row r="688" spans="1:9" x14ac:dyDescent="0.35">
      <c r="A688" s="1">
        <v>45314</v>
      </c>
      <c r="B688" t="s">
        <v>39</v>
      </c>
      <c r="C688" t="s">
        <v>40</v>
      </c>
      <c r="D688" t="s">
        <v>21</v>
      </c>
      <c r="E688" t="s">
        <v>22</v>
      </c>
      <c r="F688">
        <v>32</v>
      </c>
      <c r="G688">
        <v>44.4</v>
      </c>
      <c r="H688" t="s">
        <v>48</v>
      </c>
      <c r="I688" t="s">
        <v>49</v>
      </c>
    </row>
    <row r="689" spans="1:9" x14ac:dyDescent="0.35">
      <c r="A689" s="1">
        <v>45314</v>
      </c>
      <c r="B689" t="s">
        <v>39</v>
      </c>
      <c r="C689" t="s">
        <v>40</v>
      </c>
      <c r="D689" t="s">
        <v>24</v>
      </c>
      <c r="E689" t="s">
        <v>25</v>
      </c>
      <c r="F689">
        <v>50</v>
      </c>
      <c r="G689">
        <v>49.4</v>
      </c>
      <c r="H689" t="s">
        <v>46</v>
      </c>
      <c r="I689" t="s">
        <v>47</v>
      </c>
    </row>
    <row r="690" spans="1:9" x14ac:dyDescent="0.35">
      <c r="A690" s="1">
        <v>45314</v>
      </c>
      <c r="B690" t="s">
        <v>39</v>
      </c>
      <c r="C690" t="s">
        <v>40</v>
      </c>
      <c r="D690" t="s">
        <v>26</v>
      </c>
      <c r="E690" t="s">
        <v>27</v>
      </c>
      <c r="F690">
        <v>38</v>
      </c>
      <c r="G690">
        <v>39.6</v>
      </c>
      <c r="H690" t="s">
        <v>46</v>
      </c>
      <c r="I690" t="s">
        <v>47</v>
      </c>
    </row>
    <row r="691" spans="1:9" x14ac:dyDescent="0.35">
      <c r="A691" s="1">
        <v>45314</v>
      </c>
      <c r="B691" t="s">
        <v>39</v>
      </c>
      <c r="C691" t="s">
        <v>40</v>
      </c>
      <c r="D691" t="s">
        <v>28</v>
      </c>
      <c r="E691" t="s">
        <v>29</v>
      </c>
      <c r="F691">
        <v>32</v>
      </c>
      <c r="G691">
        <v>32.9</v>
      </c>
      <c r="H691" t="s">
        <v>46</v>
      </c>
      <c r="I691" t="s">
        <v>47</v>
      </c>
    </row>
    <row r="692" spans="1:9" x14ac:dyDescent="0.35">
      <c r="A692" s="1">
        <v>45315</v>
      </c>
      <c r="B692" t="s">
        <v>12</v>
      </c>
      <c r="C692" t="s">
        <v>13</v>
      </c>
      <c r="D692" t="s">
        <v>15</v>
      </c>
      <c r="E692" t="s">
        <v>16</v>
      </c>
      <c r="F692">
        <v>34</v>
      </c>
      <c r="G692">
        <v>33.6</v>
      </c>
      <c r="H692" t="s">
        <v>46</v>
      </c>
      <c r="I692" t="s">
        <v>47</v>
      </c>
    </row>
    <row r="693" spans="1:9" x14ac:dyDescent="0.35">
      <c r="A693" s="1">
        <v>45315</v>
      </c>
      <c r="B693" t="s">
        <v>12</v>
      </c>
      <c r="C693" t="s">
        <v>13</v>
      </c>
      <c r="D693" t="s">
        <v>18</v>
      </c>
      <c r="E693" t="s">
        <v>19</v>
      </c>
      <c r="F693">
        <v>38</v>
      </c>
      <c r="G693">
        <v>38</v>
      </c>
      <c r="H693" t="s">
        <v>46</v>
      </c>
      <c r="I693" t="s">
        <v>47</v>
      </c>
    </row>
    <row r="694" spans="1:9" x14ac:dyDescent="0.35">
      <c r="A694" s="1">
        <v>45315</v>
      </c>
      <c r="B694" t="s">
        <v>12</v>
      </c>
      <c r="C694" t="s">
        <v>13</v>
      </c>
      <c r="D694" t="s">
        <v>21</v>
      </c>
      <c r="E694" t="s">
        <v>22</v>
      </c>
      <c r="F694">
        <v>32</v>
      </c>
      <c r="G694">
        <v>31.7</v>
      </c>
      <c r="H694" t="s">
        <v>46</v>
      </c>
      <c r="I694" t="s">
        <v>47</v>
      </c>
    </row>
    <row r="695" spans="1:9" x14ac:dyDescent="0.35">
      <c r="A695" s="1">
        <v>45315</v>
      </c>
      <c r="B695" t="s">
        <v>12</v>
      </c>
      <c r="C695" t="s">
        <v>13</v>
      </c>
      <c r="D695" t="s">
        <v>24</v>
      </c>
      <c r="E695" t="s">
        <v>25</v>
      </c>
      <c r="F695">
        <v>50</v>
      </c>
      <c r="G695">
        <v>50.3</v>
      </c>
      <c r="H695" t="s">
        <v>46</v>
      </c>
      <c r="I695" t="s">
        <v>47</v>
      </c>
    </row>
    <row r="696" spans="1:9" x14ac:dyDescent="0.35">
      <c r="A696" s="1">
        <v>45315</v>
      </c>
      <c r="B696" t="s">
        <v>12</v>
      </c>
      <c r="C696" t="s">
        <v>13</v>
      </c>
      <c r="D696" t="s">
        <v>26</v>
      </c>
      <c r="E696" t="s">
        <v>27</v>
      </c>
      <c r="F696">
        <v>38</v>
      </c>
      <c r="G696">
        <v>38.299999999999997</v>
      </c>
      <c r="H696" t="s">
        <v>46</v>
      </c>
      <c r="I696" t="s">
        <v>47</v>
      </c>
    </row>
    <row r="697" spans="1:9" x14ac:dyDescent="0.35">
      <c r="A697" s="1">
        <v>45315</v>
      </c>
      <c r="B697" t="s">
        <v>12</v>
      </c>
      <c r="C697" t="s">
        <v>13</v>
      </c>
      <c r="D697" t="s">
        <v>28</v>
      </c>
      <c r="E697" t="s">
        <v>29</v>
      </c>
      <c r="F697">
        <v>32</v>
      </c>
      <c r="G697">
        <v>31.3</v>
      </c>
      <c r="H697" t="s">
        <v>46</v>
      </c>
      <c r="I697" t="s">
        <v>47</v>
      </c>
    </row>
    <row r="698" spans="1:9" x14ac:dyDescent="0.35">
      <c r="A698" s="1">
        <v>45315</v>
      </c>
      <c r="B698" t="s">
        <v>30</v>
      </c>
      <c r="C698" t="s">
        <v>31</v>
      </c>
      <c r="D698" t="s">
        <v>15</v>
      </c>
      <c r="E698" t="s">
        <v>16</v>
      </c>
      <c r="F698">
        <v>34</v>
      </c>
      <c r="G698">
        <v>43.8</v>
      </c>
      <c r="H698" t="s">
        <v>48</v>
      </c>
      <c r="I698" t="s">
        <v>50</v>
      </c>
    </row>
    <row r="699" spans="1:9" x14ac:dyDescent="0.35">
      <c r="A699" s="1">
        <v>45315</v>
      </c>
      <c r="B699" t="s">
        <v>30</v>
      </c>
      <c r="C699" t="s">
        <v>31</v>
      </c>
      <c r="D699" t="s">
        <v>18</v>
      </c>
      <c r="E699" t="s">
        <v>19</v>
      </c>
      <c r="F699">
        <v>38</v>
      </c>
      <c r="G699">
        <v>38.1</v>
      </c>
      <c r="H699" t="s">
        <v>46</v>
      </c>
      <c r="I699" t="s">
        <v>47</v>
      </c>
    </row>
    <row r="700" spans="1:9" x14ac:dyDescent="0.35">
      <c r="A700" s="1">
        <v>45315</v>
      </c>
      <c r="B700" t="s">
        <v>30</v>
      </c>
      <c r="C700" t="s">
        <v>31</v>
      </c>
      <c r="D700" t="s">
        <v>21</v>
      </c>
      <c r="E700" t="s">
        <v>22</v>
      </c>
      <c r="F700">
        <v>32</v>
      </c>
      <c r="G700">
        <v>33.299999999999997</v>
      </c>
      <c r="H700" t="s">
        <v>46</v>
      </c>
      <c r="I700" t="s">
        <v>47</v>
      </c>
    </row>
    <row r="701" spans="1:9" x14ac:dyDescent="0.35">
      <c r="A701" s="1">
        <v>45315</v>
      </c>
      <c r="B701" t="s">
        <v>30</v>
      </c>
      <c r="C701" t="s">
        <v>31</v>
      </c>
      <c r="D701" t="s">
        <v>24</v>
      </c>
      <c r="E701" t="s">
        <v>25</v>
      </c>
      <c r="F701">
        <v>50</v>
      </c>
      <c r="G701">
        <v>50.6</v>
      </c>
      <c r="H701" t="s">
        <v>46</v>
      </c>
      <c r="I701" t="s">
        <v>47</v>
      </c>
    </row>
    <row r="702" spans="1:9" x14ac:dyDescent="0.35">
      <c r="A702" s="1">
        <v>45315</v>
      </c>
      <c r="B702" t="s">
        <v>30</v>
      </c>
      <c r="C702" t="s">
        <v>31</v>
      </c>
      <c r="D702" t="s">
        <v>26</v>
      </c>
      <c r="E702" t="s">
        <v>27</v>
      </c>
      <c r="F702">
        <v>38</v>
      </c>
      <c r="G702">
        <v>37.4</v>
      </c>
      <c r="H702" t="s">
        <v>46</v>
      </c>
      <c r="I702" t="s">
        <v>47</v>
      </c>
    </row>
    <row r="703" spans="1:9" x14ac:dyDescent="0.35">
      <c r="A703" s="1">
        <v>45315</v>
      </c>
      <c r="B703" t="s">
        <v>30</v>
      </c>
      <c r="C703" t="s">
        <v>31</v>
      </c>
      <c r="D703" t="s">
        <v>28</v>
      </c>
      <c r="E703" t="s">
        <v>29</v>
      </c>
      <c r="F703">
        <v>32</v>
      </c>
      <c r="G703">
        <v>31.3</v>
      </c>
      <c r="H703" t="s">
        <v>46</v>
      </c>
      <c r="I703" t="s">
        <v>47</v>
      </c>
    </row>
    <row r="704" spans="1:9" x14ac:dyDescent="0.35">
      <c r="A704" s="1">
        <v>45315</v>
      </c>
      <c r="B704" t="s">
        <v>33</v>
      </c>
      <c r="C704" t="s">
        <v>34</v>
      </c>
      <c r="D704" t="s">
        <v>15</v>
      </c>
      <c r="E704" t="s">
        <v>16</v>
      </c>
      <c r="F704">
        <v>34</v>
      </c>
      <c r="G704">
        <v>34.799999999999997</v>
      </c>
      <c r="H704" t="s">
        <v>46</v>
      </c>
      <c r="I704" t="s">
        <v>47</v>
      </c>
    </row>
    <row r="705" spans="1:9" x14ac:dyDescent="0.35">
      <c r="A705" s="1">
        <v>45315</v>
      </c>
      <c r="B705" t="s">
        <v>33</v>
      </c>
      <c r="C705" t="s">
        <v>34</v>
      </c>
      <c r="D705" t="s">
        <v>18</v>
      </c>
      <c r="E705" t="s">
        <v>19</v>
      </c>
      <c r="F705">
        <v>38</v>
      </c>
      <c r="G705">
        <v>38</v>
      </c>
      <c r="H705" t="s">
        <v>46</v>
      </c>
      <c r="I705" t="s">
        <v>47</v>
      </c>
    </row>
    <row r="706" spans="1:9" x14ac:dyDescent="0.35">
      <c r="A706" s="1">
        <v>45315</v>
      </c>
      <c r="B706" t="s">
        <v>33</v>
      </c>
      <c r="C706" t="s">
        <v>34</v>
      </c>
      <c r="D706" t="s">
        <v>21</v>
      </c>
      <c r="E706" t="s">
        <v>22</v>
      </c>
      <c r="F706">
        <v>32</v>
      </c>
      <c r="G706">
        <v>31.6</v>
      </c>
      <c r="H706" t="s">
        <v>46</v>
      </c>
      <c r="I706" t="s">
        <v>47</v>
      </c>
    </row>
    <row r="707" spans="1:9" x14ac:dyDescent="0.35">
      <c r="A707" s="1">
        <v>45315</v>
      </c>
      <c r="B707" t="s">
        <v>33</v>
      </c>
      <c r="C707" t="s">
        <v>34</v>
      </c>
      <c r="D707" t="s">
        <v>24</v>
      </c>
      <c r="E707" t="s">
        <v>25</v>
      </c>
      <c r="F707">
        <v>50</v>
      </c>
      <c r="G707">
        <v>49.3</v>
      </c>
      <c r="H707" t="s">
        <v>46</v>
      </c>
      <c r="I707" t="s">
        <v>47</v>
      </c>
    </row>
    <row r="708" spans="1:9" x14ac:dyDescent="0.35">
      <c r="A708" s="1">
        <v>45315</v>
      </c>
      <c r="B708" t="s">
        <v>33</v>
      </c>
      <c r="C708" t="s">
        <v>34</v>
      </c>
      <c r="D708" t="s">
        <v>26</v>
      </c>
      <c r="E708" t="s">
        <v>27</v>
      </c>
      <c r="F708">
        <v>38</v>
      </c>
      <c r="G708">
        <v>39.799999999999997</v>
      </c>
      <c r="H708" t="s">
        <v>46</v>
      </c>
      <c r="I708" t="s">
        <v>47</v>
      </c>
    </row>
    <row r="709" spans="1:9" x14ac:dyDescent="0.35">
      <c r="A709" s="1">
        <v>45315</v>
      </c>
      <c r="B709" t="s">
        <v>33</v>
      </c>
      <c r="C709" t="s">
        <v>34</v>
      </c>
      <c r="D709" t="s">
        <v>28</v>
      </c>
      <c r="E709" t="s">
        <v>29</v>
      </c>
      <c r="F709">
        <v>32</v>
      </c>
      <c r="G709">
        <v>34.9</v>
      </c>
      <c r="H709" t="s">
        <v>46</v>
      </c>
      <c r="I709" t="s">
        <v>47</v>
      </c>
    </row>
    <row r="710" spans="1:9" x14ac:dyDescent="0.35">
      <c r="A710" s="1">
        <v>45315</v>
      </c>
      <c r="B710" t="s">
        <v>36</v>
      </c>
      <c r="C710" t="s">
        <v>37</v>
      </c>
      <c r="D710" t="s">
        <v>15</v>
      </c>
      <c r="E710" t="s">
        <v>16</v>
      </c>
      <c r="F710">
        <v>34</v>
      </c>
      <c r="G710">
        <v>34.4</v>
      </c>
      <c r="H710" t="s">
        <v>46</v>
      </c>
      <c r="I710" t="s">
        <v>47</v>
      </c>
    </row>
    <row r="711" spans="1:9" x14ac:dyDescent="0.35">
      <c r="A711" s="1">
        <v>45315</v>
      </c>
      <c r="B711" t="s">
        <v>36</v>
      </c>
      <c r="C711" t="s">
        <v>37</v>
      </c>
      <c r="D711" t="s">
        <v>18</v>
      </c>
      <c r="E711" t="s">
        <v>19</v>
      </c>
      <c r="F711">
        <v>38</v>
      </c>
      <c r="G711">
        <v>37.700000000000003</v>
      </c>
      <c r="H711" t="s">
        <v>46</v>
      </c>
      <c r="I711" t="s">
        <v>47</v>
      </c>
    </row>
    <row r="712" spans="1:9" x14ac:dyDescent="0.35">
      <c r="A712" s="1">
        <v>45315</v>
      </c>
      <c r="B712" t="s">
        <v>36</v>
      </c>
      <c r="C712" t="s">
        <v>37</v>
      </c>
      <c r="D712" t="s">
        <v>21</v>
      </c>
      <c r="E712" t="s">
        <v>22</v>
      </c>
      <c r="F712">
        <v>32</v>
      </c>
      <c r="G712">
        <v>34</v>
      </c>
      <c r="H712" t="s">
        <v>46</v>
      </c>
      <c r="I712" t="s">
        <v>47</v>
      </c>
    </row>
    <row r="713" spans="1:9" x14ac:dyDescent="0.35">
      <c r="A713" s="1">
        <v>45315</v>
      </c>
      <c r="B713" t="s">
        <v>36</v>
      </c>
      <c r="C713" t="s">
        <v>37</v>
      </c>
      <c r="D713" t="s">
        <v>24</v>
      </c>
      <c r="E713" t="s">
        <v>25</v>
      </c>
      <c r="F713">
        <v>50</v>
      </c>
      <c r="G713">
        <v>52.3</v>
      </c>
      <c r="H713" t="s">
        <v>46</v>
      </c>
      <c r="I713" t="s">
        <v>47</v>
      </c>
    </row>
    <row r="714" spans="1:9" x14ac:dyDescent="0.35">
      <c r="A714" s="1">
        <v>45315</v>
      </c>
      <c r="B714" t="s">
        <v>36</v>
      </c>
      <c r="C714" t="s">
        <v>37</v>
      </c>
      <c r="D714" t="s">
        <v>26</v>
      </c>
      <c r="E714" t="s">
        <v>27</v>
      </c>
      <c r="F714">
        <v>38</v>
      </c>
      <c r="G714">
        <v>48.8</v>
      </c>
      <c r="H714" t="s">
        <v>48</v>
      </c>
      <c r="I714" t="s">
        <v>49</v>
      </c>
    </row>
    <row r="715" spans="1:9" x14ac:dyDescent="0.35">
      <c r="A715" s="1">
        <v>45315</v>
      </c>
      <c r="B715" t="s">
        <v>36</v>
      </c>
      <c r="C715" t="s">
        <v>37</v>
      </c>
      <c r="D715" t="s">
        <v>28</v>
      </c>
      <c r="E715" t="s">
        <v>29</v>
      </c>
      <c r="F715">
        <v>32</v>
      </c>
      <c r="G715">
        <v>31.4</v>
      </c>
      <c r="H715" t="s">
        <v>46</v>
      </c>
      <c r="I715" t="s">
        <v>47</v>
      </c>
    </row>
    <row r="716" spans="1:9" x14ac:dyDescent="0.35">
      <c r="A716" s="1">
        <v>45315</v>
      </c>
      <c r="B716" t="s">
        <v>39</v>
      </c>
      <c r="C716" t="s">
        <v>40</v>
      </c>
      <c r="D716" t="s">
        <v>15</v>
      </c>
      <c r="E716" t="s">
        <v>16</v>
      </c>
      <c r="F716">
        <v>34</v>
      </c>
      <c r="G716">
        <v>34.200000000000003</v>
      </c>
      <c r="H716" t="s">
        <v>46</v>
      </c>
      <c r="I716" t="s">
        <v>47</v>
      </c>
    </row>
    <row r="717" spans="1:9" x14ac:dyDescent="0.35">
      <c r="A717" s="1">
        <v>45315</v>
      </c>
      <c r="B717" t="s">
        <v>39</v>
      </c>
      <c r="C717" t="s">
        <v>40</v>
      </c>
      <c r="D717" t="s">
        <v>18</v>
      </c>
      <c r="E717" t="s">
        <v>19</v>
      </c>
      <c r="F717">
        <v>38</v>
      </c>
      <c r="G717">
        <v>39.4</v>
      </c>
      <c r="H717" t="s">
        <v>46</v>
      </c>
      <c r="I717" t="s">
        <v>47</v>
      </c>
    </row>
    <row r="718" spans="1:9" x14ac:dyDescent="0.35">
      <c r="A718" s="1">
        <v>45315</v>
      </c>
      <c r="B718" t="s">
        <v>39</v>
      </c>
      <c r="C718" t="s">
        <v>40</v>
      </c>
      <c r="D718" t="s">
        <v>21</v>
      </c>
      <c r="E718" t="s">
        <v>22</v>
      </c>
      <c r="F718">
        <v>32</v>
      </c>
      <c r="G718">
        <v>33.4</v>
      </c>
      <c r="H718" t="s">
        <v>46</v>
      </c>
      <c r="I718" t="s">
        <v>47</v>
      </c>
    </row>
    <row r="719" spans="1:9" x14ac:dyDescent="0.35">
      <c r="A719" s="1">
        <v>45315</v>
      </c>
      <c r="B719" t="s">
        <v>39</v>
      </c>
      <c r="C719" t="s">
        <v>40</v>
      </c>
      <c r="D719" t="s">
        <v>24</v>
      </c>
      <c r="E719" t="s">
        <v>25</v>
      </c>
      <c r="F719">
        <v>50</v>
      </c>
      <c r="G719">
        <v>50.3</v>
      </c>
      <c r="H719" t="s">
        <v>46</v>
      </c>
      <c r="I719" t="s">
        <v>47</v>
      </c>
    </row>
    <row r="720" spans="1:9" x14ac:dyDescent="0.35">
      <c r="A720" s="1">
        <v>45315</v>
      </c>
      <c r="B720" t="s">
        <v>39</v>
      </c>
      <c r="C720" t="s">
        <v>40</v>
      </c>
      <c r="D720" t="s">
        <v>26</v>
      </c>
      <c r="E720" t="s">
        <v>27</v>
      </c>
      <c r="F720">
        <v>38</v>
      </c>
      <c r="G720">
        <v>37.200000000000003</v>
      </c>
      <c r="H720" t="s">
        <v>46</v>
      </c>
      <c r="I720" t="s">
        <v>47</v>
      </c>
    </row>
    <row r="721" spans="1:9" x14ac:dyDescent="0.35">
      <c r="A721" s="1">
        <v>45315</v>
      </c>
      <c r="B721" t="s">
        <v>39</v>
      </c>
      <c r="C721" t="s">
        <v>40</v>
      </c>
      <c r="D721" t="s">
        <v>28</v>
      </c>
      <c r="E721" t="s">
        <v>29</v>
      </c>
      <c r="F721">
        <v>32</v>
      </c>
      <c r="G721">
        <v>31.6</v>
      </c>
      <c r="H721" t="s">
        <v>46</v>
      </c>
      <c r="I721" t="s">
        <v>47</v>
      </c>
    </row>
    <row r="722" spans="1:9" x14ac:dyDescent="0.35">
      <c r="A722" s="1">
        <v>45316</v>
      </c>
      <c r="B722" t="s">
        <v>12</v>
      </c>
      <c r="C722" t="s">
        <v>13</v>
      </c>
      <c r="D722" t="s">
        <v>15</v>
      </c>
      <c r="E722" t="s">
        <v>16</v>
      </c>
      <c r="F722">
        <v>34</v>
      </c>
      <c r="G722">
        <v>36</v>
      </c>
      <c r="H722" t="s">
        <v>46</v>
      </c>
      <c r="I722" t="s">
        <v>47</v>
      </c>
    </row>
    <row r="723" spans="1:9" x14ac:dyDescent="0.35">
      <c r="A723" s="1">
        <v>45316</v>
      </c>
      <c r="B723" t="s">
        <v>12</v>
      </c>
      <c r="C723" t="s">
        <v>13</v>
      </c>
      <c r="D723" t="s">
        <v>18</v>
      </c>
      <c r="E723" t="s">
        <v>19</v>
      </c>
      <c r="F723">
        <v>38</v>
      </c>
      <c r="G723">
        <v>40</v>
      </c>
      <c r="H723" t="s">
        <v>46</v>
      </c>
      <c r="I723" t="s">
        <v>47</v>
      </c>
    </row>
    <row r="724" spans="1:9" x14ac:dyDescent="0.35">
      <c r="A724" s="1">
        <v>45316</v>
      </c>
      <c r="B724" t="s">
        <v>12</v>
      </c>
      <c r="C724" t="s">
        <v>13</v>
      </c>
      <c r="D724" t="s">
        <v>21</v>
      </c>
      <c r="E724" t="s">
        <v>22</v>
      </c>
      <c r="F724">
        <v>32</v>
      </c>
      <c r="G724">
        <v>32.799999999999997</v>
      </c>
      <c r="H724" t="s">
        <v>46</v>
      </c>
      <c r="I724" t="s">
        <v>47</v>
      </c>
    </row>
    <row r="725" spans="1:9" x14ac:dyDescent="0.35">
      <c r="A725" s="1">
        <v>45316</v>
      </c>
      <c r="B725" t="s">
        <v>12</v>
      </c>
      <c r="C725" t="s">
        <v>13</v>
      </c>
      <c r="D725" t="s">
        <v>24</v>
      </c>
      <c r="E725" t="s">
        <v>25</v>
      </c>
      <c r="F725">
        <v>50</v>
      </c>
      <c r="G725">
        <v>51.5</v>
      </c>
      <c r="H725" t="s">
        <v>46</v>
      </c>
      <c r="I725" t="s">
        <v>47</v>
      </c>
    </row>
    <row r="726" spans="1:9" x14ac:dyDescent="0.35">
      <c r="A726" s="1">
        <v>45316</v>
      </c>
      <c r="B726" t="s">
        <v>12</v>
      </c>
      <c r="C726" t="s">
        <v>13</v>
      </c>
      <c r="D726" t="s">
        <v>26</v>
      </c>
      <c r="E726" t="s">
        <v>27</v>
      </c>
      <c r="F726">
        <v>38</v>
      </c>
      <c r="G726">
        <v>37.799999999999997</v>
      </c>
      <c r="H726" t="s">
        <v>46</v>
      </c>
      <c r="I726" t="s">
        <v>47</v>
      </c>
    </row>
    <row r="727" spans="1:9" x14ac:dyDescent="0.35">
      <c r="A727" s="1">
        <v>45316</v>
      </c>
      <c r="B727" t="s">
        <v>12</v>
      </c>
      <c r="C727" t="s">
        <v>13</v>
      </c>
      <c r="D727" t="s">
        <v>28</v>
      </c>
      <c r="E727" t="s">
        <v>29</v>
      </c>
      <c r="F727">
        <v>32</v>
      </c>
      <c r="G727">
        <v>32.200000000000003</v>
      </c>
      <c r="H727" t="s">
        <v>46</v>
      </c>
      <c r="I727" t="s">
        <v>47</v>
      </c>
    </row>
    <row r="728" spans="1:9" x14ac:dyDescent="0.35">
      <c r="A728" s="1">
        <v>45316</v>
      </c>
      <c r="B728" t="s">
        <v>30</v>
      </c>
      <c r="C728" t="s">
        <v>31</v>
      </c>
      <c r="D728" t="s">
        <v>15</v>
      </c>
      <c r="E728" t="s">
        <v>16</v>
      </c>
      <c r="F728">
        <v>34</v>
      </c>
      <c r="G728">
        <v>35.700000000000003</v>
      </c>
      <c r="H728" t="s">
        <v>46</v>
      </c>
      <c r="I728" t="s">
        <v>47</v>
      </c>
    </row>
    <row r="729" spans="1:9" x14ac:dyDescent="0.35">
      <c r="A729" s="1">
        <v>45316</v>
      </c>
      <c r="B729" t="s">
        <v>30</v>
      </c>
      <c r="C729" t="s">
        <v>31</v>
      </c>
      <c r="D729" t="s">
        <v>18</v>
      </c>
      <c r="E729" t="s">
        <v>19</v>
      </c>
      <c r="F729">
        <v>38</v>
      </c>
      <c r="G729">
        <v>40.700000000000003</v>
      </c>
      <c r="H729" t="s">
        <v>46</v>
      </c>
      <c r="I729" t="s">
        <v>47</v>
      </c>
    </row>
    <row r="730" spans="1:9" x14ac:dyDescent="0.35">
      <c r="A730" s="1">
        <v>45316</v>
      </c>
      <c r="B730" t="s">
        <v>30</v>
      </c>
      <c r="C730" t="s">
        <v>31</v>
      </c>
      <c r="D730" t="s">
        <v>21</v>
      </c>
      <c r="E730" t="s">
        <v>22</v>
      </c>
      <c r="F730">
        <v>32</v>
      </c>
      <c r="G730">
        <v>34.700000000000003</v>
      </c>
      <c r="H730" t="s">
        <v>46</v>
      </c>
      <c r="I730" t="s">
        <v>47</v>
      </c>
    </row>
    <row r="731" spans="1:9" x14ac:dyDescent="0.35">
      <c r="A731" s="1">
        <v>45316</v>
      </c>
      <c r="B731" t="s">
        <v>30</v>
      </c>
      <c r="C731" t="s">
        <v>31</v>
      </c>
      <c r="D731" t="s">
        <v>24</v>
      </c>
      <c r="E731" t="s">
        <v>25</v>
      </c>
      <c r="F731">
        <v>50</v>
      </c>
      <c r="G731">
        <v>51.3</v>
      </c>
      <c r="H731" t="s">
        <v>46</v>
      </c>
      <c r="I731" t="s">
        <v>47</v>
      </c>
    </row>
    <row r="732" spans="1:9" x14ac:dyDescent="0.35">
      <c r="A732" s="1">
        <v>45316</v>
      </c>
      <c r="B732" t="s">
        <v>30</v>
      </c>
      <c r="C732" t="s">
        <v>31</v>
      </c>
      <c r="D732" t="s">
        <v>26</v>
      </c>
      <c r="E732" t="s">
        <v>27</v>
      </c>
      <c r="F732">
        <v>38</v>
      </c>
      <c r="G732">
        <v>39</v>
      </c>
      <c r="H732" t="s">
        <v>46</v>
      </c>
      <c r="I732" t="s">
        <v>47</v>
      </c>
    </row>
    <row r="733" spans="1:9" x14ac:dyDescent="0.35">
      <c r="A733" s="1">
        <v>45316</v>
      </c>
      <c r="B733" t="s">
        <v>30</v>
      </c>
      <c r="C733" t="s">
        <v>31</v>
      </c>
      <c r="D733" t="s">
        <v>28</v>
      </c>
      <c r="E733" t="s">
        <v>29</v>
      </c>
      <c r="F733">
        <v>32</v>
      </c>
      <c r="G733">
        <v>34.4</v>
      </c>
      <c r="H733" t="s">
        <v>46</v>
      </c>
      <c r="I733" t="s">
        <v>47</v>
      </c>
    </row>
    <row r="734" spans="1:9" x14ac:dyDescent="0.35">
      <c r="A734" s="1">
        <v>45316</v>
      </c>
      <c r="B734" t="s">
        <v>33</v>
      </c>
      <c r="C734" t="s">
        <v>34</v>
      </c>
      <c r="D734" t="s">
        <v>15</v>
      </c>
      <c r="E734" t="s">
        <v>16</v>
      </c>
      <c r="F734">
        <v>34</v>
      </c>
      <c r="G734">
        <v>47.2</v>
      </c>
      <c r="H734" t="s">
        <v>48</v>
      </c>
      <c r="I734" t="s">
        <v>49</v>
      </c>
    </row>
    <row r="735" spans="1:9" x14ac:dyDescent="0.35">
      <c r="A735" s="1">
        <v>45316</v>
      </c>
      <c r="B735" t="s">
        <v>33</v>
      </c>
      <c r="C735" t="s">
        <v>34</v>
      </c>
      <c r="D735" t="s">
        <v>18</v>
      </c>
      <c r="E735" t="s">
        <v>19</v>
      </c>
      <c r="F735">
        <v>38</v>
      </c>
      <c r="G735">
        <v>37</v>
      </c>
      <c r="H735" t="s">
        <v>46</v>
      </c>
      <c r="I735" t="s">
        <v>47</v>
      </c>
    </row>
    <row r="736" spans="1:9" x14ac:dyDescent="0.35">
      <c r="A736" s="1">
        <v>45316</v>
      </c>
      <c r="B736" t="s">
        <v>33</v>
      </c>
      <c r="C736" t="s">
        <v>34</v>
      </c>
      <c r="D736" t="s">
        <v>21</v>
      </c>
      <c r="E736" t="s">
        <v>22</v>
      </c>
      <c r="F736">
        <v>32</v>
      </c>
      <c r="G736">
        <v>34.9</v>
      </c>
      <c r="H736" t="s">
        <v>46</v>
      </c>
      <c r="I736" t="s">
        <v>47</v>
      </c>
    </row>
    <row r="737" spans="1:9" x14ac:dyDescent="0.35">
      <c r="A737" s="1">
        <v>45316</v>
      </c>
      <c r="B737" t="s">
        <v>33</v>
      </c>
      <c r="C737" t="s">
        <v>34</v>
      </c>
      <c r="D737" t="s">
        <v>24</v>
      </c>
      <c r="E737" t="s">
        <v>25</v>
      </c>
      <c r="F737">
        <v>50</v>
      </c>
      <c r="G737">
        <v>58.3</v>
      </c>
      <c r="H737" t="s">
        <v>48</v>
      </c>
      <c r="I737" t="s">
        <v>50</v>
      </c>
    </row>
    <row r="738" spans="1:9" x14ac:dyDescent="0.35">
      <c r="A738" s="1">
        <v>45316</v>
      </c>
      <c r="B738" t="s">
        <v>33</v>
      </c>
      <c r="C738" t="s">
        <v>34</v>
      </c>
      <c r="D738" t="s">
        <v>26</v>
      </c>
      <c r="E738" t="s">
        <v>27</v>
      </c>
      <c r="F738">
        <v>38</v>
      </c>
      <c r="G738">
        <v>47.5</v>
      </c>
      <c r="H738" t="s">
        <v>48</v>
      </c>
      <c r="I738" t="s">
        <v>50</v>
      </c>
    </row>
    <row r="739" spans="1:9" x14ac:dyDescent="0.35">
      <c r="A739" s="1">
        <v>45316</v>
      </c>
      <c r="B739" t="s">
        <v>33</v>
      </c>
      <c r="C739" t="s">
        <v>34</v>
      </c>
      <c r="D739" t="s">
        <v>28</v>
      </c>
      <c r="E739" t="s">
        <v>29</v>
      </c>
      <c r="F739">
        <v>32</v>
      </c>
      <c r="G739">
        <v>33.5</v>
      </c>
      <c r="H739" t="s">
        <v>46</v>
      </c>
      <c r="I739" t="s">
        <v>47</v>
      </c>
    </row>
    <row r="740" spans="1:9" x14ac:dyDescent="0.35">
      <c r="A740" s="1">
        <v>45316</v>
      </c>
      <c r="B740" t="s">
        <v>36</v>
      </c>
      <c r="C740" t="s">
        <v>37</v>
      </c>
      <c r="D740" t="s">
        <v>15</v>
      </c>
      <c r="E740" t="s">
        <v>16</v>
      </c>
      <c r="F740">
        <v>34</v>
      </c>
      <c r="G740">
        <v>34.6</v>
      </c>
      <c r="H740" t="s">
        <v>46</v>
      </c>
      <c r="I740" t="s">
        <v>47</v>
      </c>
    </row>
    <row r="741" spans="1:9" x14ac:dyDescent="0.35">
      <c r="A741" s="1">
        <v>45316</v>
      </c>
      <c r="B741" t="s">
        <v>36</v>
      </c>
      <c r="C741" t="s">
        <v>37</v>
      </c>
      <c r="D741" t="s">
        <v>18</v>
      </c>
      <c r="E741" t="s">
        <v>19</v>
      </c>
      <c r="F741">
        <v>38</v>
      </c>
      <c r="G741">
        <v>37.799999999999997</v>
      </c>
      <c r="H741" t="s">
        <v>46</v>
      </c>
      <c r="I741" t="s">
        <v>47</v>
      </c>
    </row>
    <row r="742" spans="1:9" x14ac:dyDescent="0.35">
      <c r="A742" s="1">
        <v>45316</v>
      </c>
      <c r="B742" t="s">
        <v>36</v>
      </c>
      <c r="C742" t="s">
        <v>37</v>
      </c>
      <c r="D742" t="s">
        <v>21</v>
      </c>
      <c r="E742" t="s">
        <v>22</v>
      </c>
      <c r="F742">
        <v>32</v>
      </c>
      <c r="G742">
        <v>39.1</v>
      </c>
      <c r="H742" t="s">
        <v>48</v>
      </c>
      <c r="I742" t="s">
        <v>50</v>
      </c>
    </row>
    <row r="743" spans="1:9" x14ac:dyDescent="0.35">
      <c r="A743" s="1">
        <v>45316</v>
      </c>
      <c r="B743" t="s">
        <v>36</v>
      </c>
      <c r="C743" t="s">
        <v>37</v>
      </c>
      <c r="D743" t="s">
        <v>24</v>
      </c>
      <c r="E743" t="s">
        <v>25</v>
      </c>
      <c r="F743">
        <v>50</v>
      </c>
      <c r="G743">
        <v>52.4</v>
      </c>
      <c r="H743" t="s">
        <v>46</v>
      </c>
      <c r="I743" t="s">
        <v>47</v>
      </c>
    </row>
    <row r="744" spans="1:9" x14ac:dyDescent="0.35">
      <c r="A744" s="1">
        <v>45316</v>
      </c>
      <c r="B744" t="s">
        <v>36</v>
      </c>
      <c r="C744" t="s">
        <v>37</v>
      </c>
      <c r="D744" t="s">
        <v>26</v>
      </c>
      <c r="E744" t="s">
        <v>27</v>
      </c>
      <c r="F744">
        <v>38</v>
      </c>
      <c r="G744">
        <v>38.700000000000003</v>
      </c>
      <c r="H744" t="s">
        <v>46</v>
      </c>
      <c r="I744" t="s">
        <v>47</v>
      </c>
    </row>
    <row r="745" spans="1:9" x14ac:dyDescent="0.35">
      <c r="A745" s="1">
        <v>45316</v>
      </c>
      <c r="B745" t="s">
        <v>36</v>
      </c>
      <c r="C745" t="s">
        <v>37</v>
      </c>
      <c r="D745" t="s">
        <v>28</v>
      </c>
      <c r="E745" t="s">
        <v>29</v>
      </c>
      <c r="F745">
        <v>32</v>
      </c>
      <c r="G745">
        <v>34.5</v>
      </c>
      <c r="H745" t="s">
        <v>46</v>
      </c>
      <c r="I745" t="s">
        <v>47</v>
      </c>
    </row>
    <row r="746" spans="1:9" x14ac:dyDescent="0.35">
      <c r="A746" s="1">
        <v>45316</v>
      </c>
      <c r="B746" t="s">
        <v>39</v>
      </c>
      <c r="C746" t="s">
        <v>40</v>
      </c>
      <c r="D746" t="s">
        <v>15</v>
      </c>
      <c r="E746" t="s">
        <v>16</v>
      </c>
      <c r="F746">
        <v>34</v>
      </c>
      <c r="G746">
        <v>40.1</v>
      </c>
      <c r="H746" t="s">
        <v>48</v>
      </c>
      <c r="I746" t="s">
        <v>50</v>
      </c>
    </row>
    <row r="747" spans="1:9" x14ac:dyDescent="0.35">
      <c r="A747" s="1">
        <v>45316</v>
      </c>
      <c r="B747" t="s">
        <v>39</v>
      </c>
      <c r="C747" t="s">
        <v>40</v>
      </c>
      <c r="D747" t="s">
        <v>18</v>
      </c>
      <c r="E747" t="s">
        <v>19</v>
      </c>
      <c r="F747">
        <v>38</v>
      </c>
      <c r="G747">
        <v>37.6</v>
      </c>
      <c r="H747" t="s">
        <v>46</v>
      </c>
      <c r="I747" t="s">
        <v>47</v>
      </c>
    </row>
    <row r="748" spans="1:9" x14ac:dyDescent="0.35">
      <c r="A748" s="1">
        <v>45316</v>
      </c>
      <c r="B748" t="s">
        <v>39</v>
      </c>
      <c r="C748" t="s">
        <v>40</v>
      </c>
      <c r="D748" t="s">
        <v>21</v>
      </c>
      <c r="E748" t="s">
        <v>22</v>
      </c>
      <c r="F748">
        <v>32</v>
      </c>
      <c r="G748">
        <v>33.6</v>
      </c>
      <c r="H748" t="s">
        <v>46</v>
      </c>
      <c r="I748" t="s">
        <v>47</v>
      </c>
    </row>
    <row r="749" spans="1:9" x14ac:dyDescent="0.35">
      <c r="A749" s="1">
        <v>45316</v>
      </c>
      <c r="B749" t="s">
        <v>39</v>
      </c>
      <c r="C749" t="s">
        <v>40</v>
      </c>
      <c r="D749" t="s">
        <v>24</v>
      </c>
      <c r="E749" t="s">
        <v>25</v>
      </c>
      <c r="F749">
        <v>50</v>
      </c>
      <c r="G749">
        <v>49.5</v>
      </c>
      <c r="H749" t="s">
        <v>46</v>
      </c>
      <c r="I749" t="s">
        <v>47</v>
      </c>
    </row>
    <row r="750" spans="1:9" x14ac:dyDescent="0.35">
      <c r="A750" s="1">
        <v>45316</v>
      </c>
      <c r="B750" t="s">
        <v>39</v>
      </c>
      <c r="C750" t="s">
        <v>40</v>
      </c>
      <c r="D750" t="s">
        <v>26</v>
      </c>
      <c r="E750" t="s">
        <v>27</v>
      </c>
      <c r="F750">
        <v>38</v>
      </c>
      <c r="G750">
        <v>50.4</v>
      </c>
      <c r="H750" t="s">
        <v>48</v>
      </c>
      <c r="I750" t="s">
        <v>49</v>
      </c>
    </row>
    <row r="751" spans="1:9" x14ac:dyDescent="0.35">
      <c r="A751" s="1">
        <v>45316</v>
      </c>
      <c r="B751" t="s">
        <v>39</v>
      </c>
      <c r="C751" t="s">
        <v>40</v>
      </c>
      <c r="D751" t="s">
        <v>28</v>
      </c>
      <c r="E751" t="s">
        <v>29</v>
      </c>
      <c r="F751">
        <v>32</v>
      </c>
      <c r="G751">
        <v>34.6</v>
      </c>
      <c r="H751" t="s">
        <v>46</v>
      </c>
      <c r="I751" t="s">
        <v>47</v>
      </c>
    </row>
    <row r="752" spans="1:9" x14ac:dyDescent="0.35">
      <c r="A752" s="1">
        <v>45317</v>
      </c>
      <c r="B752" t="s">
        <v>12</v>
      </c>
      <c r="C752" t="s">
        <v>13</v>
      </c>
      <c r="D752" t="s">
        <v>15</v>
      </c>
      <c r="E752" t="s">
        <v>16</v>
      </c>
      <c r="F752">
        <v>34</v>
      </c>
      <c r="G752">
        <v>36.700000000000003</v>
      </c>
      <c r="H752" t="s">
        <v>46</v>
      </c>
      <c r="I752" t="s">
        <v>47</v>
      </c>
    </row>
    <row r="753" spans="1:9" x14ac:dyDescent="0.35">
      <c r="A753" s="1">
        <v>45317</v>
      </c>
      <c r="B753" t="s">
        <v>12</v>
      </c>
      <c r="C753" t="s">
        <v>13</v>
      </c>
      <c r="D753" t="s">
        <v>18</v>
      </c>
      <c r="E753" t="s">
        <v>19</v>
      </c>
      <c r="F753">
        <v>38</v>
      </c>
      <c r="G753">
        <v>38.799999999999997</v>
      </c>
      <c r="H753" t="s">
        <v>46</v>
      </c>
      <c r="I753" t="s">
        <v>47</v>
      </c>
    </row>
    <row r="754" spans="1:9" x14ac:dyDescent="0.35">
      <c r="A754" s="1">
        <v>45317</v>
      </c>
      <c r="B754" t="s">
        <v>12</v>
      </c>
      <c r="C754" t="s">
        <v>13</v>
      </c>
      <c r="D754" t="s">
        <v>21</v>
      </c>
      <c r="E754" t="s">
        <v>22</v>
      </c>
      <c r="F754">
        <v>32</v>
      </c>
      <c r="G754">
        <v>34.299999999999997</v>
      </c>
      <c r="H754" t="s">
        <v>46</v>
      </c>
      <c r="I754" t="s">
        <v>47</v>
      </c>
    </row>
    <row r="755" spans="1:9" x14ac:dyDescent="0.35">
      <c r="A755" s="1">
        <v>45317</v>
      </c>
      <c r="B755" t="s">
        <v>12</v>
      </c>
      <c r="C755" t="s">
        <v>13</v>
      </c>
      <c r="D755" t="s">
        <v>24</v>
      </c>
      <c r="E755" t="s">
        <v>25</v>
      </c>
      <c r="F755">
        <v>50</v>
      </c>
      <c r="G755">
        <v>49.9</v>
      </c>
      <c r="H755" t="s">
        <v>46</v>
      </c>
      <c r="I755" t="s">
        <v>47</v>
      </c>
    </row>
    <row r="756" spans="1:9" x14ac:dyDescent="0.35">
      <c r="A756" s="1">
        <v>45317</v>
      </c>
      <c r="B756" t="s">
        <v>12</v>
      </c>
      <c r="C756" t="s">
        <v>13</v>
      </c>
      <c r="D756" t="s">
        <v>26</v>
      </c>
      <c r="E756" t="s">
        <v>27</v>
      </c>
      <c r="F756">
        <v>38</v>
      </c>
      <c r="G756">
        <v>37</v>
      </c>
      <c r="H756" t="s">
        <v>46</v>
      </c>
      <c r="I756" t="s">
        <v>47</v>
      </c>
    </row>
    <row r="757" spans="1:9" x14ac:dyDescent="0.35">
      <c r="A757" s="1">
        <v>45317</v>
      </c>
      <c r="B757" t="s">
        <v>12</v>
      </c>
      <c r="C757" t="s">
        <v>13</v>
      </c>
      <c r="D757" t="s">
        <v>28</v>
      </c>
      <c r="E757" t="s">
        <v>29</v>
      </c>
      <c r="F757">
        <v>32</v>
      </c>
      <c r="G757">
        <v>33.9</v>
      </c>
      <c r="H757" t="s">
        <v>46</v>
      </c>
      <c r="I757" t="s">
        <v>47</v>
      </c>
    </row>
    <row r="758" spans="1:9" x14ac:dyDescent="0.35">
      <c r="A758" s="1">
        <v>45317</v>
      </c>
      <c r="B758" t="s">
        <v>30</v>
      </c>
      <c r="C758" t="s">
        <v>31</v>
      </c>
      <c r="D758" t="s">
        <v>15</v>
      </c>
      <c r="E758" t="s">
        <v>16</v>
      </c>
      <c r="F758">
        <v>34</v>
      </c>
      <c r="G758">
        <v>34.1</v>
      </c>
      <c r="H758" t="s">
        <v>46</v>
      </c>
      <c r="I758" t="s">
        <v>47</v>
      </c>
    </row>
    <row r="759" spans="1:9" x14ac:dyDescent="0.35">
      <c r="A759" s="1">
        <v>45317</v>
      </c>
      <c r="B759" t="s">
        <v>30</v>
      </c>
      <c r="C759" t="s">
        <v>31</v>
      </c>
      <c r="D759" t="s">
        <v>18</v>
      </c>
      <c r="E759" t="s">
        <v>19</v>
      </c>
      <c r="F759">
        <v>38</v>
      </c>
      <c r="G759">
        <v>39.299999999999997</v>
      </c>
      <c r="H759" t="s">
        <v>46</v>
      </c>
      <c r="I759" t="s">
        <v>47</v>
      </c>
    </row>
    <row r="760" spans="1:9" x14ac:dyDescent="0.35">
      <c r="A760" s="1">
        <v>45317</v>
      </c>
      <c r="B760" t="s">
        <v>30</v>
      </c>
      <c r="C760" t="s">
        <v>31</v>
      </c>
      <c r="D760" t="s">
        <v>21</v>
      </c>
      <c r="E760" t="s">
        <v>22</v>
      </c>
      <c r="F760">
        <v>32</v>
      </c>
      <c r="G760">
        <v>38.299999999999997</v>
      </c>
      <c r="H760" t="s">
        <v>48</v>
      </c>
      <c r="I760" t="s">
        <v>50</v>
      </c>
    </row>
    <row r="761" spans="1:9" x14ac:dyDescent="0.35">
      <c r="A761" s="1">
        <v>45317</v>
      </c>
      <c r="B761" t="s">
        <v>30</v>
      </c>
      <c r="C761" t="s">
        <v>31</v>
      </c>
      <c r="D761" t="s">
        <v>24</v>
      </c>
      <c r="E761" t="s">
        <v>25</v>
      </c>
      <c r="F761">
        <v>50</v>
      </c>
      <c r="G761">
        <v>50.5</v>
      </c>
      <c r="H761" t="s">
        <v>46</v>
      </c>
      <c r="I761" t="s">
        <v>47</v>
      </c>
    </row>
    <row r="762" spans="1:9" x14ac:dyDescent="0.35">
      <c r="A762" s="1">
        <v>45317</v>
      </c>
      <c r="B762" t="s">
        <v>30</v>
      </c>
      <c r="C762" t="s">
        <v>31</v>
      </c>
      <c r="D762" t="s">
        <v>26</v>
      </c>
      <c r="E762" t="s">
        <v>27</v>
      </c>
      <c r="F762">
        <v>38</v>
      </c>
      <c r="G762">
        <v>40.799999999999997</v>
      </c>
      <c r="H762" t="s">
        <v>46</v>
      </c>
      <c r="I762" t="s">
        <v>47</v>
      </c>
    </row>
    <row r="763" spans="1:9" x14ac:dyDescent="0.35">
      <c r="A763" s="1">
        <v>45317</v>
      </c>
      <c r="B763" t="s">
        <v>30</v>
      </c>
      <c r="C763" t="s">
        <v>31</v>
      </c>
      <c r="D763" t="s">
        <v>28</v>
      </c>
      <c r="E763" t="s">
        <v>29</v>
      </c>
      <c r="F763">
        <v>32</v>
      </c>
      <c r="G763">
        <v>43.8</v>
      </c>
      <c r="H763" t="s">
        <v>48</v>
      </c>
      <c r="I763" t="s">
        <v>49</v>
      </c>
    </row>
    <row r="764" spans="1:9" x14ac:dyDescent="0.35">
      <c r="A764" s="1">
        <v>45317</v>
      </c>
      <c r="B764" t="s">
        <v>33</v>
      </c>
      <c r="C764" t="s">
        <v>34</v>
      </c>
      <c r="D764" t="s">
        <v>15</v>
      </c>
      <c r="E764" t="s">
        <v>16</v>
      </c>
      <c r="F764">
        <v>34</v>
      </c>
      <c r="G764">
        <v>36.4</v>
      </c>
      <c r="H764" t="s">
        <v>46</v>
      </c>
      <c r="I764" t="s">
        <v>47</v>
      </c>
    </row>
    <row r="765" spans="1:9" x14ac:dyDescent="0.35">
      <c r="A765" s="1">
        <v>45317</v>
      </c>
      <c r="B765" t="s">
        <v>33</v>
      </c>
      <c r="C765" t="s">
        <v>34</v>
      </c>
      <c r="D765" t="s">
        <v>18</v>
      </c>
      <c r="E765" t="s">
        <v>19</v>
      </c>
      <c r="F765">
        <v>38</v>
      </c>
      <c r="G765">
        <v>38.1</v>
      </c>
      <c r="H765" t="s">
        <v>46</v>
      </c>
      <c r="I765" t="s">
        <v>47</v>
      </c>
    </row>
    <row r="766" spans="1:9" x14ac:dyDescent="0.35">
      <c r="A766" s="1">
        <v>45317</v>
      </c>
      <c r="B766" t="s">
        <v>33</v>
      </c>
      <c r="C766" t="s">
        <v>34</v>
      </c>
      <c r="D766" t="s">
        <v>21</v>
      </c>
      <c r="E766" t="s">
        <v>22</v>
      </c>
      <c r="F766">
        <v>32</v>
      </c>
      <c r="G766">
        <v>33.1</v>
      </c>
      <c r="H766" t="s">
        <v>46</v>
      </c>
      <c r="I766" t="s">
        <v>47</v>
      </c>
    </row>
    <row r="767" spans="1:9" x14ac:dyDescent="0.35">
      <c r="A767" s="1">
        <v>45317</v>
      </c>
      <c r="B767" t="s">
        <v>33</v>
      </c>
      <c r="C767" t="s">
        <v>34</v>
      </c>
      <c r="D767" t="s">
        <v>24</v>
      </c>
      <c r="E767" t="s">
        <v>25</v>
      </c>
      <c r="F767">
        <v>50</v>
      </c>
      <c r="G767">
        <v>50</v>
      </c>
      <c r="H767" t="s">
        <v>46</v>
      </c>
      <c r="I767" t="s">
        <v>47</v>
      </c>
    </row>
    <row r="768" spans="1:9" x14ac:dyDescent="0.35">
      <c r="A768" s="1">
        <v>45317</v>
      </c>
      <c r="B768" t="s">
        <v>33</v>
      </c>
      <c r="C768" t="s">
        <v>34</v>
      </c>
      <c r="D768" t="s">
        <v>26</v>
      </c>
      <c r="E768" t="s">
        <v>27</v>
      </c>
      <c r="F768">
        <v>38</v>
      </c>
      <c r="G768">
        <v>39.700000000000003</v>
      </c>
      <c r="H768" t="s">
        <v>46</v>
      </c>
      <c r="I768" t="s">
        <v>47</v>
      </c>
    </row>
    <row r="769" spans="1:9" x14ac:dyDescent="0.35">
      <c r="A769" s="1">
        <v>45317</v>
      </c>
      <c r="B769" t="s">
        <v>33</v>
      </c>
      <c r="C769" t="s">
        <v>34</v>
      </c>
      <c r="D769" t="s">
        <v>28</v>
      </c>
      <c r="E769" t="s">
        <v>29</v>
      </c>
      <c r="F769">
        <v>32</v>
      </c>
      <c r="G769">
        <v>33.700000000000003</v>
      </c>
      <c r="H769" t="s">
        <v>46</v>
      </c>
      <c r="I769" t="s">
        <v>47</v>
      </c>
    </row>
    <row r="770" spans="1:9" x14ac:dyDescent="0.35">
      <c r="A770" s="1">
        <v>45317</v>
      </c>
      <c r="B770" t="s">
        <v>36</v>
      </c>
      <c r="C770" t="s">
        <v>37</v>
      </c>
      <c r="D770" t="s">
        <v>15</v>
      </c>
      <c r="E770" t="s">
        <v>16</v>
      </c>
      <c r="F770">
        <v>34</v>
      </c>
      <c r="G770">
        <v>35.299999999999997</v>
      </c>
      <c r="H770" t="s">
        <v>46</v>
      </c>
      <c r="I770" t="s">
        <v>47</v>
      </c>
    </row>
    <row r="771" spans="1:9" x14ac:dyDescent="0.35">
      <c r="A771" s="1">
        <v>45317</v>
      </c>
      <c r="B771" t="s">
        <v>36</v>
      </c>
      <c r="C771" t="s">
        <v>37</v>
      </c>
      <c r="D771" t="s">
        <v>18</v>
      </c>
      <c r="E771" t="s">
        <v>19</v>
      </c>
      <c r="F771">
        <v>38</v>
      </c>
      <c r="G771">
        <v>40.6</v>
      </c>
      <c r="H771" t="s">
        <v>46</v>
      </c>
      <c r="I771" t="s">
        <v>47</v>
      </c>
    </row>
    <row r="772" spans="1:9" x14ac:dyDescent="0.35">
      <c r="A772" s="1">
        <v>45317</v>
      </c>
      <c r="B772" t="s">
        <v>36</v>
      </c>
      <c r="C772" t="s">
        <v>37</v>
      </c>
      <c r="D772" t="s">
        <v>21</v>
      </c>
      <c r="E772" t="s">
        <v>22</v>
      </c>
      <c r="F772">
        <v>32</v>
      </c>
      <c r="G772">
        <v>31</v>
      </c>
      <c r="H772" t="s">
        <v>46</v>
      </c>
      <c r="I772" t="s">
        <v>47</v>
      </c>
    </row>
    <row r="773" spans="1:9" x14ac:dyDescent="0.35">
      <c r="A773" s="1">
        <v>45317</v>
      </c>
      <c r="B773" t="s">
        <v>36</v>
      </c>
      <c r="C773" t="s">
        <v>37</v>
      </c>
      <c r="D773" t="s">
        <v>24</v>
      </c>
      <c r="E773" t="s">
        <v>25</v>
      </c>
      <c r="F773">
        <v>50</v>
      </c>
      <c r="G773">
        <v>52.6</v>
      </c>
      <c r="H773" t="s">
        <v>46</v>
      </c>
      <c r="I773" t="s">
        <v>47</v>
      </c>
    </row>
    <row r="774" spans="1:9" x14ac:dyDescent="0.35">
      <c r="A774" s="1">
        <v>45317</v>
      </c>
      <c r="B774" t="s">
        <v>36</v>
      </c>
      <c r="C774" t="s">
        <v>37</v>
      </c>
      <c r="D774" t="s">
        <v>26</v>
      </c>
      <c r="E774" t="s">
        <v>27</v>
      </c>
      <c r="F774">
        <v>38</v>
      </c>
      <c r="G774">
        <v>38.299999999999997</v>
      </c>
      <c r="H774" t="s">
        <v>46</v>
      </c>
      <c r="I774" t="s">
        <v>47</v>
      </c>
    </row>
    <row r="775" spans="1:9" x14ac:dyDescent="0.35">
      <c r="A775" s="1">
        <v>45317</v>
      </c>
      <c r="B775" t="s">
        <v>36</v>
      </c>
      <c r="C775" t="s">
        <v>37</v>
      </c>
      <c r="D775" t="s">
        <v>28</v>
      </c>
      <c r="E775" t="s">
        <v>29</v>
      </c>
      <c r="F775">
        <v>32</v>
      </c>
      <c r="G775">
        <v>34.9</v>
      </c>
      <c r="H775" t="s">
        <v>46</v>
      </c>
      <c r="I775" t="s">
        <v>47</v>
      </c>
    </row>
    <row r="776" spans="1:9" x14ac:dyDescent="0.35">
      <c r="A776" s="1">
        <v>45317</v>
      </c>
      <c r="B776" t="s">
        <v>39</v>
      </c>
      <c r="C776" t="s">
        <v>40</v>
      </c>
      <c r="D776" t="s">
        <v>15</v>
      </c>
      <c r="E776" t="s">
        <v>16</v>
      </c>
      <c r="F776">
        <v>34</v>
      </c>
      <c r="G776">
        <v>33.700000000000003</v>
      </c>
      <c r="H776" t="s">
        <v>46</v>
      </c>
      <c r="I776" t="s">
        <v>47</v>
      </c>
    </row>
    <row r="777" spans="1:9" x14ac:dyDescent="0.35">
      <c r="A777" s="1">
        <v>45317</v>
      </c>
      <c r="B777" t="s">
        <v>39</v>
      </c>
      <c r="C777" t="s">
        <v>40</v>
      </c>
      <c r="D777" t="s">
        <v>18</v>
      </c>
      <c r="E777" t="s">
        <v>19</v>
      </c>
      <c r="F777">
        <v>38</v>
      </c>
      <c r="G777">
        <v>39.4</v>
      </c>
      <c r="H777" t="s">
        <v>46</v>
      </c>
      <c r="I777" t="s">
        <v>47</v>
      </c>
    </row>
    <row r="778" spans="1:9" x14ac:dyDescent="0.35">
      <c r="A778" s="1">
        <v>45317</v>
      </c>
      <c r="B778" t="s">
        <v>39</v>
      </c>
      <c r="C778" t="s">
        <v>40</v>
      </c>
      <c r="D778" t="s">
        <v>21</v>
      </c>
      <c r="E778" t="s">
        <v>22</v>
      </c>
      <c r="F778">
        <v>32</v>
      </c>
      <c r="G778">
        <v>34.1</v>
      </c>
      <c r="H778" t="s">
        <v>46</v>
      </c>
      <c r="I778" t="s">
        <v>47</v>
      </c>
    </row>
    <row r="779" spans="1:9" x14ac:dyDescent="0.35">
      <c r="A779" s="1">
        <v>45317</v>
      </c>
      <c r="B779" t="s">
        <v>39</v>
      </c>
      <c r="C779" t="s">
        <v>40</v>
      </c>
      <c r="D779" t="s">
        <v>24</v>
      </c>
      <c r="E779" t="s">
        <v>25</v>
      </c>
      <c r="F779">
        <v>50</v>
      </c>
      <c r="G779">
        <v>51.5</v>
      </c>
      <c r="H779" t="s">
        <v>46</v>
      </c>
      <c r="I779" t="s">
        <v>47</v>
      </c>
    </row>
    <row r="780" spans="1:9" x14ac:dyDescent="0.35">
      <c r="A780" s="1">
        <v>45317</v>
      </c>
      <c r="B780" t="s">
        <v>39</v>
      </c>
      <c r="C780" t="s">
        <v>40</v>
      </c>
      <c r="D780" t="s">
        <v>26</v>
      </c>
      <c r="E780" t="s">
        <v>27</v>
      </c>
      <c r="F780">
        <v>38</v>
      </c>
      <c r="G780">
        <v>39.299999999999997</v>
      </c>
      <c r="H780" t="s">
        <v>46</v>
      </c>
      <c r="I780" t="s">
        <v>47</v>
      </c>
    </row>
    <row r="781" spans="1:9" x14ac:dyDescent="0.35">
      <c r="A781" s="1">
        <v>45317</v>
      </c>
      <c r="B781" t="s">
        <v>39</v>
      </c>
      <c r="C781" t="s">
        <v>40</v>
      </c>
      <c r="D781" t="s">
        <v>28</v>
      </c>
      <c r="E781" t="s">
        <v>29</v>
      </c>
      <c r="F781">
        <v>32</v>
      </c>
      <c r="G781">
        <v>32.200000000000003</v>
      </c>
      <c r="H781" t="s">
        <v>46</v>
      </c>
      <c r="I781" t="s">
        <v>47</v>
      </c>
    </row>
    <row r="782" spans="1:9" x14ac:dyDescent="0.35">
      <c r="A782" s="1">
        <v>45318</v>
      </c>
      <c r="B782" t="s">
        <v>12</v>
      </c>
      <c r="C782" t="s">
        <v>13</v>
      </c>
      <c r="D782" t="s">
        <v>15</v>
      </c>
      <c r="E782" t="s">
        <v>16</v>
      </c>
      <c r="F782">
        <v>34</v>
      </c>
      <c r="G782">
        <v>33.1</v>
      </c>
      <c r="H782" t="s">
        <v>46</v>
      </c>
      <c r="I782" t="s">
        <v>47</v>
      </c>
    </row>
    <row r="783" spans="1:9" x14ac:dyDescent="0.35">
      <c r="A783" s="1">
        <v>45318</v>
      </c>
      <c r="B783" t="s">
        <v>12</v>
      </c>
      <c r="C783" t="s">
        <v>13</v>
      </c>
      <c r="D783" t="s">
        <v>18</v>
      </c>
      <c r="E783" t="s">
        <v>19</v>
      </c>
      <c r="F783">
        <v>38</v>
      </c>
      <c r="G783">
        <v>37.5</v>
      </c>
      <c r="H783" t="s">
        <v>46</v>
      </c>
      <c r="I783" t="s">
        <v>47</v>
      </c>
    </row>
    <row r="784" spans="1:9" x14ac:dyDescent="0.35">
      <c r="A784" s="1">
        <v>45318</v>
      </c>
      <c r="B784" t="s">
        <v>12</v>
      </c>
      <c r="C784" t="s">
        <v>13</v>
      </c>
      <c r="D784" t="s">
        <v>21</v>
      </c>
      <c r="E784" t="s">
        <v>22</v>
      </c>
      <c r="F784">
        <v>32</v>
      </c>
      <c r="G784">
        <v>44.3</v>
      </c>
      <c r="H784" t="s">
        <v>48</v>
      </c>
      <c r="I784" t="s">
        <v>49</v>
      </c>
    </row>
    <row r="785" spans="1:9" x14ac:dyDescent="0.35">
      <c r="A785" s="1">
        <v>45318</v>
      </c>
      <c r="B785" t="s">
        <v>12</v>
      </c>
      <c r="C785" t="s">
        <v>13</v>
      </c>
      <c r="D785" t="s">
        <v>24</v>
      </c>
      <c r="E785" t="s">
        <v>25</v>
      </c>
      <c r="F785">
        <v>50</v>
      </c>
      <c r="G785">
        <v>51.5</v>
      </c>
      <c r="H785" t="s">
        <v>46</v>
      </c>
      <c r="I785" t="s">
        <v>47</v>
      </c>
    </row>
    <row r="786" spans="1:9" x14ac:dyDescent="0.35">
      <c r="A786" s="1">
        <v>45318</v>
      </c>
      <c r="B786" t="s">
        <v>12</v>
      </c>
      <c r="C786" t="s">
        <v>13</v>
      </c>
      <c r="D786" t="s">
        <v>26</v>
      </c>
      <c r="E786" t="s">
        <v>27</v>
      </c>
      <c r="F786">
        <v>38</v>
      </c>
      <c r="G786">
        <v>38</v>
      </c>
      <c r="H786" t="s">
        <v>46</v>
      </c>
      <c r="I786" t="s">
        <v>47</v>
      </c>
    </row>
    <row r="787" spans="1:9" x14ac:dyDescent="0.35">
      <c r="A787" s="1">
        <v>45318</v>
      </c>
      <c r="B787" t="s">
        <v>12</v>
      </c>
      <c r="C787" t="s">
        <v>13</v>
      </c>
      <c r="D787" t="s">
        <v>28</v>
      </c>
      <c r="E787" t="s">
        <v>29</v>
      </c>
      <c r="F787">
        <v>32</v>
      </c>
      <c r="G787">
        <v>33.4</v>
      </c>
      <c r="H787" t="s">
        <v>46</v>
      </c>
      <c r="I787" t="s">
        <v>47</v>
      </c>
    </row>
    <row r="788" spans="1:9" x14ac:dyDescent="0.35">
      <c r="A788" s="1">
        <v>45318</v>
      </c>
      <c r="B788" t="s">
        <v>30</v>
      </c>
      <c r="C788" t="s">
        <v>31</v>
      </c>
      <c r="D788" t="s">
        <v>15</v>
      </c>
      <c r="E788" t="s">
        <v>16</v>
      </c>
      <c r="F788">
        <v>34</v>
      </c>
      <c r="G788">
        <v>36</v>
      </c>
      <c r="H788" t="s">
        <v>46</v>
      </c>
      <c r="I788" t="s">
        <v>47</v>
      </c>
    </row>
    <row r="789" spans="1:9" x14ac:dyDescent="0.35">
      <c r="A789" s="1">
        <v>45318</v>
      </c>
      <c r="B789" t="s">
        <v>30</v>
      </c>
      <c r="C789" t="s">
        <v>31</v>
      </c>
      <c r="D789" t="s">
        <v>18</v>
      </c>
      <c r="E789" t="s">
        <v>19</v>
      </c>
      <c r="F789">
        <v>38</v>
      </c>
      <c r="G789">
        <v>38.5</v>
      </c>
      <c r="H789" t="s">
        <v>46</v>
      </c>
      <c r="I789" t="s">
        <v>47</v>
      </c>
    </row>
    <row r="790" spans="1:9" x14ac:dyDescent="0.35">
      <c r="A790" s="1">
        <v>45318</v>
      </c>
      <c r="B790" t="s">
        <v>30</v>
      </c>
      <c r="C790" t="s">
        <v>31</v>
      </c>
      <c r="D790" t="s">
        <v>21</v>
      </c>
      <c r="E790" t="s">
        <v>22</v>
      </c>
      <c r="F790">
        <v>32</v>
      </c>
      <c r="G790">
        <v>44.3</v>
      </c>
      <c r="H790" t="s">
        <v>48</v>
      </c>
      <c r="I790" t="s">
        <v>49</v>
      </c>
    </row>
    <row r="791" spans="1:9" x14ac:dyDescent="0.35">
      <c r="A791" s="1">
        <v>45318</v>
      </c>
      <c r="B791" t="s">
        <v>30</v>
      </c>
      <c r="C791" t="s">
        <v>31</v>
      </c>
      <c r="D791" t="s">
        <v>24</v>
      </c>
      <c r="E791" t="s">
        <v>25</v>
      </c>
      <c r="F791">
        <v>50</v>
      </c>
      <c r="G791">
        <v>49.7</v>
      </c>
      <c r="H791" t="s">
        <v>46</v>
      </c>
      <c r="I791" t="s">
        <v>47</v>
      </c>
    </row>
    <row r="792" spans="1:9" x14ac:dyDescent="0.35">
      <c r="A792" s="1">
        <v>45318</v>
      </c>
      <c r="B792" t="s">
        <v>30</v>
      </c>
      <c r="C792" t="s">
        <v>31</v>
      </c>
      <c r="D792" t="s">
        <v>26</v>
      </c>
      <c r="E792" t="s">
        <v>27</v>
      </c>
      <c r="F792">
        <v>38</v>
      </c>
      <c r="G792">
        <v>37.1</v>
      </c>
      <c r="H792" t="s">
        <v>46</v>
      </c>
      <c r="I792" t="s">
        <v>47</v>
      </c>
    </row>
    <row r="793" spans="1:9" x14ac:dyDescent="0.35">
      <c r="A793" s="1">
        <v>45318</v>
      </c>
      <c r="B793" t="s">
        <v>30</v>
      </c>
      <c r="C793" t="s">
        <v>31</v>
      </c>
      <c r="D793" t="s">
        <v>28</v>
      </c>
      <c r="E793" t="s">
        <v>29</v>
      </c>
      <c r="F793">
        <v>32</v>
      </c>
      <c r="G793">
        <v>34.9</v>
      </c>
      <c r="H793" t="s">
        <v>46</v>
      </c>
      <c r="I793" t="s">
        <v>47</v>
      </c>
    </row>
    <row r="794" spans="1:9" x14ac:dyDescent="0.35">
      <c r="A794" s="1">
        <v>45318</v>
      </c>
      <c r="B794" t="s">
        <v>33</v>
      </c>
      <c r="C794" t="s">
        <v>34</v>
      </c>
      <c r="D794" t="s">
        <v>15</v>
      </c>
      <c r="E794" t="s">
        <v>16</v>
      </c>
      <c r="F794">
        <v>34</v>
      </c>
      <c r="G794">
        <v>36.299999999999997</v>
      </c>
      <c r="H794" t="s">
        <v>46</v>
      </c>
      <c r="I794" t="s">
        <v>47</v>
      </c>
    </row>
    <row r="795" spans="1:9" x14ac:dyDescent="0.35">
      <c r="A795" s="1">
        <v>45318</v>
      </c>
      <c r="B795" t="s">
        <v>33</v>
      </c>
      <c r="C795" t="s">
        <v>34</v>
      </c>
      <c r="D795" t="s">
        <v>18</v>
      </c>
      <c r="E795" t="s">
        <v>19</v>
      </c>
      <c r="F795">
        <v>38</v>
      </c>
      <c r="G795">
        <v>40</v>
      </c>
      <c r="H795" t="s">
        <v>46</v>
      </c>
      <c r="I795" t="s">
        <v>47</v>
      </c>
    </row>
    <row r="796" spans="1:9" x14ac:dyDescent="0.35">
      <c r="A796" s="1">
        <v>45318</v>
      </c>
      <c r="B796" t="s">
        <v>33</v>
      </c>
      <c r="C796" t="s">
        <v>34</v>
      </c>
      <c r="D796" t="s">
        <v>21</v>
      </c>
      <c r="E796" t="s">
        <v>22</v>
      </c>
      <c r="F796">
        <v>32</v>
      </c>
      <c r="G796">
        <v>32.5</v>
      </c>
      <c r="H796" t="s">
        <v>46</v>
      </c>
      <c r="I796" t="s">
        <v>47</v>
      </c>
    </row>
    <row r="797" spans="1:9" x14ac:dyDescent="0.35">
      <c r="A797" s="1">
        <v>45318</v>
      </c>
      <c r="B797" t="s">
        <v>33</v>
      </c>
      <c r="C797" t="s">
        <v>34</v>
      </c>
      <c r="D797" t="s">
        <v>24</v>
      </c>
      <c r="E797" t="s">
        <v>25</v>
      </c>
      <c r="F797">
        <v>50</v>
      </c>
      <c r="G797">
        <v>51.9</v>
      </c>
      <c r="H797" t="s">
        <v>46</v>
      </c>
      <c r="I797" t="s">
        <v>47</v>
      </c>
    </row>
    <row r="798" spans="1:9" x14ac:dyDescent="0.35">
      <c r="A798" s="1">
        <v>45318</v>
      </c>
      <c r="B798" t="s">
        <v>33</v>
      </c>
      <c r="C798" t="s">
        <v>34</v>
      </c>
      <c r="D798" t="s">
        <v>26</v>
      </c>
      <c r="E798" t="s">
        <v>27</v>
      </c>
      <c r="F798">
        <v>38</v>
      </c>
      <c r="G798">
        <v>48.6</v>
      </c>
      <c r="H798" t="s">
        <v>48</v>
      </c>
      <c r="I798" t="s">
        <v>49</v>
      </c>
    </row>
    <row r="799" spans="1:9" x14ac:dyDescent="0.35">
      <c r="A799" s="1">
        <v>45318</v>
      </c>
      <c r="B799" t="s">
        <v>33</v>
      </c>
      <c r="C799" t="s">
        <v>34</v>
      </c>
      <c r="D799" t="s">
        <v>28</v>
      </c>
      <c r="E799" t="s">
        <v>29</v>
      </c>
      <c r="F799">
        <v>32</v>
      </c>
      <c r="G799">
        <v>31.2</v>
      </c>
      <c r="H799" t="s">
        <v>46</v>
      </c>
      <c r="I799" t="s">
        <v>47</v>
      </c>
    </row>
    <row r="800" spans="1:9" x14ac:dyDescent="0.35">
      <c r="A800" s="1">
        <v>45318</v>
      </c>
      <c r="B800" t="s">
        <v>36</v>
      </c>
      <c r="C800" t="s">
        <v>37</v>
      </c>
      <c r="D800" t="s">
        <v>15</v>
      </c>
      <c r="E800" t="s">
        <v>16</v>
      </c>
      <c r="F800">
        <v>34</v>
      </c>
      <c r="G800">
        <v>36.299999999999997</v>
      </c>
      <c r="H800" t="s">
        <v>46</v>
      </c>
      <c r="I800" t="s">
        <v>47</v>
      </c>
    </row>
    <row r="801" spans="1:9" x14ac:dyDescent="0.35">
      <c r="A801" s="1">
        <v>45318</v>
      </c>
      <c r="B801" t="s">
        <v>36</v>
      </c>
      <c r="C801" t="s">
        <v>37</v>
      </c>
      <c r="D801" t="s">
        <v>18</v>
      </c>
      <c r="E801" t="s">
        <v>19</v>
      </c>
      <c r="F801">
        <v>38</v>
      </c>
      <c r="G801">
        <v>47.7</v>
      </c>
      <c r="H801" t="s">
        <v>48</v>
      </c>
      <c r="I801" t="s">
        <v>50</v>
      </c>
    </row>
    <row r="802" spans="1:9" x14ac:dyDescent="0.35">
      <c r="A802" s="1">
        <v>45318</v>
      </c>
      <c r="B802" t="s">
        <v>36</v>
      </c>
      <c r="C802" t="s">
        <v>37</v>
      </c>
      <c r="D802" t="s">
        <v>21</v>
      </c>
      <c r="E802" t="s">
        <v>22</v>
      </c>
      <c r="F802">
        <v>32</v>
      </c>
      <c r="G802">
        <v>32.9</v>
      </c>
      <c r="H802" t="s">
        <v>46</v>
      </c>
      <c r="I802" t="s">
        <v>47</v>
      </c>
    </row>
    <row r="803" spans="1:9" x14ac:dyDescent="0.35">
      <c r="A803" s="1">
        <v>45318</v>
      </c>
      <c r="B803" t="s">
        <v>36</v>
      </c>
      <c r="C803" t="s">
        <v>37</v>
      </c>
      <c r="D803" t="s">
        <v>24</v>
      </c>
      <c r="E803" t="s">
        <v>25</v>
      </c>
      <c r="F803">
        <v>50</v>
      </c>
      <c r="G803">
        <v>52.7</v>
      </c>
      <c r="H803" t="s">
        <v>46</v>
      </c>
      <c r="I803" t="s">
        <v>47</v>
      </c>
    </row>
    <row r="804" spans="1:9" x14ac:dyDescent="0.35">
      <c r="A804" s="1">
        <v>45318</v>
      </c>
      <c r="B804" t="s">
        <v>36</v>
      </c>
      <c r="C804" t="s">
        <v>37</v>
      </c>
      <c r="D804" t="s">
        <v>26</v>
      </c>
      <c r="E804" t="s">
        <v>27</v>
      </c>
      <c r="F804">
        <v>38</v>
      </c>
      <c r="G804">
        <v>39.700000000000003</v>
      </c>
      <c r="H804" t="s">
        <v>46</v>
      </c>
      <c r="I804" t="s">
        <v>47</v>
      </c>
    </row>
    <row r="805" spans="1:9" x14ac:dyDescent="0.35">
      <c r="A805" s="1">
        <v>45318</v>
      </c>
      <c r="B805" t="s">
        <v>36</v>
      </c>
      <c r="C805" t="s">
        <v>37</v>
      </c>
      <c r="D805" t="s">
        <v>28</v>
      </c>
      <c r="E805" t="s">
        <v>29</v>
      </c>
      <c r="F805">
        <v>32</v>
      </c>
      <c r="G805">
        <v>32.1</v>
      </c>
      <c r="H805" t="s">
        <v>46</v>
      </c>
      <c r="I805" t="s">
        <v>47</v>
      </c>
    </row>
    <row r="806" spans="1:9" x14ac:dyDescent="0.35">
      <c r="A806" s="1">
        <v>45318</v>
      </c>
      <c r="B806" t="s">
        <v>39</v>
      </c>
      <c r="C806" t="s">
        <v>40</v>
      </c>
      <c r="D806" t="s">
        <v>15</v>
      </c>
      <c r="E806" t="s">
        <v>16</v>
      </c>
      <c r="F806">
        <v>34</v>
      </c>
      <c r="G806">
        <v>34.700000000000003</v>
      </c>
      <c r="H806" t="s">
        <v>46</v>
      </c>
      <c r="I806" t="s">
        <v>47</v>
      </c>
    </row>
    <row r="807" spans="1:9" x14ac:dyDescent="0.35">
      <c r="A807" s="1">
        <v>45318</v>
      </c>
      <c r="B807" t="s">
        <v>39</v>
      </c>
      <c r="C807" t="s">
        <v>40</v>
      </c>
      <c r="D807" t="s">
        <v>18</v>
      </c>
      <c r="E807" t="s">
        <v>19</v>
      </c>
      <c r="F807">
        <v>38</v>
      </c>
      <c r="G807">
        <v>40.200000000000003</v>
      </c>
      <c r="H807" t="s">
        <v>46</v>
      </c>
      <c r="I807" t="s">
        <v>47</v>
      </c>
    </row>
    <row r="808" spans="1:9" x14ac:dyDescent="0.35">
      <c r="A808" s="1">
        <v>45318</v>
      </c>
      <c r="B808" t="s">
        <v>39</v>
      </c>
      <c r="C808" t="s">
        <v>40</v>
      </c>
      <c r="D808" t="s">
        <v>21</v>
      </c>
      <c r="E808" t="s">
        <v>22</v>
      </c>
      <c r="F808">
        <v>32</v>
      </c>
      <c r="G808">
        <v>32.299999999999997</v>
      </c>
      <c r="H808" t="s">
        <v>46</v>
      </c>
      <c r="I808" t="s">
        <v>47</v>
      </c>
    </row>
    <row r="809" spans="1:9" x14ac:dyDescent="0.35">
      <c r="A809" s="1">
        <v>45318</v>
      </c>
      <c r="B809" t="s">
        <v>39</v>
      </c>
      <c r="C809" t="s">
        <v>40</v>
      </c>
      <c r="D809" t="s">
        <v>24</v>
      </c>
      <c r="E809" t="s">
        <v>25</v>
      </c>
      <c r="F809">
        <v>50</v>
      </c>
      <c r="G809">
        <v>52.8</v>
      </c>
      <c r="H809" t="s">
        <v>46</v>
      </c>
      <c r="I809" t="s">
        <v>47</v>
      </c>
    </row>
    <row r="810" spans="1:9" x14ac:dyDescent="0.35">
      <c r="A810" s="1">
        <v>45318</v>
      </c>
      <c r="B810" t="s">
        <v>39</v>
      </c>
      <c r="C810" t="s">
        <v>40</v>
      </c>
      <c r="D810" t="s">
        <v>26</v>
      </c>
      <c r="E810" t="s">
        <v>27</v>
      </c>
      <c r="F810">
        <v>38</v>
      </c>
      <c r="G810">
        <v>48.3</v>
      </c>
      <c r="H810" t="s">
        <v>48</v>
      </c>
      <c r="I810" t="s">
        <v>49</v>
      </c>
    </row>
    <row r="811" spans="1:9" x14ac:dyDescent="0.35">
      <c r="A811" s="1">
        <v>45318</v>
      </c>
      <c r="B811" t="s">
        <v>39</v>
      </c>
      <c r="C811" t="s">
        <v>40</v>
      </c>
      <c r="D811" t="s">
        <v>28</v>
      </c>
      <c r="E811" t="s">
        <v>29</v>
      </c>
      <c r="F811">
        <v>32</v>
      </c>
      <c r="G811">
        <v>34.4</v>
      </c>
      <c r="H811" t="s">
        <v>46</v>
      </c>
      <c r="I811" t="s">
        <v>47</v>
      </c>
    </row>
    <row r="812" spans="1:9" x14ac:dyDescent="0.35">
      <c r="A812" s="1">
        <v>45319</v>
      </c>
      <c r="B812" t="s">
        <v>12</v>
      </c>
      <c r="C812" t="s">
        <v>13</v>
      </c>
      <c r="D812" t="s">
        <v>15</v>
      </c>
      <c r="E812" t="s">
        <v>16</v>
      </c>
      <c r="F812">
        <v>34</v>
      </c>
      <c r="G812">
        <v>35.6</v>
      </c>
      <c r="H812" t="s">
        <v>46</v>
      </c>
      <c r="I812" t="s">
        <v>47</v>
      </c>
    </row>
    <row r="813" spans="1:9" x14ac:dyDescent="0.35">
      <c r="A813" s="1">
        <v>45319</v>
      </c>
      <c r="B813" t="s">
        <v>12</v>
      </c>
      <c r="C813" t="s">
        <v>13</v>
      </c>
      <c r="D813" t="s">
        <v>18</v>
      </c>
      <c r="E813" t="s">
        <v>19</v>
      </c>
      <c r="F813">
        <v>38</v>
      </c>
      <c r="G813">
        <v>38.1</v>
      </c>
      <c r="H813" t="s">
        <v>46</v>
      </c>
      <c r="I813" t="s">
        <v>47</v>
      </c>
    </row>
    <row r="814" spans="1:9" x14ac:dyDescent="0.35">
      <c r="A814" s="1">
        <v>45319</v>
      </c>
      <c r="B814" t="s">
        <v>12</v>
      </c>
      <c r="C814" t="s">
        <v>13</v>
      </c>
      <c r="D814" t="s">
        <v>21</v>
      </c>
      <c r="E814" t="s">
        <v>22</v>
      </c>
      <c r="F814">
        <v>32</v>
      </c>
      <c r="G814">
        <v>32</v>
      </c>
      <c r="H814" t="s">
        <v>46</v>
      </c>
      <c r="I814" t="s">
        <v>47</v>
      </c>
    </row>
    <row r="815" spans="1:9" x14ac:dyDescent="0.35">
      <c r="A815" s="1">
        <v>45319</v>
      </c>
      <c r="B815" t="s">
        <v>12</v>
      </c>
      <c r="C815" t="s">
        <v>13</v>
      </c>
      <c r="D815" t="s">
        <v>24</v>
      </c>
      <c r="E815" t="s">
        <v>25</v>
      </c>
      <c r="F815">
        <v>50</v>
      </c>
      <c r="G815">
        <v>50.8</v>
      </c>
      <c r="H815" t="s">
        <v>46</v>
      </c>
      <c r="I815" t="s">
        <v>47</v>
      </c>
    </row>
    <row r="816" spans="1:9" x14ac:dyDescent="0.35">
      <c r="A816" s="1">
        <v>45319</v>
      </c>
      <c r="B816" t="s">
        <v>12</v>
      </c>
      <c r="C816" t="s">
        <v>13</v>
      </c>
      <c r="D816" t="s">
        <v>26</v>
      </c>
      <c r="E816" t="s">
        <v>27</v>
      </c>
      <c r="F816">
        <v>38</v>
      </c>
      <c r="G816">
        <v>38</v>
      </c>
      <c r="H816" t="s">
        <v>46</v>
      </c>
      <c r="I816" t="s">
        <v>47</v>
      </c>
    </row>
    <row r="817" spans="1:9" x14ac:dyDescent="0.35">
      <c r="A817" s="1">
        <v>45319</v>
      </c>
      <c r="B817" t="s">
        <v>12</v>
      </c>
      <c r="C817" t="s">
        <v>13</v>
      </c>
      <c r="D817" t="s">
        <v>28</v>
      </c>
      <c r="E817" t="s">
        <v>29</v>
      </c>
      <c r="F817">
        <v>32</v>
      </c>
      <c r="G817">
        <v>34.1</v>
      </c>
      <c r="H817" t="s">
        <v>46</v>
      </c>
      <c r="I817" t="s">
        <v>47</v>
      </c>
    </row>
    <row r="818" spans="1:9" x14ac:dyDescent="0.35">
      <c r="A818" s="1">
        <v>45319</v>
      </c>
      <c r="B818" t="s">
        <v>30</v>
      </c>
      <c r="C818" t="s">
        <v>31</v>
      </c>
      <c r="D818" t="s">
        <v>15</v>
      </c>
      <c r="E818" t="s">
        <v>16</v>
      </c>
      <c r="F818">
        <v>34</v>
      </c>
      <c r="G818">
        <v>35.700000000000003</v>
      </c>
      <c r="H818" t="s">
        <v>46</v>
      </c>
      <c r="I818" t="s">
        <v>47</v>
      </c>
    </row>
    <row r="819" spans="1:9" x14ac:dyDescent="0.35">
      <c r="A819" s="1">
        <v>45319</v>
      </c>
      <c r="B819" t="s">
        <v>30</v>
      </c>
      <c r="C819" t="s">
        <v>31</v>
      </c>
      <c r="D819" t="s">
        <v>18</v>
      </c>
      <c r="E819" t="s">
        <v>19</v>
      </c>
      <c r="F819">
        <v>38</v>
      </c>
      <c r="G819">
        <v>38.299999999999997</v>
      </c>
      <c r="H819" t="s">
        <v>46</v>
      </c>
      <c r="I819" t="s">
        <v>47</v>
      </c>
    </row>
    <row r="820" spans="1:9" x14ac:dyDescent="0.35">
      <c r="A820" s="1">
        <v>45319</v>
      </c>
      <c r="B820" t="s">
        <v>30</v>
      </c>
      <c r="C820" t="s">
        <v>31</v>
      </c>
      <c r="D820" t="s">
        <v>21</v>
      </c>
      <c r="E820" t="s">
        <v>22</v>
      </c>
      <c r="F820">
        <v>32</v>
      </c>
      <c r="G820">
        <v>38.1</v>
      </c>
      <c r="H820" t="s">
        <v>48</v>
      </c>
      <c r="I820" t="s">
        <v>50</v>
      </c>
    </row>
    <row r="821" spans="1:9" x14ac:dyDescent="0.35">
      <c r="A821" s="1">
        <v>45319</v>
      </c>
      <c r="B821" t="s">
        <v>30</v>
      </c>
      <c r="C821" t="s">
        <v>31</v>
      </c>
      <c r="D821" t="s">
        <v>24</v>
      </c>
      <c r="E821" t="s">
        <v>25</v>
      </c>
      <c r="F821">
        <v>50</v>
      </c>
      <c r="G821">
        <v>59.3</v>
      </c>
      <c r="H821" t="s">
        <v>48</v>
      </c>
      <c r="I821" t="s">
        <v>50</v>
      </c>
    </row>
    <row r="822" spans="1:9" x14ac:dyDescent="0.35">
      <c r="A822" s="1">
        <v>45319</v>
      </c>
      <c r="B822" t="s">
        <v>30</v>
      </c>
      <c r="C822" t="s">
        <v>31</v>
      </c>
      <c r="D822" t="s">
        <v>26</v>
      </c>
      <c r="E822" t="s">
        <v>27</v>
      </c>
      <c r="F822">
        <v>38</v>
      </c>
      <c r="G822">
        <v>39.700000000000003</v>
      </c>
      <c r="H822" t="s">
        <v>46</v>
      </c>
      <c r="I822" t="s">
        <v>47</v>
      </c>
    </row>
    <row r="823" spans="1:9" x14ac:dyDescent="0.35">
      <c r="A823" s="1">
        <v>45319</v>
      </c>
      <c r="B823" t="s">
        <v>30</v>
      </c>
      <c r="C823" t="s">
        <v>31</v>
      </c>
      <c r="D823" t="s">
        <v>28</v>
      </c>
      <c r="E823" t="s">
        <v>29</v>
      </c>
      <c r="F823">
        <v>32</v>
      </c>
      <c r="G823">
        <v>33.9</v>
      </c>
      <c r="H823" t="s">
        <v>46</v>
      </c>
      <c r="I823" t="s">
        <v>47</v>
      </c>
    </row>
    <row r="824" spans="1:9" x14ac:dyDescent="0.35">
      <c r="A824" s="1">
        <v>45319</v>
      </c>
      <c r="B824" t="s">
        <v>33</v>
      </c>
      <c r="C824" t="s">
        <v>34</v>
      </c>
      <c r="D824" t="s">
        <v>15</v>
      </c>
      <c r="E824" t="s">
        <v>16</v>
      </c>
      <c r="F824">
        <v>34</v>
      </c>
      <c r="G824">
        <v>33.1</v>
      </c>
      <c r="H824" t="s">
        <v>46</v>
      </c>
      <c r="I824" t="s">
        <v>47</v>
      </c>
    </row>
    <row r="825" spans="1:9" x14ac:dyDescent="0.35">
      <c r="A825" s="1">
        <v>45319</v>
      </c>
      <c r="B825" t="s">
        <v>33</v>
      </c>
      <c r="C825" t="s">
        <v>34</v>
      </c>
      <c r="D825" t="s">
        <v>18</v>
      </c>
      <c r="E825" t="s">
        <v>19</v>
      </c>
      <c r="F825">
        <v>38</v>
      </c>
      <c r="G825">
        <v>37.200000000000003</v>
      </c>
      <c r="H825" t="s">
        <v>46</v>
      </c>
      <c r="I825" t="s">
        <v>47</v>
      </c>
    </row>
    <row r="826" spans="1:9" x14ac:dyDescent="0.35">
      <c r="A826" s="1">
        <v>45319</v>
      </c>
      <c r="B826" t="s">
        <v>33</v>
      </c>
      <c r="C826" t="s">
        <v>34</v>
      </c>
      <c r="D826" t="s">
        <v>21</v>
      </c>
      <c r="E826" t="s">
        <v>22</v>
      </c>
      <c r="F826">
        <v>32</v>
      </c>
      <c r="G826">
        <v>34.6</v>
      </c>
      <c r="H826" t="s">
        <v>46</v>
      </c>
      <c r="I826" t="s">
        <v>47</v>
      </c>
    </row>
    <row r="827" spans="1:9" x14ac:dyDescent="0.35">
      <c r="A827" s="1">
        <v>45319</v>
      </c>
      <c r="B827" t="s">
        <v>33</v>
      </c>
      <c r="C827" t="s">
        <v>34</v>
      </c>
      <c r="D827" t="s">
        <v>24</v>
      </c>
      <c r="E827" t="s">
        <v>25</v>
      </c>
      <c r="F827">
        <v>50</v>
      </c>
      <c r="G827">
        <v>51.4</v>
      </c>
      <c r="H827" t="s">
        <v>46</v>
      </c>
      <c r="I827" t="s">
        <v>47</v>
      </c>
    </row>
    <row r="828" spans="1:9" x14ac:dyDescent="0.35">
      <c r="A828" s="1">
        <v>45319</v>
      </c>
      <c r="B828" t="s">
        <v>33</v>
      </c>
      <c r="C828" t="s">
        <v>34</v>
      </c>
      <c r="D828" t="s">
        <v>26</v>
      </c>
      <c r="E828" t="s">
        <v>27</v>
      </c>
      <c r="F828">
        <v>38</v>
      </c>
      <c r="G828">
        <v>51.7</v>
      </c>
      <c r="H828" t="s">
        <v>48</v>
      </c>
      <c r="I828" t="s">
        <v>49</v>
      </c>
    </row>
    <row r="829" spans="1:9" x14ac:dyDescent="0.35">
      <c r="A829" s="1">
        <v>45319</v>
      </c>
      <c r="B829" t="s">
        <v>33</v>
      </c>
      <c r="C829" t="s">
        <v>34</v>
      </c>
      <c r="D829" t="s">
        <v>28</v>
      </c>
      <c r="E829" t="s">
        <v>29</v>
      </c>
      <c r="F829">
        <v>32</v>
      </c>
      <c r="G829">
        <v>42.8</v>
      </c>
      <c r="H829" t="s">
        <v>48</v>
      </c>
      <c r="I829" t="s">
        <v>49</v>
      </c>
    </row>
    <row r="830" spans="1:9" x14ac:dyDescent="0.35">
      <c r="A830" s="1">
        <v>45319</v>
      </c>
      <c r="B830" t="s">
        <v>36</v>
      </c>
      <c r="C830" t="s">
        <v>37</v>
      </c>
      <c r="D830" t="s">
        <v>15</v>
      </c>
      <c r="E830" t="s">
        <v>16</v>
      </c>
      <c r="F830">
        <v>34</v>
      </c>
      <c r="G830">
        <v>36.1</v>
      </c>
      <c r="H830" t="s">
        <v>46</v>
      </c>
      <c r="I830" t="s">
        <v>47</v>
      </c>
    </row>
    <row r="831" spans="1:9" x14ac:dyDescent="0.35">
      <c r="A831" s="1">
        <v>45319</v>
      </c>
      <c r="B831" t="s">
        <v>36</v>
      </c>
      <c r="C831" t="s">
        <v>37</v>
      </c>
      <c r="D831" t="s">
        <v>18</v>
      </c>
      <c r="E831" t="s">
        <v>19</v>
      </c>
      <c r="F831">
        <v>38</v>
      </c>
      <c r="G831">
        <v>40.200000000000003</v>
      </c>
      <c r="H831" t="s">
        <v>46</v>
      </c>
      <c r="I831" t="s">
        <v>47</v>
      </c>
    </row>
    <row r="832" spans="1:9" x14ac:dyDescent="0.35">
      <c r="A832" s="1">
        <v>45319</v>
      </c>
      <c r="B832" t="s">
        <v>36</v>
      </c>
      <c r="C832" t="s">
        <v>37</v>
      </c>
      <c r="D832" t="s">
        <v>21</v>
      </c>
      <c r="E832" t="s">
        <v>22</v>
      </c>
      <c r="F832">
        <v>32</v>
      </c>
      <c r="G832">
        <v>31.4</v>
      </c>
      <c r="H832" t="s">
        <v>46</v>
      </c>
      <c r="I832" t="s">
        <v>47</v>
      </c>
    </row>
    <row r="833" spans="1:9" x14ac:dyDescent="0.35">
      <c r="A833" s="1">
        <v>45319</v>
      </c>
      <c r="B833" t="s">
        <v>36</v>
      </c>
      <c r="C833" t="s">
        <v>37</v>
      </c>
      <c r="D833" t="s">
        <v>24</v>
      </c>
      <c r="E833" t="s">
        <v>25</v>
      </c>
      <c r="F833">
        <v>50</v>
      </c>
      <c r="G833">
        <v>50.2</v>
      </c>
      <c r="H833" t="s">
        <v>46</v>
      </c>
      <c r="I833" t="s">
        <v>47</v>
      </c>
    </row>
    <row r="834" spans="1:9" x14ac:dyDescent="0.35">
      <c r="A834" s="1">
        <v>45319</v>
      </c>
      <c r="B834" t="s">
        <v>36</v>
      </c>
      <c r="C834" t="s">
        <v>37</v>
      </c>
      <c r="D834" t="s">
        <v>26</v>
      </c>
      <c r="E834" t="s">
        <v>27</v>
      </c>
      <c r="F834">
        <v>38</v>
      </c>
      <c r="G834">
        <v>37.299999999999997</v>
      </c>
      <c r="H834" t="s">
        <v>46</v>
      </c>
      <c r="I834" t="s">
        <v>47</v>
      </c>
    </row>
    <row r="835" spans="1:9" x14ac:dyDescent="0.35">
      <c r="A835" s="1">
        <v>45319</v>
      </c>
      <c r="B835" t="s">
        <v>36</v>
      </c>
      <c r="C835" t="s">
        <v>37</v>
      </c>
      <c r="D835" t="s">
        <v>28</v>
      </c>
      <c r="E835" t="s">
        <v>29</v>
      </c>
      <c r="F835">
        <v>32</v>
      </c>
      <c r="G835">
        <v>35</v>
      </c>
      <c r="H835" t="s">
        <v>46</v>
      </c>
      <c r="I835" t="s">
        <v>47</v>
      </c>
    </row>
    <row r="836" spans="1:9" x14ac:dyDescent="0.35">
      <c r="A836" s="1">
        <v>45319</v>
      </c>
      <c r="B836" t="s">
        <v>39</v>
      </c>
      <c r="C836" t="s">
        <v>40</v>
      </c>
      <c r="D836" t="s">
        <v>15</v>
      </c>
      <c r="E836" t="s">
        <v>16</v>
      </c>
      <c r="F836">
        <v>34</v>
      </c>
      <c r="G836">
        <v>35.799999999999997</v>
      </c>
      <c r="H836" t="s">
        <v>46</v>
      </c>
      <c r="I836" t="s">
        <v>47</v>
      </c>
    </row>
    <row r="837" spans="1:9" x14ac:dyDescent="0.35">
      <c r="A837" s="1">
        <v>45319</v>
      </c>
      <c r="B837" t="s">
        <v>39</v>
      </c>
      <c r="C837" t="s">
        <v>40</v>
      </c>
      <c r="D837" t="s">
        <v>18</v>
      </c>
      <c r="E837" t="s">
        <v>19</v>
      </c>
      <c r="F837">
        <v>38</v>
      </c>
      <c r="G837">
        <v>40.1</v>
      </c>
      <c r="H837" t="s">
        <v>46</v>
      </c>
      <c r="I837" t="s">
        <v>47</v>
      </c>
    </row>
    <row r="838" spans="1:9" x14ac:dyDescent="0.35">
      <c r="A838" s="1">
        <v>45319</v>
      </c>
      <c r="B838" t="s">
        <v>39</v>
      </c>
      <c r="C838" t="s">
        <v>40</v>
      </c>
      <c r="D838" t="s">
        <v>21</v>
      </c>
      <c r="E838" t="s">
        <v>22</v>
      </c>
      <c r="F838">
        <v>32</v>
      </c>
      <c r="G838">
        <v>34.1</v>
      </c>
      <c r="H838" t="s">
        <v>46</v>
      </c>
      <c r="I838" t="s">
        <v>47</v>
      </c>
    </row>
    <row r="839" spans="1:9" x14ac:dyDescent="0.35">
      <c r="A839" s="1">
        <v>45319</v>
      </c>
      <c r="B839" t="s">
        <v>39</v>
      </c>
      <c r="C839" t="s">
        <v>40</v>
      </c>
      <c r="D839" t="s">
        <v>24</v>
      </c>
      <c r="E839" t="s">
        <v>25</v>
      </c>
      <c r="F839">
        <v>50</v>
      </c>
      <c r="G839">
        <v>49.2</v>
      </c>
      <c r="H839" t="s">
        <v>46</v>
      </c>
      <c r="I839" t="s">
        <v>47</v>
      </c>
    </row>
    <row r="840" spans="1:9" x14ac:dyDescent="0.35">
      <c r="A840" s="1">
        <v>45319</v>
      </c>
      <c r="B840" t="s">
        <v>39</v>
      </c>
      <c r="C840" t="s">
        <v>40</v>
      </c>
      <c r="D840" t="s">
        <v>26</v>
      </c>
      <c r="E840" t="s">
        <v>27</v>
      </c>
      <c r="F840">
        <v>38</v>
      </c>
      <c r="G840">
        <v>41</v>
      </c>
      <c r="H840" t="s">
        <v>46</v>
      </c>
      <c r="I840" t="s">
        <v>47</v>
      </c>
    </row>
    <row r="841" spans="1:9" x14ac:dyDescent="0.35">
      <c r="A841" s="1">
        <v>45319</v>
      </c>
      <c r="B841" t="s">
        <v>39</v>
      </c>
      <c r="C841" t="s">
        <v>40</v>
      </c>
      <c r="D841" t="s">
        <v>28</v>
      </c>
      <c r="E841" t="s">
        <v>29</v>
      </c>
      <c r="F841">
        <v>32</v>
      </c>
      <c r="G841">
        <v>34.299999999999997</v>
      </c>
      <c r="H841" t="s">
        <v>46</v>
      </c>
      <c r="I841" t="s">
        <v>47</v>
      </c>
    </row>
    <row r="842" spans="1:9" x14ac:dyDescent="0.35">
      <c r="A842" s="1">
        <v>45320</v>
      </c>
      <c r="B842" t="s">
        <v>12</v>
      </c>
      <c r="C842" t="s">
        <v>13</v>
      </c>
      <c r="D842" t="s">
        <v>15</v>
      </c>
      <c r="E842" t="s">
        <v>16</v>
      </c>
      <c r="F842">
        <v>34</v>
      </c>
      <c r="G842">
        <v>40.6</v>
      </c>
      <c r="H842" t="s">
        <v>48</v>
      </c>
      <c r="I842" t="s">
        <v>50</v>
      </c>
    </row>
    <row r="843" spans="1:9" x14ac:dyDescent="0.35">
      <c r="A843" s="1">
        <v>45320</v>
      </c>
      <c r="B843" t="s">
        <v>12</v>
      </c>
      <c r="C843" t="s">
        <v>13</v>
      </c>
      <c r="D843" t="s">
        <v>18</v>
      </c>
      <c r="E843" t="s">
        <v>19</v>
      </c>
      <c r="F843">
        <v>38</v>
      </c>
      <c r="G843">
        <v>37.799999999999997</v>
      </c>
      <c r="H843" t="s">
        <v>46</v>
      </c>
      <c r="I843" t="s">
        <v>47</v>
      </c>
    </row>
    <row r="844" spans="1:9" x14ac:dyDescent="0.35">
      <c r="A844" s="1">
        <v>45320</v>
      </c>
      <c r="B844" t="s">
        <v>12</v>
      </c>
      <c r="C844" t="s">
        <v>13</v>
      </c>
      <c r="D844" t="s">
        <v>21</v>
      </c>
      <c r="E844" t="s">
        <v>22</v>
      </c>
      <c r="F844">
        <v>32</v>
      </c>
      <c r="G844">
        <v>33.6</v>
      </c>
      <c r="H844" t="s">
        <v>46</v>
      </c>
      <c r="I844" t="s">
        <v>47</v>
      </c>
    </row>
    <row r="845" spans="1:9" x14ac:dyDescent="0.35">
      <c r="A845" s="1">
        <v>45320</v>
      </c>
      <c r="B845" t="s">
        <v>12</v>
      </c>
      <c r="C845" t="s">
        <v>13</v>
      </c>
      <c r="D845" t="s">
        <v>24</v>
      </c>
      <c r="E845" t="s">
        <v>25</v>
      </c>
      <c r="F845">
        <v>50</v>
      </c>
      <c r="G845">
        <v>60.3</v>
      </c>
      <c r="H845" t="s">
        <v>48</v>
      </c>
      <c r="I845" t="s">
        <v>49</v>
      </c>
    </row>
    <row r="846" spans="1:9" x14ac:dyDescent="0.35">
      <c r="A846" s="1">
        <v>45320</v>
      </c>
      <c r="B846" t="s">
        <v>12</v>
      </c>
      <c r="C846" t="s">
        <v>13</v>
      </c>
      <c r="D846" t="s">
        <v>26</v>
      </c>
      <c r="E846" t="s">
        <v>27</v>
      </c>
      <c r="F846">
        <v>38</v>
      </c>
      <c r="G846">
        <v>39.5</v>
      </c>
      <c r="H846" t="s">
        <v>46</v>
      </c>
      <c r="I846" t="s">
        <v>47</v>
      </c>
    </row>
    <row r="847" spans="1:9" x14ac:dyDescent="0.35">
      <c r="A847" s="1">
        <v>45320</v>
      </c>
      <c r="B847" t="s">
        <v>12</v>
      </c>
      <c r="C847" t="s">
        <v>13</v>
      </c>
      <c r="D847" t="s">
        <v>28</v>
      </c>
      <c r="E847" t="s">
        <v>29</v>
      </c>
      <c r="F847">
        <v>32</v>
      </c>
      <c r="G847">
        <v>41.5</v>
      </c>
      <c r="H847" t="s">
        <v>48</v>
      </c>
      <c r="I847" t="s">
        <v>50</v>
      </c>
    </row>
    <row r="848" spans="1:9" x14ac:dyDescent="0.35">
      <c r="A848" s="1">
        <v>45320</v>
      </c>
      <c r="B848" t="s">
        <v>30</v>
      </c>
      <c r="C848" t="s">
        <v>31</v>
      </c>
      <c r="D848" t="s">
        <v>15</v>
      </c>
      <c r="E848" t="s">
        <v>16</v>
      </c>
      <c r="F848">
        <v>34</v>
      </c>
      <c r="G848">
        <v>33.1</v>
      </c>
      <c r="H848" t="s">
        <v>46</v>
      </c>
      <c r="I848" t="s">
        <v>47</v>
      </c>
    </row>
    <row r="849" spans="1:9" x14ac:dyDescent="0.35">
      <c r="A849" s="1">
        <v>45320</v>
      </c>
      <c r="B849" t="s">
        <v>30</v>
      </c>
      <c r="C849" t="s">
        <v>31</v>
      </c>
      <c r="D849" t="s">
        <v>18</v>
      </c>
      <c r="E849" t="s">
        <v>19</v>
      </c>
      <c r="F849">
        <v>38</v>
      </c>
      <c r="G849">
        <v>49.8</v>
      </c>
      <c r="H849" t="s">
        <v>48</v>
      </c>
      <c r="I849" t="s">
        <v>49</v>
      </c>
    </row>
    <row r="850" spans="1:9" x14ac:dyDescent="0.35">
      <c r="A850" s="1">
        <v>45320</v>
      </c>
      <c r="B850" t="s">
        <v>30</v>
      </c>
      <c r="C850" t="s">
        <v>31</v>
      </c>
      <c r="D850" t="s">
        <v>21</v>
      </c>
      <c r="E850" t="s">
        <v>22</v>
      </c>
      <c r="F850">
        <v>32</v>
      </c>
      <c r="G850">
        <v>31.1</v>
      </c>
      <c r="H850" t="s">
        <v>46</v>
      </c>
      <c r="I850" t="s">
        <v>47</v>
      </c>
    </row>
    <row r="851" spans="1:9" x14ac:dyDescent="0.35">
      <c r="A851" s="1">
        <v>45320</v>
      </c>
      <c r="B851" t="s">
        <v>30</v>
      </c>
      <c r="C851" t="s">
        <v>31</v>
      </c>
      <c r="D851" t="s">
        <v>24</v>
      </c>
      <c r="E851" t="s">
        <v>25</v>
      </c>
      <c r="F851">
        <v>50</v>
      </c>
      <c r="G851">
        <v>51.6</v>
      </c>
      <c r="H851" t="s">
        <v>46</v>
      </c>
      <c r="I851" t="s">
        <v>47</v>
      </c>
    </row>
    <row r="852" spans="1:9" x14ac:dyDescent="0.35">
      <c r="A852" s="1">
        <v>45320</v>
      </c>
      <c r="B852" t="s">
        <v>30</v>
      </c>
      <c r="C852" t="s">
        <v>31</v>
      </c>
      <c r="D852" t="s">
        <v>26</v>
      </c>
      <c r="E852" t="s">
        <v>27</v>
      </c>
      <c r="F852">
        <v>38</v>
      </c>
      <c r="G852">
        <v>44.3</v>
      </c>
      <c r="H852" t="s">
        <v>48</v>
      </c>
      <c r="I852" t="s">
        <v>50</v>
      </c>
    </row>
    <row r="853" spans="1:9" x14ac:dyDescent="0.35">
      <c r="A853" s="1">
        <v>45320</v>
      </c>
      <c r="B853" t="s">
        <v>30</v>
      </c>
      <c r="C853" t="s">
        <v>31</v>
      </c>
      <c r="D853" t="s">
        <v>28</v>
      </c>
      <c r="E853" t="s">
        <v>29</v>
      </c>
      <c r="F853">
        <v>32</v>
      </c>
      <c r="G853">
        <v>31.6</v>
      </c>
      <c r="H853" t="s">
        <v>46</v>
      </c>
      <c r="I853" t="s">
        <v>47</v>
      </c>
    </row>
    <row r="854" spans="1:9" x14ac:dyDescent="0.35">
      <c r="A854" s="1">
        <v>45320</v>
      </c>
      <c r="B854" t="s">
        <v>33</v>
      </c>
      <c r="C854" t="s">
        <v>34</v>
      </c>
      <c r="D854" t="s">
        <v>15</v>
      </c>
      <c r="E854" t="s">
        <v>16</v>
      </c>
      <c r="F854">
        <v>34</v>
      </c>
      <c r="G854">
        <v>34.6</v>
      </c>
      <c r="H854" t="s">
        <v>46</v>
      </c>
      <c r="I854" t="s">
        <v>47</v>
      </c>
    </row>
    <row r="855" spans="1:9" x14ac:dyDescent="0.35">
      <c r="A855" s="1">
        <v>45320</v>
      </c>
      <c r="B855" t="s">
        <v>33</v>
      </c>
      <c r="C855" t="s">
        <v>34</v>
      </c>
      <c r="D855" t="s">
        <v>18</v>
      </c>
      <c r="E855" t="s">
        <v>19</v>
      </c>
      <c r="F855">
        <v>38</v>
      </c>
      <c r="G855">
        <v>49.7</v>
      </c>
      <c r="H855" t="s">
        <v>48</v>
      </c>
      <c r="I855" t="s">
        <v>49</v>
      </c>
    </row>
    <row r="856" spans="1:9" x14ac:dyDescent="0.35">
      <c r="A856" s="1">
        <v>45320</v>
      </c>
      <c r="B856" t="s">
        <v>33</v>
      </c>
      <c r="C856" t="s">
        <v>34</v>
      </c>
      <c r="D856" t="s">
        <v>21</v>
      </c>
      <c r="E856" t="s">
        <v>22</v>
      </c>
      <c r="F856">
        <v>32</v>
      </c>
      <c r="G856">
        <v>32.9</v>
      </c>
      <c r="H856" t="s">
        <v>46</v>
      </c>
      <c r="I856" t="s">
        <v>47</v>
      </c>
    </row>
    <row r="857" spans="1:9" x14ac:dyDescent="0.35">
      <c r="A857" s="1">
        <v>45320</v>
      </c>
      <c r="B857" t="s">
        <v>33</v>
      </c>
      <c r="C857" t="s">
        <v>34</v>
      </c>
      <c r="D857" t="s">
        <v>24</v>
      </c>
      <c r="E857" t="s">
        <v>25</v>
      </c>
      <c r="F857">
        <v>50</v>
      </c>
      <c r="G857">
        <v>51.9</v>
      </c>
      <c r="H857" t="s">
        <v>46</v>
      </c>
      <c r="I857" t="s">
        <v>47</v>
      </c>
    </row>
    <row r="858" spans="1:9" x14ac:dyDescent="0.35">
      <c r="A858" s="1">
        <v>45320</v>
      </c>
      <c r="B858" t="s">
        <v>33</v>
      </c>
      <c r="C858" t="s">
        <v>34</v>
      </c>
      <c r="D858" t="s">
        <v>26</v>
      </c>
      <c r="E858" t="s">
        <v>27</v>
      </c>
      <c r="F858">
        <v>38</v>
      </c>
      <c r="G858">
        <v>37.299999999999997</v>
      </c>
      <c r="H858" t="s">
        <v>46</v>
      </c>
      <c r="I858" t="s">
        <v>47</v>
      </c>
    </row>
    <row r="859" spans="1:9" x14ac:dyDescent="0.35">
      <c r="A859" s="1">
        <v>45320</v>
      </c>
      <c r="B859" t="s">
        <v>33</v>
      </c>
      <c r="C859" t="s">
        <v>34</v>
      </c>
      <c r="D859" t="s">
        <v>28</v>
      </c>
      <c r="E859" t="s">
        <v>29</v>
      </c>
      <c r="F859">
        <v>32</v>
      </c>
      <c r="G859">
        <v>32.5</v>
      </c>
      <c r="H859" t="s">
        <v>46</v>
      </c>
      <c r="I859" t="s">
        <v>47</v>
      </c>
    </row>
    <row r="860" spans="1:9" x14ac:dyDescent="0.35">
      <c r="A860" s="1">
        <v>45320</v>
      </c>
      <c r="B860" t="s">
        <v>36</v>
      </c>
      <c r="C860" t="s">
        <v>37</v>
      </c>
      <c r="D860" t="s">
        <v>15</v>
      </c>
      <c r="E860" t="s">
        <v>16</v>
      </c>
      <c r="F860">
        <v>34</v>
      </c>
      <c r="G860">
        <v>36.1</v>
      </c>
      <c r="H860" t="s">
        <v>46</v>
      </c>
      <c r="I860" t="s">
        <v>47</v>
      </c>
    </row>
    <row r="861" spans="1:9" x14ac:dyDescent="0.35">
      <c r="A861" s="1">
        <v>45320</v>
      </c>
      <c r="B861" t="s">
        <v>36</v>
      </c>
      <c r="C861" t="s">
        <v>37</v>
      </c>
      <c r="D861" t="s">
        <v>18</v>
      </c>
      <c r="E861" t="s">
        <v>19</v>
      </c>
      <c r="F861">
        <v>38</v>
      </c>
      <c r="G861">
        <v>48.3</v>
      </c>
      <c r="H861" t="s">
        <v>48</v>
      </c>
      <c r="I861" t="s">
        <v>49</v>
      </c>
    </row>
    <row r="862" spans="1:9" x14ac:dyDescent="0.35">
      <c r="A862" s="1">
        <v>45320</v>
      </c>
      <c r="B862" t="s">
        <v>36</v>
      </c>
      <c r="C862" t="s">
        <v>37</v>
      </c>
      <c r="D862" t="s">
        <v>21</v>
      </c>
      <c r="E862" t="s">
        <v>22</v>
      </c>
      <c r="F862">
        <v>32</v>
      </c>
      <c r="G862">
        <v>32.299999999999997</v>
      </c>
      <c r="H862" t="s">
        <v>46</v>
      </c>
      <c r="I862" t="s">
        <v>47</v>
      </c>
    </row>
    <row r="863" spans="1:9" x14ac:dyDescent="0.35">
      <c r="A863" s="1">
        <v>45320</v>
      </c>
      <c r="B863" t="s">
        <v>36</v>
      </c>
      <c r="C863" t="s">
        <v>37</v>
      </c>
      <c r="D863" t="s">
        <v>24</v>
      </c>
      <c r="E863" t="s">
        <v>25</v>
      </c>
      <c r="F863">
        <v>50</v>
      </c>
      <c r="G863">
        <v>49.2</v>
      </c>
      <c r="H863" t="s">
        <v>46</v>
      </c>
      <c r="I863" t="s">
        <v>47</v>
      </c>
    </row>
    <row r="864" spans="1:9" x14ac:dyDescent="0.35">
      <c r="A864" s="1">
        <v>45320</v>
      </c>
      <c r="B864" t="s">
        <v>36</v>
      </c>
      <c r="C864" t="s">
        <v>37</v>
      </c>
      <c r="D864" t="s">
        <v>26</v>
      </c>
      <c r="E864" t="s">
        <v>27</v>
      </c>
      <c r="F864">
        <v>38</v>
      </c>
      <c r="G864">
        <v>39.6</v>
      </c>
      <c r="H864" t="s">
        <v>46</v>
      </c>
      <c r="I864" t="s">
        <v>47</v>
      </c>
    </row>
    <row r="865" spans="1:9" x14ac:dyDescent="0.35">
      <c r="A865" s="1">
        <v>45320</v>
      </c>
      <c r="B865" t="s">
        <v>36</v>
      </c>
      <c r="C865" t="s">
        <v>37</v>
      </c>
      <c r="D865" t="s">
        <v>28</v>
      </c>
      <c r="E865" t="s">
        <v>29</v>
      </c>
      <c r="F865">
        <v>32</v>
      </c>
      <c r="G865">
        <v>34.4</v>
      </c>
      <c r="H865" t="s">
        <v>46</v>
      </c>
      <c r="I865" t="s">
        <v>47</v>
      </c>
    </row>
    <row r="866" spans="1:9" x14ac:dyDescent="0.35">
      <c r="A866" s="1">
        <v>45320</v>
      </c>
      <c r="B866" t="s">
        <v>39</v>
      </c>
      <c r="C866" t="s">
        <v>40</v>
      </c>
      <c r="D866" t="s">
        <v>15</v>
      </c>
      <c r="E866" t="s">
        <v>16</v>
      </c>
      <c r="F866">
        <v>34</v>
      </c>
      <c r="G866">
        <v>36.4</v>
      </c>
      <c r="H866" t="s">
        <v>46</v>
      </c>
      <c r="I866" t="s">
        <v>47</v>
      </c>
    </row>
    <row r="867" spans="1:9" x14ac:dyDescent="0.35">
      <c r="A867" s="1">
        <v>45320</v>
      </c>
      <c r="B867" t="s">
        <v>39</v>
      </c>
      <c r="C867" t="s">
        <v>40</v>
      </c>
      <c r="D867" t="s">
        <v>18</v>
      </c>
      <c r="E867" t="s">
        <v>19</v>
      </c>
      <c r="F867">
        <v>38</v>
      </c>
      <c r="G867">
        <v>38.200000000000003</v>
      </c>
      <c r="H867" t="s">
        <v>46</v>
      </c>
      <c r="I867" t="s">
        <v>47</v>
      </c>
    </row>
    <row r="868" spans="1:9" x14ac:dyDescent="0.35">
      <c r="A868" s="1">
        <v>45320</v>
      </c>
      <c r="B868" t="s">
        <v>39</v>
      </c>
      <c r="C868" t="s">
        <v>40</v>
      </c>
      <c r="D868" t="s">
        <v>21</v>
      </c>
      <c r="E868" t="s">
        <v>22</v>
      </c>
      <c r="F868">
        <v>32</v>
      </c>
      <c r="G868">
        <v>33.200000000000003</v>
      </c>
      <c r="H868" t="s">
        <v>46</v>
      </c>
      <c r="I868" t="s">
        <v>47</v>
      </c>
    </row>
    <row r="869" spans="1:9" x14ac:dyDescent="0.35">
      <c r="A869" s="1">
        <v>45320</v>
      </c>
      <c r="B869" t="s">
        <v>39</v>
      </c>
      <c r="C869" t="s">
        <v>40</v>
      </c>
      <c r="D869" t="s">
        <v>24</v>
      </c>
      <c r="E869" t="s">
        <v>25</v>
      </c>
      <c r="F869">
        <v>50</v>
      </c>
      <c r="G869">
        <v>51.6</v>
      </c>
      <c r="H869" t="s">
        <v>46</v>
      </c>
      <c r="I869" t="s">
        <v>47</v>
      </c>
    </row>
    <row r="870" spans="1:9" x14ac:dyDescent="0.35">
      <c r="A870" s="1">
        <v>45320</v>
      </c>
      <c r="B870" t="s">
        <v>39</v>
      </c>
      <c r="C870" t="s">
        <v>40</v>
      </c>
      <c r="D870" t="s">
        <v>26</v>
      </c>
      <c r="E870" t="s">
        <v>27</v>
      </c>
      <c r="F870">
        <v>38</v>
      </c>
      <c r="G870">
        <v>38.6</v>
      </c>
      <c r="H870" t="s">
        <v>46</v>
      </c>
      <c r="I870" t="s">
        <v>47</v>
      </c>
    </row>
    <row r="871" spans="1:9" x14ac:dyDescent="0.35">
      <c r="A871" s="1">
        <v>45320</v>
      </c>
      <c r="B871" t="s">
        <v>39</v>
      </c>
      <c r="C871" t="s">
        <v>40</v>
      </c>
      <c r="D871" t="s">
        <v>28</v>
      </c>
      <c r="E871" t="s">
        <v>29</v>
      </c>
      <c r="F871">
        <v>32</v>
      </c>
      <c r="G871">
        <v>43.5</v>
      </c>
      <c r="H871" t="s">
        <v>48</v>
      </c>
      <c r="I871" t="s">
        <v>49</v>
      </c>
    </row>
    <row r="872" spans="1:9" x14ac:dyDescent="0.35">
      <c r="A872" s="1">
        <v>45321</v>
      </c>
      <c r="B872" t="s">
        <v>12</v>
      </c>
      <c r="C872" t="s">
        <v>13</v>
      </c>
      <c r="D872" t="s">
        <v>15</v>
      </c>
      <c r="E872" t="s">
        <v>16</v>
      </c>
      <c r="F872">
        <v>34</v>
      </c>
      <c r="G872">
        <v>36.5</v>
      </c>
      <c r="H872" t="s">
        <v>46</v>
      </c>
      <c r="I872" t="s">
        <v>47</v>
      </c>
    </row>
    <row r="873" spans="1:9" x14ac:dyDescent="0.35">
      <c r="A873" s="1">
        <v>45321</v>
      </c>
      <c r="B873" t="s">
        <v>12</v>
      </c>
      <c r="C873" t="s">
        <v>13</v>
      </c>
      <c r="D873" t="s">
        <v>18</v>
      </c>
      <c r="E873" t="s">
        <v>19</v>
      </c>
      <c r="F873">
        <v>38</v>
      </c>
      <c r="G873">
        <v>37.799999999999997</v>
      </c>
      <c r="H873" t="s">
        <v>46</v>
      </c>
      <c r="I873" t="s">
        <v>47</v>
      </c>
    </row>
    <row r="874" spans="1:9" x14ac:dyDescent="0.35">
      <c r="A874" s="1">
        <v>45321</v>
      </c>
      <c r="B874" t="s">
        <v>12</v>
      </c>
      <c r="C874" t="s">
        <v>13</v>
      </c>
      <c r="D874" t="s">
        <v>21</v>
      </c>
      <c r="E874" t="s">
        <v>22</v>
      </c>
      <c r="F874">
        <v>32</v>
      </c>
      <c r="G874">
        <v>38.200000000000003</v>
      </c>
      <c r="H874" t="s">
        <v>48</v>
      </c>
      <c r="I874" t="s">
        <v>50</v>
      </c>
    </row>
    <row r="875" spans="1:9" x14ac:dyDescent="0.35">
      <c r="A875" s="1">
        <v>45321</v>
      </c>
      <c r="B875" t="s">
        <v>12</v>
      </c>
      <c r="C875" t="s">
        <v>13</v>
      </c>
      <c r="D875" t="s">
        <v>24</v>
      </c>
      <c r="E875" t="s">
        <v>25</v>
      </c>
      <c r="F875">
        <v>50</v>
      </c>
      <c r="G875">
        <v>50</v>
      </c>
      <c r="H875" t="s">
        <v>46</v>
      </c>
      <c r="I875" t="s">
        <v>47</v>
      </c>
    </row>
    <row r="876" spans="1:9" x14ac:dyDescent="0.35">
      <c r="A876" s="1">
        <v>45321</v>
      </c>
      <c r="B876" t="s">
        <v>12</v>
      </c>
      <c r="C876" t="s">
        <v>13</v>
      </c>
      <c r="D876" t="s">
        <v>26</v>
      </c>
      <c r="E876" t="s">
        <v>27</v>
      </c>
      <c r="F876">
        <v>38</v>
      </c>
      <c r="G876">
        <v>40.200000000000003</v>
      </c>
      <c r="H876" t="s">
        <v>46</v>
      </c>
      <c r="I876" t="s">
        <v>47</v>
      </c>
    </row>
    <row r="877" spans="1:9" x14ac:dyDescent="0.35">
      <c r="A877" s="1">
        <v>45321</v>
      </c>
      <c r="B877" t="s">
        <v>12</v>
      </c>
      <c r="C877" t="s">
        <v>13</v>
      </c>
      <c r="D877" t="s">
        <v>28</v>
      </c>
      <c r="E877" t="s">
        <v>29</v>
      </c>
      <c r="F877">
        <v>32</v>
      </c>
      <c r="G877">
        <v>33</v>
      </c>
      <c r="H877" t="s">
        <v>46</v>
      </c>
      <c r="I877" t="s">
        <v>47</v>
      </c>
    </row>
    <row r="878" spans="1:9" x14ac:dyDescent="0.35">
      <c r="A878" s="1">
        <v>45321</v>
      </c>
      <c r="B878" t="s">
        <v>30</v>
      </c>
      <c r="C878" t="s">
        <v>31</v>
      </c>
      <c r="D878" t="s">
        <v>15</v>
      </c>
      <c r="E878" t="s">
        <v>16</v>
      </c>
      <c r="F878">
        <v>34</v>
      </c>
      <c r="G878">
        <v>36.200000000000003</v>
      </c>
      <c r="H878" t="s">
        <v>46</v>
      </c>
      <c r="I878" t="s">
        <v>47</v>
      </c>
    </row>
    <row r="879" spans="1:9" x14ac:dyDescent="0.35">
      <c r="A879" s="1">
        <v>45321</v>
      </c>
      <c r="B879" t="s">
        <v>30</v>
      </c>
      <c r="C879" t="s">
        <v>31</v>
      </c>
      <c r="D879" t="s">
        <v>18</v>
      </c>
      <c r="E879" t="s">
        <v>19</v>
      </c>
      <c r="F879">
        <v>38</v>
      </c>
      <c r="G879">
        <v>37.1</v>
      </c>
      <c r="H879" t="s">
        <v>46</v>
      </c>
      <c r="I879" t="s">
        <v>47</v>
      </c>
    </row>
    <row r="880" spans="1:9" x14ac:dyDescent="0.35">
      <c r="A880" s="1">
        <v>45321</v>
      </c>
      <c r="B880" t="s">
        <v>30</v>
      </c>
      <c r="C880" t="s">
        <v>31</v>
      </c>
      <c r="D880" t="s">
        <v>21</v>
      </c>
      <c r="E880" t="s">
        <v>22</v>
      </c>
      <c r="F880">
        <v>32</v>
      </c>
      <c r="G880">
        <v>32.4</v>
      </c>
      <c r="H880" t="s">
        <v>46</v>
      </c>
      <c r="I880" t="s">
        <v>47</v>
      </c>
    </row>
    <row r="881" spans="1:9" x14ac:dyDescent="0.35">
      <c r="A881" s="1">
        <v>45321</v>
      </c>
      <c r="B881" t="s">
        <v>30</v>
      </c>
      <c r="C881" t="s">
        <v>31</v>
      </c>
      <c r="D881" t="s">
        <v>24</v>
      </c>
      <c r="E881" t="s">
        <v>25</v>
      </c>
      <c r="F881">
        <v>50</v>
      </c>
      <c r="G881">
        <v>50.6</v>
      </c>
      <c r="H881" t="s">
        <v>46</v>
      </c>
      <c r="I881" t="s">
        <v>47</v>
      </c>
    </row>
    <row r="882" spans="1:9" x14ac:dyDescent="0.35">
      <c r="A882" s="1">
        <v>45321</v>
      </c>
      <c r="B882" t="s">
        <v>30</v>
      </c>
      <c r="C882" t="s">
        <v>31</v>
      </c>
      <c r="D882" t="s">
        <v>26</v>
      </c>
      <c r="E882" t="s">
        <v>27</v>
      </c>
      <c r="F882">
        <v>38</v>
      </c>
      <c r="G882">
        <v>39.6</v>
      </c>
      <c r="H882" t="s">
        <v>46</v>
      </c>
      <c r="I882" t="s">
        <v>47</v>
      </c>
    </row>
    <row r="883" spans="1:9" x14ac:dyDescent="0.35">
      <c r="A883" s="1">
        <v>45321</v>
      </c>
      <c r="B883" t="s">
        <v>30</v>
      </c>
      <c r="C883" t="s">
        <v>31</v>
      </c>
      <c r="D883" t="s">
        <v>28</v>
      </c>
      <c r="E883" t="s">
        <v>29</v>
      </c>
      <c r="F883">
        <v>32</v>
      </c>
      <c r="G883">
        <v>34.799999999999997</v>
      </c>
      <c r="H883" t="s">
        <v>46</v>
      </c>
      <c r="I883" t="s">
        <v>47</v>
      </c>
    </row>
    <row r="884" spans="1:9" x14ac:dyDescent="0.35">
      <c r="A884" s="1">
        <v>45321</v>
      </c>
      <c r="B884" t="s">
        <v>33</v>
      </c>
      <c r="C884" t="s">
        <v>34</v>
      </c>
      <c r="D884" t="s">
        <v>15</v>
      </c>
      <c r="E884" t="s">
        <v>16</v>
      </c>
      <c r="F884">
        <v>34</v>
      </c>
      <c r="G884">
        <v>35.1</v>
      </c>
      <c r="H884" t="s">
        <v>46</v>
      </c>
      <c r="I884" t="s">
        <v>47</v>
      </c>
    </row>
    <row r="885" spans="1:9" x14ac:dyDescent="0.35">
      <c r="A885" s="1">
        <v>45321</v>
      </c>
      <c r="B885" t="s">
        <v>33</v>
      </c>
      <c r="C885" t="s">
        <v>34</v>
      </c>
      <c r="D885" t="s">
        <v>18</v>
      </c>
      <c r="E885" t="s">
        <v>19</v>
      </c>
      <c r="F885">
        <v>38</v>
      </c>
      <c r="G885">
        <v>37.9</v>
      </c>
      <c r="H885" t="s">
        <v>46</v>
      </c>
      <c r="I885" t="s">
        <v>47</v>
      </c>
    </row>
    <row r="886" spans="1:9" x14ac:dyDescent="0.35">
      <c r="A886" s="1">
        <v>45321</v>
      </c>
      <c r="B886" t="s">
        <v>33</v>
      </c>
      <c r="C886" t="s">
        <v>34</v>
      </c>
      <c r="D886" t="s">
        <v>21</v>
      </c>
      <c r="E886" t="s">
        <v>22</v>
      </c>
      <c r="F886">
        <v>32</v>
      </c>
      <c r="G886">
        <v>43.9</v>
      </c>
      <c r="H886" t="s">
        <v>48</v>
      </c>
      <c r="I886" t="s">
        <v>49</v>
      </c>
    </row>
    <row r="887" spans="1:9" x14ac:dyDescent="0.35">
      <c r="A887" s="1">
        <v>45321</v>
      </c>
      <c r="B887" t="s">
        <v>33</v>
      </c>
      <c r="C887" t="s">
        <v>34</v>
      </c>
      <c r="D887" t="s">
        <v>24</v>
      </c>
      <c r="E887" t="s">
        <v>25</v>
      </c>
      <c r="F887">
        <v>50</v>
      </c>
      <c r="G887">
        <v>49.1</v>
      </c>
      <c r="H887" t="s">
        <v>46</v>
      </c>
      <c r="I887" t="s">
        <v>47</v>
      </c>
    </row>
    <row r="888" spans="1:9" x14ac:dyDescent="0.35">
      <c r="A888" s="1">
        <v>45321</v>
      </c>
      <c r="B888" t="s">
        <v>33</v>
      </c>
      <c r="C888" t="s">
        <v>34</v>
      </c>
      <c r="D888" t="s">
        <v>26</v>
      </c>
      <c r="E888" t="s">
        <v>27</v>
      </c>
      <c r="F888">
        <v>38</v>
      </c>
      <c r="G888">
        <v>39.5</v>
      </c>
      <c r="H888" t="s">
        <v>46</v>
      </c>
      <c r="I888" t="s">
        <v>47</v>
      </c>
    </row>
    <row r="889" spans="1:9" x14ac:dyDescent="0.35">
      <c r="A889" s="1">
        <v>45321</v>
      </c>
      <c r="B889" t="s">
        <v>33</v>
      </c>
      <c r="C889" t="s">
        <v>34</v>
      </c>
      <c r="D889" t="s">
        <v>28</v>
      </c>
      <c r="E889" t="s">
        <v>29</v>
      </c>
      <c r="F889">
        <v>32</v>
      </c>
      <c r="G889">
        <v>33.6</v>
      </c>
      <c r="H889" t="s">
        <v>46</v>
      </c>
      <c r="I889" t="s">
        <v>47</v>
      </c>
    </row>
    <row r="890" spans="1:9" x14ac:dyDescent="0.35">
      <c r="A890" s="1">
        <v>45321</v>
      </c>
      <c r="B890" t="s">
        <v>36</v>
      </c>
      <c r="C890" t="s">
        <v>37</v>
      </c>
      <c r="D890" t="s">
        <v>15</v>
      </c>
      <c r="E890" t="s">
        <v>16</v>
      </c>
      <c r="F890">
        <v>34</v>
      </c>
      <c r="G890">
        <v>45.1</v>
      </c>
      <c r="H890" t="s">
        <v>48</v>
      </c>
      <c r="I890" t="s">
        <v>49</v>
      </c>
    </row>
    <row r="891" spans="1:9" x14ac:dyDescent="0.35">
      <c r="A891" s="1">
        <v>45321</v>
      </c>
      <c r="B891" t="s">
        <v>36</v>
      </c>
      <c r="C891" t="s">
        <v>37</v>
      </c>
      <c r="D891" t="s">
        <v>18</v>
      </c>
      <c r="E891" t="s">
        <v>19</v>
      </c>
      <c r="F891">
        <v>38</v>
      </c>
      <c r="G891">
        <v>40.299999999999997</v>
      </c>
      <c r="H891" t="s">
        <v>46</v>
      </c>
      <c r="I891" t="s">
        <v>47</v>
      </c>
    </row>
    <row r="892" spans="1:9" x14ac:dyDescent="0.35">
      <c r="A892" s="1">
        <v>45321</v>
      </c>
      <c r="B892" t="s">
        <v>36</v>
      </c>
      <c r="C892" t="s">
        <v>37</v>
      </c>
      <c r="D892" t="s">
        <v>21</v>
      </c>
      <c r="E892" t="s">
        <v>22</v>
      </c>
      <c r="F892">
        <v>32</v>
      </c>
      <c r="G892">
        <v>42.9</v>
      </c>
      <c r="H892" t="s">
        <v>48</v>
      </c>
      <c r="I892" t="s">
        <v>49</v>
      </c>
    </row>
    <row r="893" spans="1:9" x14ac:dyDescent="0.35">
      <c r="A893" s="1">
        <v>45321</v>
      </c>
      <c r="B893" t="s">
        <v>36</v>
      </c>
      <c r="C893" t="s">
        <v>37</v>
      </c>
      <c r="D893" t="s">
        <v>24</v>
      </c>
      <c r="E893" t="s">
        <v>25</v>
      </c>
      <c r="F893">
        <v>50</v>
      </c>
      <c r="G893">
        <v>49.3</v>
      </c>
      <c r="H893" t="s">
        <v>46</v>
      </c>
      <c r="I893" t="s">
        <v>47</v>
      </c>
    </row>
    <row r="894" spans="1:9" x14ac:dyDescent="0.35">
      <c r="A894" s="1">
        <v>45321</v>
      </c>
      <c r="B894" t="s">
        <v>36</v>
      </c>
      <c r="C894" t="s">
        <v>37</v>
      </c>
      <c r="D894" t="s">
        <v>26</v>
      </c>
      <c r="E894" t="s">
        <v>27</v>
      </c>
      <c r="F894">
        <v>38</v>
      </c>
      <c r="G894">
        <v>37.5</v>
      </c>
      <c r="H894" t="s">
        <v>46</v>
      </c>
      <c r="I894" t="s">
        <v>47</v>
      </c>
    </row>
    <row r="895" spans="1:9" x14ac:dyDescent="0.35">
      <c r="A895" s="1">
        <v>45321</v>
      </c>
      <c r="B895" t="s">
        <v>36</v>
      </c>
      <c r="C895" t="s">
        <v>37</v>
      </c>
      <c r="D895" t="s">
        <v>28</v>
      </c>
      <c r="E895" t="s">
        <v>29</v>
      </c>
      <c r="F895">
        <v>32</v>
      </c>
      <c r="G895">
        <v>33.5</v>
      </c>
      <c r="H895" t="s">
        <v>46</v>
      </c>
      <c r="I895" t="s">
        <v>47</v>
      </c>
    </row>
    <row r="896" spans="1:9" x14ac:dyDescent="0.35">
      <c r="A896" s="1">
        <v>45321</v>
      </c>
      <c r="B896" t="s">
        <v>39</v>
      </c>
      <c r="C896" t="s">
        <v>40</v>
      </c>
      <c r="D896" t="s">
        <v>15</v>
      </c>
      <c r="E896" t="s">
        <v>16</v>
      </c>
      <c r="F896">
        <v>34</v>
      </c>
      <c r="G896">
        <v>41.6</v>
      </c>
      <c r="H896" t="s">
        <v>48</v>
      </c>
      <c r="I896" t="s">
        <v>50</v>
      </c>
    </row>
    <row r="897" spans="1:9" x14ac:dyDescent="0.35">
      <c r="A897" s="1">
        <v>45321</v>
      </c>
      <c r="B897" t="s">
        <v>39</v>
      </c>
      <c r="C897" t="s">
        <v>40</v>
      </c>
      <c r="D897" t="s">
        <v>18</v>
      </c>
      <c r="E897" t="s">
        <v>19</v>
      </c>
      <c r="F897">
        <v>38</v>
      </c>
      <c r="G897">
        <v>40.299999999999997</v>
      </c>
      <c r="H897" t="s">
        <v>46</v>
      </c>
      <c r="I897" t="s">
        <v>47</v>
      </c>
    </row>
    <row r="898" spans="1:9" x14ac:dyDescent="0.35">
      <c r="A898" s="1">
        <v>45321</v>
      </c>
      <c r="B898" t="s">
        <v>39</v>
      </c>
      <c r="C898" t="s">
        <v>40</v>
      </c>
      <c r="D898" t="s">
        <v>21</v>
      </c>
      <c r="E898" t="s">
        <v>22</v>
      </c>
      <c r="F898">
        <v>32</v>
      </c>
      <c r="G898">
        <v>32.6</v>
      </c>
      <c r="H898" t="s">
        <v>46</v>
      </c>
      <c r="I898" t="s">
        <v>47</v>
      </c>
    </row>
    <row r="899" spans="1:9" x14ac:dyDescent="0.35">
      <c r="A899" s="1">
        <v>45321</v>
      </c>
      <c r="B899" t="s">
        <v>39</v>
      </c>
      <c r="C899" t="s">
        <v>40</v>
      </c>
      <c r="D899" t="s">
        <v>24</v>
      </c>
      <c r="E899" t="s">
        <v>25</v>
      </c>
      <c r="F899">
        <v>50</v>
      </c>
      <c r="G899">
        <v>61.5</v>
      </c>
      <c r="H899" t="s">
        <v>48</v>
      </c>
      <c r="I899" t="s">
        <v>49</v>
      </c>
    </row>
    <row r="900" spans="1:9" x14ac:dyDescent="0.35">
      <c r="A900" s="1">
        <v>45321</v>
      </c>
      <c r="B900" t="s">
        <v>39</v>
      </c>
      <c r="C900" t="s">
        <v>40</v>
      </c>
      <c r="D900" t="s">
        <v>26</v>
      </c>
      <c r="E900" t="s">
        <v>27</v>
      </c>
      <c r="F900">
        <v>38</v>
      </c>
      <c r="G900">
        <v>38.299999999999997</v>
      </c>
      <c r="H900" t="s">
        <v>46</v>
      </c>
      <c r="I900" t="s">
        <v>47</v>
      </c>
    </row>
    <row r="901" spans="1:9" x14ac:dyDescent="0.35">
      <c r="A901" s="1">
        <v>45321</v>
      </c>
      <c r="B901" t="s">
        <v>39</v>
      </c>
      <c r="C901" t="s">
        <v>40</v>
      </c>
      <c r="D901" t="s">
        <v>28</v>
      </c>
      <c r="E901" t="s">
        <v>29</v>
      </c>
      <c r="F901">
        <v>32</v>
      </c>
      <c r="G901">
        <v>31.9</v>
      </c>
      <c r="H901" t="s">
        <v>46</v>
      </c>
      <c r="I901" t="s">
        <v>47</v>
      </c>
    </row>
    <row r="902" spans="1:9" x14ac:dyDescent="0.35">
      <c r="A902" s="1">
        <v>45322</v>
      </c>
      <c r="B902" t="s">
        <v>12</v>
      </c>
      <c r="C902" t="s">
        <v>13</v>
      </c>
      <c r="D902" t="s">
        <v>15</v>
      </c>
      <c r="E902" t="s">
        <v>16</v>
      </c>
      <c r="F902">
        <v>34</v>
      </c>
      <c r="G902">
        <v>41.4</v>
      </c>
      <c r="H902" t="s">
        <v>48</v>
      </c>
      <c r="I902" t="s">
        <v>50</v>
      </c>
    </row>
    <row r="903" spans="1:9" x14ac:dyDescent="0.35">
      <c r="A903" s="1">
        <v>45322</v>
      </c>
      <c r="B903" t="s">
        <v>12</v>
      </c>
      <c r="C903" t="s">
        <v>13</v>
      </c>
      <c r="D903" t="s">
        <v>18</v>
      </c>
      <c r="E903" t="s">
        <v>19</v>
      </c>
      <c r="F903">
        <v>38</v>
      </c>
      <c r="G903">
        <v>46.2</v>
      </c>
      <c r="H903" t="s">
        <v>48</v>
      </c>
      <c r="I903" t="s">
        <v>50</v>
      </c>
    </row>
    <row r="904" spans="1:9" x14ac:dyDescent="0.35">
      <c r="A904" s="1">
        <v>45322</v>
      </c>
      <c r="B904" t="s">
        <v>12</v>
      </c>
      <c r="C904" t="s">
        <v>13</v>
      </c>
      <c r="D904" t="s">
        <v>21</v>
      </c>
      <c r="E904" t="s">
        <v>22</v>
      </c>
      <c r="F904">
        <v>32</v>
      </c>
      <c r="G904">
        <v>31.7</v>
      </c>
      <c r="H904" t="s">
        <v>46</v>
      </c>
      <c r="I904" t="s">
        <v>47</v>
      </c>
    </row>
    <row r="905" spans="1:9" x14ac:dyDescent="0.35">
      <c r="A905" s="1">
        <v>45322</v>
      </c>
      <c r="B905" t="s">
        <v>12</v>
      </c>
      <c r="C905" t="s">
        <v>13</v>
      </c>
      <c r="D905" t="s">
        <v>24</v>
      </c>
      <c r="E905" t="s">
        <v>25</v>
      </c>
      <c r="F905">
        <v>50</v>
      </c>
      <c r="G905">
        <v>49.7</v>
      </c>
      <c r="H905" t="s">
        <v>46</v>
      </c>
      <c r="I905" t="s">
        <v>47</v>
      </c>
    </row>
    <row r="906" spans="1:9" x14ac:dyDescent="0.35">
      <c r="A906" s="1">
        <v>45322</v>
      </c>
      <c r="B906" t="s">
        <v>12</v>
      </c>
      <c r="C906" t="s">
        <v>13</v>
      </c>
      <c r="D906" t="s">
        <v>26</v>
      </c>
      <c r="E906" t="s">
        <v>27</v>
      </c>
      <c r="F906">
        <v>38</v>
      </c>
      <c r="G906">
        <v>39.299999999999997</v>
      </c>
      <c r="H906" t="s">
        <v>46</v>
      </c>
      <c r="I906" t="s">
        <v>47</v>
      </c>
    </row>
    <row r="907" spans="1:9" x14ac:dyDescent="0.35">
      <c r="A907" s="1">
        <v>45322</v>
      </c>
      <c r="B907" t="s">
        <v>12</v>
      </c>
      <c r="C907" t="s">
        <v>13</v>
      </c>
      <c r="D907" t="s">
        <v>28</v>
      </c>
      <c r="E907" t="s">
        <v>29</v>
      </c>
      <c r="F907">
        <v>32</v>
      </c>
      <c r="G907">
        <v>44.3</v>
      </c>
      <c r="H907" t="s">
        <v>48</v>
      </c>
      <c r="I907" t="s">
        <v>49</v>
      </c>
    </row>
    <row r="908" spans="1:9" x14ac:dyDescent="0.35">
      <c r="A908" s="1">
        <v>45322</v>
      </c>
      <c r="B908" t="s">
        <v>30</v>
      </c>
      <c r="C908" t="s">
        <v>31</v>
      </c>
      <c r="D908" t="s">
        <v>15</v>
      </c>
      <c r="E908" t="s">
        <v>16</v>
      </c>
      <c r="F908">
        <v>34</v>
      </c>
      <c r="G908">
        <v>34.5</v>
      </c>
      <c r="H908" t="s">
        <v>46</v>
      </c>
      <c r="I908" t="s">
        <v>47</v>
      </c>
    </row>
    <row r="909" spans="1:9" x14ac:dyDescent="0.35">
      <c r="A909" s="1">
        <v>45322</v>
      </c>
      <c r="B909" t="s">
        <v>30</v>
      </c>
      <c r="C909" t="s">
        <v>31</v>
      </c>
      <c r="D909" t="s">
        <v>18</v>
      </c>
      <c r="E909" t="s">
        <v>19</v>
      </c>
      <c r="F909">
        <v>38</v>
      </c>
      <c r="G909">
        <v>51</v>
      </c>
      <c r="H909" t="s">
        <v>48</v>
      </c>
      <c r="I909" t="s">
        <v>49</v>
      </c>
    </row>
    <row r="910" spans="1:9" x14ac:dyDescent="0.35">
      <c r="A910" s="1">
        <v>45322</v>
      </c>
      <c r="B910" t="s">
        <v>30</v>
      </c>
      <c r="C910" t="s">
        <v>31</v>
      </c>
      <c r="D910" t="s">
        <v>21</v>
      </c>
      <c r="E910" t="s">
        <v>22</v>
      </c>
      <c r="F910">
        <v>32</v>
      </c>
      <c r="G910">
        <v>38.1</v>
      </c>
      <c r="H910" t="s">
        <v>48</v>
      </c>
      <c r="I910" t="s">
        <v>50</v>
      </c>
    </row>
    <row r="911" spans="1:9" x14ac:dyDescent="0.35">
      <c r="A911" s="1">
        <v>45322</v>
      </c>
      <c r="B911" t="s">
        <v>30</v>
      </c>
      <c r="C911" t="s">
        <v>31</v>
      </c>
      <c r="D911" t="s">
        <v>24</v>
      </c>
      <c r="E911" t="s">
        <v>25</v>
      </c>
      <c r="F911">
        <v>50</v>
      </c>
      <c r="G911">
        <v>51.8</v>
      </c>
      <c r="H911" t="s">
        <v>46</v>
      </c>
      <c r="I911" t="s">
        <v>47</v>
      </c>
    </row>
    <row r="912" spans="1:9" x14ac:dyDescent="0.35">
      <c r="A912" s="1">
        <v>45322</v>
      </c>
      <c r="B912" t="s">
        <v>30</v>
      </c>
      <c r="C912" t="s">
        <v>31</v>
      </c>
      <c r="D912" t="s">
        <v>26</v>
      </c>
      <c r="E912" t="s">
        <v>27</v>
      </c>
      <c r="F912">
        <v>38</v>
      </c>
      <c r="G912">
        <v>38.1</v>
      </c>
      <c r="H912" t="s">
        <v>46</v>
      </c>
      <c r="I912" t="s">
        <v>47</v>
      </c>
    </row>
    <row r="913" spans="1:9" x14ac:dyDescent="0.35">
      <c r="A913" s="1">
        <v>45322</v>
      </c>
      <c r="B913" t="s">
        <v>30</v>
      </c>
      <c r="C913" t="s">
        <v>31</v>
      </c>
      <c r="D913" t="s">
        <v>28</v>
      </c>
      <c r="E913" t="s">
        <v>29</v>
      </c>
      <c r="F913">
        <v>32</v>
      </c>
      <c r="G913">
        <v>34.200000000000003</v>
      </c>
      <c r="H913" t="s">
        <v>46</v>
      </c>
      <c r="I913" t="s">
        <v>47</v>
      </c>
    </row>
    <row r="914" spans="1:9" x14ac:dyDescent="0.35">
      <c r="A914" s="1">
        <v>45322</v>
      </c>
      <c r="B914" t="s">
        <v>33</v>
      </c>
      <c r="C914" t="s">
        <v>34</v>
      </c>
      <c r="D914" t="s">
        <v>15</v>
      </c>
      <c r="E914" t="s">
        <v>16</v>
      </c>
      <c r="F914">
        <v>34</v>
      </c>
      <c r="G914">
        <v>33.5</v>
      </c>
      <c r="H914" t="s">
        <v>46</v>
      </c>
      <c r="I914" t="s">
        <v>47</v>
      </c>
    </row>
    <row r="915" spans="1:9" x14ac:dyDescent="0.35">
      <c r="A915" s="1">
        <v>45322</v>
      </c>
      <c r="B915" t="s">
        <v>33</v>
      </c>
      <c r="C915" t="s">
        <v>34</v>
      </c>
      <c r="D915" t="s">
        <v>18</v>
      </c>
      <c r="E915" t="s">
        <v>19</v>
      </c>
      <c r="F915">
        <v>38</v>
      </c>
      <c r="G915">
        <v>46.2</v>
      </c>
      <c r="H915" t="s">
        <v>48</v>
      </c>
      <c r="I915" t="s">
        <v>50</v>
      </c>
    </row>
    <row r="916" spans="1:9" x14ac:dyDescent="0.35">
      <c r="A916" s="1">
        <v>45322</v>
      </c>
      <c r="B916" t="s">
        <v>33</v>
      </c>
      <c r="C916" t="s">
        <v>34</v>
      </c>
      <c r="D916" t="s">
        <v>21</v>
      </c>
      <c r="E916" t="s">
        <v>22</v>
      </c>
      <c r="F916">
        <v>32</v>
      </c>
      <c r="G916">
        <v>32</v>
      </c>
      <c r="H916" t="s">
        <v>46</v>
      </c>
      <c r="I916" t="s">
        <v>47</v>
      </c>
    </row>
    <row r="917" spans="1:9" x14ac:dyDescent="0.35">
      <c r="A917" s="1">
        <v>45322</v>
      </c>
      <c r="B917" t="s">
        <v>33</v>
      </c>
      <c r="C917" t="s">
        <v>34</v>
      </c>
      <c r="D917" t="s">
        <v>24</v>
      </c>
      <c r="E917" t="s">
        <v>25</v>
      </c>
      <c r="F917">
        <v>50</v>
      </c>
      <c r="G917">
        <v>61.5</v>
      </c>
      <c r="H917" t="s">
        <v>48</v>
      </c>
      <c r="I917" t="s">
        <v>49</v>
      </c>
    </row>
    <row r="918" spans="1:9" x14ac:dyDescent="0.35">
      <c r="A918" s="1">
        <v>45322</v>
      </c>
      <c r="B918" t="s">
        <v>33</v>
      </c>
      <c r="C918" t="s">
        <v>34</v>
      </c>
      <c r="D918" t="s">
        <v>26</v>
      </c>
      <c r="E918" t="s">
        <v>27</v>
      </c>
      <c r="F918">
        <v>38</v>
      </c>
      <c r="G918">
        <v>39.9</v>
      </c>
      <c r="H918" t="s">
        <v>46</v>
      </c>
      <c r="I918" t="s">
        <v>47</v>
      </c>
    </row>
    <row r="919" spans="1:9" x14ac:dyDescent="0.35">
      <c r="A919" s="1">
        <v>45322</v>
      </c>
      <c r="B919" t="s">
        <v>33</v>
      </c>
      <c r="C919" t="s">
        <v>34</v>
      </c>
      <c r="D919" t="s">
        <v>28</v>
      </c>
      <c r="E919" t="s">
        <v>29</v>
      </c>
      <c r="F919">
        <v>32</v>
      </c>
      <c r="G919">
        <v>31.4</v>
      </c>
      <c r="H919" t="s">
        <v>46</v>
      </c>
      <c r="I919" t="s">
        <v>47</v>
      </c>
    </row>
    <row r="920" spans="1:9" x14ac:dyDescent="0.35">
      <c r="A920" s="1">
        <v>45322</v>
      </c>
      <c r="B920" t="s">
        <v>36</v>
      </c>
      <c r="C920" t="s">
        <v>37</v>
      </c>
      <c r="D920" t="s">
        <v>15</v>
      </c>
      <c r="E920" t="s">
        <v>16</v>
      </c>
      <c r="F920">
        <v>34</v>
      </c>
      <c r="G920">
        <v>34.200000000000003</v>
      </c>
      <c r="H920" t="s">
        <v>46</v>
      </c>
      <c r="I920" t="s">
        <v>47</v>
      </c>
    </row>
    <row r="921" spans="1:9" x14ac:dyDescent="0.35">
      <c r="A921" s="1">
        <v>45322</v>
      </c>
      <c r="B921" t="s">
        <v>36</v>
      </c>
      <c r="C921" t="s">
        <v>37</v>
      </c>
      <c r="D921" t="s">
        <v>18</v>
      </c>
      <c r="E921" t="s">
        <v>19</v>
      </c>
      <c r="F921">
        <v>38</v>
      </c>
      <c r="G921">
        <v>39.200000000000003</v>
      </c>
      <c r="H921" t="s">
        <v>46</v>
      </c>
      <c r="I921" t="s">
        <v>47</v>
      </c>
    </row>
    <row r="922" spans="1:9" x14ac:dyDescent="0.35">
      <c r="A922" s="1">
        <v>45322</v>
      </c>
      <c r="B922" t="s">
        <v>36</v>
      </c>
      <c r="C922" t="s">
        <v>37</v>
      </c>
      <c r="D922" t="s">
        <v>21</v>
      </c>
      <c r="E922" t="s">
        <v>22</v>
      </c>
      <c r="F922">
        <v>32</v>
      </c>
      <c r="G922">
        <v>34.9</v>
      </c>
      <c r="H922" t="s">
        <v>46</v>
      </c>
      <c r="I922" t="s">
        <v>47</v>
      </c>
    </row>
    <row r="923" spans="1:9" x14ac:dyDescent="0.35">
      <c r="A923" s="1">
        <v>45322</v>
      </c>
      <c r="B923" t="s">
        <v>36</v>
      </c>
      <c r="C923" t="s">
        <v>37</v>
      </c>
      <c r="D923" t="s">
        <v>24</v>
      </c>
      <c r="E923" t="s">
        <v>25</v>
      </c>
      <c r="F923">
        <v>50</v>
      </c>
      <c r="G923">
        <v>51.5</v>
      </c>
      <c r="H923" t="s">
        <v>46</v>
      </c>
      <c r="I923" t="s">
        <v>47</v>
      </c>
    </row>
    <row r="924" spans="1:9" x14ac:dyDescent="0.35">
      <c r="A924" s="1">
        <v>45322</v>
      </c>
      <c r="B924" t="s">
        <v>36</v>
      </c>
      <c r="C924" t="s">
        <v>37</v>
      </c>
      <c r="D924" t="s">
        <v>26</v>
      </c>
      <c r="E924" t="s">
        <v>27</v>
      </c>
      <c r="F924">
        <v>38</v>
      </c>
      <c r="G924">
        <v>40.9</v>
      </c>
      <c r="H924" t="s">
        <v>46</v>
      </c>
      <c r="I924" t="s">
        <v>47</v>
      </c>
    </row>
    <row r="925" spans="1:9" x14ac:dyDescent="0.35">
      <c r="A925" s="1">
        <v>45322</v>
      </c>
      <c r="B925" t="s">
        <v>36</v>
      </c>
      <c r="C925" t="s">
        <v>37</v>
      </c>
      <c r="D925" t="s">
        <v>28</v>
      </c>
      <c r="E925" t="s">
        <v>29</v>
      </c>
      <c r="F925">
        <v>32</v>
      </c>
      <c r="G925">
        <v>32.9</v>
      </c>
      <c r="H925" t="s">
        <v>46</v>
      </c>
      <c r="I925" t="s">
        <v>47</v>
      </c>
    </row>
    <row r="926" spans="1:9" x14ac:dyDescent="0.35">
      <c r="A926" s="1">
        <v>45322</v>
      </c>
      <c r="B926" t="s">
        <v>39</v>
      </c>
      <c r="C926" t="s">
        <v>40</v>
      </c>
      <c r="D926" t="s">
        <v>15</v>
      </c>
      <c r="E926" t="s">
        <v>16</v>
      </c>
      <c r="F926">
        <v>34</v>
      </c>
      <c r="G926">
        <v>33.799999999999997</v>
      </c>
      <c r="H926" t="s">
        <v>46</v>
      </c>
      <c r="I926" t="s">
        <v>47</v>
      </c>
    </row>
    <row r="927" spans="1:9" x14ac:dyDescent="0.35">
      <c r="A927" s="1">
        <v>45322</v>
      </c>
      <c r="B927" t="s">
        <v>39</v>
      </c>
      <c r="C927" t="s">
        <v>40</v>
      </c>
      <c r="D927" t="s">
        <v>18</v>
      </c>
      <c r="E927" t="s">
        <v>19</v>
      </c>
      <c r="F927">
        <v>38</v>
      </c>
      <c r="G927">
        <v>44.9</v>
      </c>
      <c r="H927" t="s">
        <v>48</v>
      </c>
      <c r="I927" t="s">
        <v>50</v>
      </c>
    </row>
    <row r="928" spans="1:9" x14ac:dyDescent="0.35">
      <c r="A928" s="1">
        <v>45322</v>
      </c>
      <c r="B928" t="s">
        <v>39</v>
      </c>
      <c r="C928" t="s">
        <v>40</v>
      </c>
      <c r="D928" t="s">
        <v>21</v>
      </c>
      <c r="E928" t="s">
        <v>22</v>
      </c>
      <c r="F928">
        <v>32</v>
      </c>
      <c r="G928">
        <v>44.8</v>
      </c>
      <c r="H928" t="s">
        <v>48</v>
      </c>
      <c r="I928" t="s">
        <v>49</v>
      </c>
    </row>
    <row r="929" spans="1:9" x14ac:dyDescent="0.35">
      <c r="A929" s="1">
        <v>45322</v>
      </c>
      <c r="B929" t="s">
        <v>39</v>
      </c>
      <c r="C929" t="s">
        <v>40</v>
      </c>
      <c r="D929" t="s">
        <v>24</v>
      </c>
      <c r="E929" t="s">
        <v>25</v>
      </c>
      <c r="F929">
        <v>50</v>
      </c>
      <c r="G929">
        <v>51</v>
      </c>
      <c r="H929" t="s">
        <v>46</v>
      </c>
      <c r="I929" t="s">
        <v>47</v>
      </c>
    </row>
    <row r="930" spans="1:9" x14ac:dyDescent="0.35">
      <c r="A930" s="1">
        <v>45322</v>
      </c>
      <c r="B930" t="s">
        <v>39</v>
      </c>
      <c r="C930" t="s">
        <v>40</v>
      </c>
      <c r="D930" t="s">
        <v>26</v>
      </c>
      <c r="E930" t="s">
        <v>27</v>
      </c>
      <c r="F930">
        <v>38</v>
      </c>
      <c r="G930">
        <v>51.4</v>
      </c>
      <c r="H930" t="s">
        <v>48</v>
      </c>
      <c r="I930" t="s">
        <v>49</v>
      </c>
    </row>
    <row r="931" spans="1:9" x14ac:dyDescent="0.35">
      <c r="A931" s="1">
        <v>45322</v>
      </c>
      <c r="B931" t="s">
        <v>39</v>
      </c>
      <c r="C931" t="s">
        <v>40</v>
      </c>
      <c r="D931" t="s">
        <v>28</v>
      </c>
      <c r="E931" t="s">
        <v>29</v>
      </c>
      <c r="F931">
        <v>32</v>
      </c>
      <c r="G931">
        <v>40.9</v>
      </c>
      <c r="H931" t="s">
        <v>48</v>
      </c>
      <c r="I931" t="s">
        <v>50</v>
      </c>
    </row>
    <row r="932" spans="1:9" x14ac:dyDescent="0.35">
      <c r="A932" s="1">
        <v>45323</v>
      </c>
      <c r="B932" t="s">
        <v>12</v>
      </c>
      <c r="C932" t="s">
        <v>13</v>
      </c>
      <c r="D932" t="s">
        <v>15</v>
      </c>
      <c r="E932" t="s">
        <v>16</v>
      </c>
      <c r="F932">
        <v>34</v>
      </c>
      <c r="G932">
        <v>34</v>
      </c>
      <c r="H932" t="s">
        <v>46</v>
      </c>
      <c r="I932" t="s">
        <v>47</v>
      </c>
    </row>
    <row r="933" spans="1:9" x14ac:dyDescent="0.35">
      <c r="A933" s="1">
        <v>45323</v>
      </c>
      <c r="B933" t="s">
        <v>12</v>
      </c>
      <c r="C933" t="s">
        <v>13</v>
      </c>
      <c r="D933" t="s">
        <v>18</v>
      </c>
      <c r="E933" t="s">
        <v>19</v>
      </c>
      <c r="F933">
        <v>38</v>
      </c>
      <c r="G933">
        <v>40.6</v>
      </c>
      <c r="H933" t="s">
        <v>46</v>
      </c>
      <c r="I933" t="s">
        <v>47</v>
      </c>
    </row>
    <row r="934" spans="1:9" x14ac:dyDescent="0.35">
      <c r="A934" s="1">
        <v>45323</v>
      </c>
      <c r="B934" t="s">
        <v>12</v>
      </c>
      <c r="C934" t="s">
        <v>13</v>
      </c>
      <c r="D934" t="s">
        <v>21</v>
      </c>
      <c r="E934" t="s">
        <v>22</v>
      </c>
      <c r="F934">
        <v>32</v>
      </c>
      <c r="G934">
        <v>31.4</v>
      </c>
      <c r="H934" t="s">
        <v>46</v>
      </c>
      <c r="I934" t="s">
        <v>47</v>
      </c>
    </row>
    <row r="935" spans="1:9" x14ac:dyDescent="0.35">
      <c r="A935" s="1">
        <v>45323</v>
      </c>
      <c r="B935" t="s">
        <v>12</v>
      </c>
      <c r="C935" t="s">
        <v>13</v>
      </c>
      <c r="D935" t="s">
        <v>24</v>
      </c>
      <c r="E935" t="s">
        <v>25</v>
      </c>
      <c r="F935">
        <v>50</v>
      </c>
      <c r="G935">
        <v>60.3</v>
      </c>
      <c r="H935" t="s">
        <v>48</v>
      </c>
      <c r="I935" t="s">
        <v>49</v>
      </c>
    </row>
    <row r="936" spans="1:9" x14ac:dyDescent="0.35">
      <c r="A936" s="1">
        <v>45323</v>
      </c>
      <c r="B936" t="s">
        <v>12</v>
      </c>
      <c r="C936" t="s">
        <v>13</v>
      </c>
      <c r="D936" t="s">
        <v>26</v>
      </c>
      <c r="E936" t="s">
        <v>27</v>
      </c>
      <c r="F936">
        <v>38</v>
      </c>
      <c r="G936">
        <v>44.2</v>
      </c>
      <c r="H936" t="s">
        <v>48</v>
      </c>
      <c r="I936" t="s">
        <v>50</v>
      </c>
    </row>
    <row r="937" spans="1:9" x14ac:dyDescent="0.35">
      <c r="A937" s="1">
        <v>45323</v>
      </c>
      <c r="B937" t="s">
        <v>12</v>
      </c>
      <c r="C937" t="s">
        <v>13</v>
      </c>
      <c r="D937" t="s">
        <v>28</v>
      </c>
      <c r="E937" t="s">
        <v>29</v>
      </c>
      <c r="F937">
        <v>32</v>
      </c>
      <c r="G937">
        <v>31.3</v>
      </c>
      <c r="H937" t="s">
        <v>46</v>
      </c>
      <c r="I937" t="s">
        <v>47</v>
      </c>
    </row>
    <row r="938" spans="1:9" x14ac:dyDescent="0.35">
      <c r="A938" s="1">
        <v>45323</v>
      </c>
      <c r="B938" t="s">
        <v>30</v>
      </c>
      <c r="C938" t="s">
        <v>31</v>
      </c>
      <c r="D938" t="s">
        <v>15</v>
      </c>
      <c r="E938" t="s">
        <v>16</v>
      </c>
      <c r="F938">
        <v>34</v>
      </c>
      <c r="G938">
        <v>34.799999999999997</v>
      </c>
      <c r="H938" t="s">
        <v>46</v>
      </c>
      <c r="I938" t="s">
        <v>47</v>
      </c>
    </row>
    <row r="939" spans="1:9" x14ac:dyDescent="0.35">
      <c r="A939" s="1">
        <v>45323</v>
      </c>
      <c r="B939" t="s">
        <v>30</v>
      </c>
      <c r="C939" t="s">
        <v>31</v>
      </c>
      <c r="D939" t="s">
        <v>18</v>
      </c>
      <c r="E939" t="s">
        <v>19</v>
      </c>
      <c r="F939">
        <v>38</v>
      </c>
      <c r="G939">
        <v>38.700000000000003</v>
      </c>
      <c r="H939" t="s">
        <v>46</v>
      </c>
      <c r="I939" t="s">
        <v>47</v>
      </c>
    </row>
    <row r="940" spans="1:9" x14ac:dyDescent="0.35">
      <c r="A940" s="1">
        <v>45323</v>
      </c>
      <c r="B940" t="s">
        <v>30</v>
      </c>
      <c r="C940" t="s">
        <v>31</v>
      </c>
      <c r="D940" t="s">
        <v>21</v>
      </c>
      <c r="E940" t="s">
        <v>22</v>
      </c>
      <c r="F940">
        <v>32</v>
      </c>
      <c r="G940">
        <v>34.6</v>
      </c>
      <c r="H940" t="s">
        <v>46</v>
      </c>
      <c r="I940" t="s">
        <v>47</v>
      </c>
    </row>
    <row r="941" spans="1:9" x14ac:dyDescent="0.35">
      <c r="A941" s="1">
        <v>45323</v>
      </c>
      <c r="B941" t="s">
        <v>30</v>
      </c>
      <c r="C941" t="s">
        <v>31</v>
      </c>
      <c r="D941" t="s">
        <v>24</v>
      </c>
      <c r="E941" t="s">
        <v>25</v>
      </c>
      <c r="F941">
        <v>50</v>
      </c>
      <c r="G941">
        <v>49.4</v>
      </c>
      <c r="H941" t="s">
        <v>46</v>
      </c>
      <c r="I941" t="s">
        <v>47</v>
      </c>
    </row>
    <row r="942" spans="1:9" x14ac:dyDescent="0.35">
      <c r="A942" s="1">
        <v>45323</v>
      </c>
      <c r="B942" t="s">
        <v>30</v>
      </c>
      <c r="C942" t="s">
        <v>31</v>
      </c>
      <c r="D942" t="s">
        <v>26</v>
      </c>
      <c r="E942" t="s">
        <v>27</v>
      </c>
      <c r="F942">
        <v>38</v>
      </c>
      <c r="G942">
        <v>37.9</v>
      </c>
      <c r="H942" t="s">
        <v>46</v>
      </c>
      <c r="I942" t="s">
        <v>47</v>
      </c>
    </row>
    <row r="943" spans="1:9" x14ac:dyDescent="0.35">
      <c r="A943" s="1">
        <v>45323</v>
      </c>
      <c r="B943" t="s">
        <v>30</v>
      </c>
      <c r="C943" t="s">
        <v>31</v>
      </c>
      <c r="D943" t="s">
        <v>28</v>
      </c>
      <c r="E943" t="s">
        <v>29</v>
      </c>
      <c r="F943">
        <v>32</v>
      </c>
      <c r="G943">
        <v>31.8</v>
      </c>
      <c r="H943" t="s">
        <v>46</v>
      </c>
      <c r="I943" t="s">
        <v>47</v>
      </c>
    </row>
    <row r="944" spans="1:9" x14ac:dyDescent="0.35">
      <c r="A944" s="1">
        <v>45323</v>
      </c>
      <c r="B944" t="s">
        <v>33</v>
      </c>
      <c r="C944" t="s">
        <v>34</v>
      </c>
      <c r="D944" t="s">
        <v>15</v>
      </c>
      <c r="E944" t="s">
        <v>16</v>
      </c>
      <c r="F944">
        <v>34</v>
      </c>
      <c r="G944">
        <v>33.299999999999997</v>
      </c>
      <c r="H944" t="s">
        <v>46</v>
      </c>
      <c r="I944" t="s">
        <v>47</v>
      </c>
    </row>
    <row r="945" spans="1:9" x14ac:dyDescent="0.35">
      <c r="A945" s="1">
        <v>45323</v>
      </c>
      <c r="B945" t="s">
        <v>33</v>
      </c>
      <c r="C945" t="s">
        <v>34</v>
      </c>
      <c r="D945" t="s">
        <v>18</v>
      </c>
      <c r="E945" t="s">
        <v>19</v>
      </c>
      <c r="F945">
        <v>38</v>
      </c>
      <c r="G945">
        <v>37.200000000000003</v>
      </c>
      <c r="H945" t="s">
        <v>46</v>
      </c>
      <c r="I945" t="s">
        <v>47</v>
      </c>
    </row>
    <row r="946" spans="1:9" x14ac:dyDescent="0.35">
      <c r="A946" s="1">
        <v>45323</v>
      </c>
      <c r="B946" t="s">
        <v>33</v>
      </c>
      <c r="C946" t="s">
        <v>34</v>
      </c>
      <c r="D946" t="s">
        <v>21</v>
      </c>
      <c r="E946" t="s">
        <v>22</v>
      </c>
      <c r="F946">
        <v>32</v>
      </c>
      <c r="G946">
        <v>31.9</v>
      </c>
      <c r="H946" t="s">
        <v>46</v>
      </c>
      <c r="I946" t="s">
        <v>47</v>
      </c>
    </row>
    <row r="947" spans="1:9" x14ac:dyDescent="0.35">
      <c r="A947" s="1">
        <v>45323</v>
      </c>
      <c r="B947" t="s">
        <v>33</v>
      </c>
      <c r="C947" t="s">
        <v>34</v>
      </c>
      <c r="D947" t="s">
        <v>24</v>
      </c>
      <c r="E947" t="s">
        <v>25</v>
      </c>
      <c r="F947">
        <v>50</v>
      </c>
      <c r="G947">
        <v>49.7</v>
      </c>
      <c r="H947" t="s">
        <v>46</v>
      </c>
      <c r="I947" t="s">
        <v>47</v>
      </c>
    </row>
    <row r="948" spans="1:9" x14ac:dyDescent="0.35">
      <c r="A948" s="1">
        <v>45323</v>
      </c>
      <c r="B948" t="s">
        <v>33</v>
      </c>
      <c r="C948" t="s">
        <v>34</v>
      </c>
      <c r="D948" t="s">
        <v>26</v>
      </c>
      <c r="E948" t="s">
        <v>27</v>
      </c>
      <c r="F948">
        <v>38</v>
      </c>
      <c r="G948">
        <v>38.799999999999997</v>
      </c>
      <c r="H948" t="s">
        <v>46</v>
      </c>
      <c r="I948" t="s">
        <v>47</v>
      </c>
    </row>
    <row r="949" spans="1:9" x14ac:dyDescent="0.35">
      <c r="A949" s="1">
        <v>45323</v>
      </c>
      <c r="B949" t="s">
        <v>33</v>
      </c>
      <c r="C949" t="s">
        <v>34</v>
      </c>
      <c r="D949" t="s">
        <v>28</v>
      </c>
      <c r="E949" t="s">
        <v>29</v>
      </c>
      <c r="F949">
        <v>32</v>
      </c>
      <c r="G949">
        <v>32.4</v>
      </c>
      <c r="H949" t="s">
        <v>46</v>
      </c>
      <c r="I949" t="s">
        <v>47</v>
      </c>
    </row>
    <row r="950" spans="1:9" x14ac:dyDescent="0.35">
      <c r="A950" s="1">
        <v>45323</v>
      </c>
      <c r="B950" t="s">
        <v>36</v>
      </c>
      <c r="C950" t="s">
        <v>37</v>
      </c>
      <c r="D950" t="s">
        <v>15</v>
      </c>
      <c r="E950" t="s">
        <v>16</v>
      </c>
      <c r="F950">
        <v>34</v>
      </c>
      <c r="G950">
        <v>34.299999999999997</v>
      </c>
      <c r="H950" t="s">
        <v>46</v>
      </c>
      <c r="I950" t="s">
        <v>47</v>
      </c>
    </row>
    <row r="951" spans="1:9" x14ac:dyDescent="0.35">
      <c r="A951" s="1">
        <v>45323</v>
      </c>
      <c r="B951" t="s">
        <v>36</v>
      </c>
      <c r="C951" t="s">
        <v>37</v>
      </c>
      <c r="D951" t="s">
        <v>18</v>
      </c>
      <c r="E951" t="s">
        <v>19</v>
      </c>
      <c r="F951">
        <v>38</v>
      </c>
      <c r="G951">
        <v>48.5</v>
      </c>
      <c r="H951" t="s">
        <v>48</v>
      </c>
      <c r="I951" t="s">
        <v>49</v>
      </c>
    </row>
    <row r="952" spans="1:9" x14ac:dyDescent="0.35">
      <c r="A952" s="1">
        <v>45323</v>
      </c>
      <c r="B952" t="s">
        <v>36</v>
      </c>
      <c r="C952" t="s">
        <v>37</v>
      </c>
      <c r="D952" t="s">
        <v>21</v>
      </c>
      <c r="E952" t="s">
        <v>22</v>
      </c>
      <c r="F952">
        <v>32</v>
      </c>
      <c r="G952">
        <v>31.4</v>
      </c>
      <c r="H952" t="s">
        <v>46</v>
      </c>
      <c r="I952" t="s">
        <v>47</v>
      </c>
    </row>
    <row r="953" spans="1:9" x14ac:dyDescent="0.35">
      <c r="A953" s="1">
        <v>45323</v>
      </c>
      <c r="B953" t="s">
        <v>36</v>
      </c>
      <c r="C953" t="s">
        <v>37</v>
      </c>
      <c r="D953" t="s">
        <v>24</v>
      </c>
      <c r="E953" t="s">
        <v>25</v>
      </c>
      <c r="F953">
        <v>50</v>
      </c>
      <c r="G953">
        <v>50.7</v>
      </c>
      <c r="H953" t="s">
        <v>46</v>
      </c>
      <c r="I953" t="s">
        <v>47</v>
      </c>
    </row>
    <row r="954" spans="1:9" x14ac:dyDescent="0.35">
      <c r="A954" s="1">
        <v>45323</v>
      </c>
      <c r="B954" t="s">
        <v>36</v>
      </c>
      <c r="C954" t="s">
        <v>37</v>
      </c>
      <c r="D954" t="s">
        <v>26</v>
      </c>
      <c r="E954" t="s">
        <v>27</v>
      </c>
      <c r="F954">
        <v>38</v>
      </c>
      <c r="G954">
        <v>37.9</v>
      </c>
      <c r="H954" t="s">
        <v>46</v>
      </c>
      <c r="I954" t="s">
        <v>47</v>
      </c>
    </row>
    <row r="955" spans="1:9" x14ac:dyDescent="0.35">
      <c r="A955" s="1">
        <v>45323</v>
      </c>
      <c r="B955" t="s">
        <v>36</v>
      </c>
      <c r="C955" t="s">
        <v>37</v>
      </c>
      <c r="D955" t="s">
        <v>28</v>
      </c>
      <c r="E955" t="s">
        <v>29</v>
      </c>
      <c r="F955">
        <v>32</v>
      </c>
      <c r="G955">
        <v>31.6</v>
      </c>
      <c r="H955" t="s">
        <v>46</v>
      </c>
      <c r="I955" t="s">
        <v>47</v>
      </c>
    </row>
    <row r="956" spans="1:9" x14ac:dyDescent="0.35">
      <c r="A956" s="1">
        <v>45323</v>
      </c>
      <c r="B956" t="s">
        <v>39</v>
      </c>
      <c r="C956" t="s">
        <v>40</v>
      </c>
      <c r="D956" t="s">
        <v>15</v>
      </c>
      <c r="E956" t="s">
        <v>16</v>
      </c>
      <c r="F956">
        <v>34</v>
      </c>
      <c r="G956">
        <v>36.799999999999997</v>
      </c>
      <c r="H956" t="s">
        <v>46</v>
      </c>
      <c r="I956" t="s">
        <v>47</v>
      </c>
    </row>
    <row r="957" spans="1:9" x14ac:dyDescent="0.35">
      <c r="A957" s="1">
        <v>45323</v>
      </c>
      <c r="B957" t="s">
        <v>39</v>
      </c>
      <c r="C957" t="s">
        <v>40</v>
      </c>
      <c r="D957" t="s">
        <v>18</v>
      </c>
      <c r="E957" t="s">
        <v>19</v>
      </c>
      <c r="F957">
        <v>38</v>
      </c>
      <c r="G957">
        <v>39.299999999999997</v>
      </c>
      <c r="H957" t="s">
        <v>46</v>
      </c>
      <c r="I957" t="s">
        <v>47</v>
      </c>
    </row>
    <row r="958" spans="1:9" x14ac:dyDescent="0.35">
      <c r="A958" s="1">
        <v>45323</v>
      </c>
      <c r="B958" t="s">
        <v>39</v>
      </c>
      <c r="C958" t="s">
        <v>40</v>
      </c>
      <c r="D958" t="s">
        <v>21</v>
      </c>
      <c r="E958" t="s">
        <v>22</v>
      </c>
      <c r="F958">
        <v>32</v>
      </c>
      <c r="G958">
        <v>31.9</v>
      </c>
      <c r="H958" t="s">
        <v>46</v>
      </c>
      <c r="I958" t="s">
        <v>47</v>
      </c>
    </row>
    <row r="959" spans="1:9" x14ac:dyDescent="0.35">
      <c r="A959" s="1">
        <v>45323</v>
      </c>
      <c r="B959" t="s">
        <v>39</v>
      </c>
      <c r="C959" t="s">
        <v>40</v>
      </c>
      <c r="D959" t="s">
        <v>24</v>
      </c>
      <c r="E959" t="s">
        <v>25</v>
      </c>
      <c r="F959">
        <v>50</v>
      </c>
      <c r="G959">
        <v>51.1</v>
      </c>
      <c r="H959" t="s">
        <v>46</v>
      </c>
      <c r="I959" t="s">
        <v>47</v>
      </c>
    </row>
    <row r="960" spans="1:9" x14ac:dyDescent="0.35">
      <c r="A960" s="1">
        <v>45323</v>
      </c>
      <c r="B960" t="s">
        <v>39</v>
      </c>
      <c r="C960" t="s">
        <v>40</v>
      </c>
      <c r="D960" t="s">
        <v>26</v>
      </c>
      <c r="E960" t="s">
        <v>27</v>
      </c>
      <c r="F960">
        <v>38</v>
      </c>
      <c r="G960">
        <v>37.9</v>
      </c>
      <c r="H960" t="s">
        <v>46</v>
      </c>
      <c r="I960" t="s">
        <v>47</v>
      </c>
    </row>
    <row r="961" spans="1:9" x14ac:dyDescent="0.35">
      <c r="A961" s="1">
        <v>45323</v>
      </c>
      <c r="B961" t="s">
        <v>39</v>
      </c>
      <c r="C961" t="s">
        <v>40</v>
      </c>
      <c r="D961" t="s">
        <v>28</v>
      </c>
      <c r="E961" t="s">
        <v>29</v>
      </c>
      <c r="F961">
        <v>32</v>
      </c>
      <c r="G961">
        <v>32.9</v>
      </c>
      <c r="H961" t="s">
        <v>46</v>
      </c>
      <c r="I961" t="s">
        <v>47</v>
      </c>
    </row>
    <row r="962" spans="1:9" x14ac:dyDescent="0.35">
      <c r="A962" s="1">
        <v>45324</v>
      </c>
      <c r="B962" t="s">
        <v>12</v>
      </c>
      <c r="C962" t="s">
        <v>13</v>
      </c>
      <c r="D962" t="s">
        <v>15</v>
      </c>
      <c r="E962" t="s">
        <v>16</v>
      </c>
      <c r="F962">
        <v>34</v>
      </c>
      <c r="G962">
        <v>43.4</v>
      </c>
      <c r="H962" t="s">
        <v>48</v>
      </c>
      <c r="I962" t="s">
        <v>50</v>
      </c>
    </row>
    <row r="963" spans="1:9" x14ac:dyDescent="0.35">
      <c r="A963" s="1">
        <v>45324</v>
      </c>
      <c r="B963" t="s">
        <v>12</v>
      </c>
      <c r="C963" t="s">
        <v>13</v>
      </c>
      <c r="D963" t="s">
        <v>18</v>
      </c>
      <c r="E963" t="s">
        <v>19</v>
      </c>
      <c r="F963">
        <v>38</v>
      </c>
      <c r="G963">
        <v>38</v>
      </c>
      <c r="H963" t="s">
        <v>46</v>
      </c>
      <c r="I963" t="s">
        <v>47</v>
      </c>
    </row>
    <row r="964" spans="1:9" x14ac:dyDescent="0.35">
      <c r="A964" s="1">
        <v>45324</v>
      </c>
      <c r="B964" t="s">
        <v>12</v>
      </c>
      <c r="C964" t="s">
        <v>13</v>
      </c>
      <c r="D964" t="s">
        <v>21</v>
      </c>
      <c r="E964" t="s">
        <v>22</v>
      </c>
      <c r="F964">
        <v>32</v>
      </c>
      <c r="G964">
        <v>31.9</v>
      </c>
      <c r="H964" t="s">
        <v>46</v>
      </c>
      <c r="I964" t="s">
        <v>47</v>
      </c>
    </row>
    <row r="965" spans="1:9" x14ac:dyDescent="0.35">
      <c r="A965" s="1">
        <v>45324</v>
      </c>
      <c r="B965" t="s">
        <v>12</v>
      </c>
      <c r="C965" t="s">
        <v>13</v>
      </c>
      <c r="D965" t="s">
        <v>24</v>
      </c>
      <c r="E965" t="s">
        <v>25</v>
      </c>
      <c r="F965">
        <v>50</v>
      </c>
      <c r="G965">
        <v>52.8</v>
      </c>
      <c r="H965" t="s">
        <v>46</v>
      </c>
      <c r="I965" t="s">
        <v>47</v>
      </c>
    </row>
    <row r="966" spans="1:9" x14ac:dyDescent="0.35">
      <c r="A966" s="1">
        <v>45324</v>
      </c>
      <c r="B966" t="s">
        <v>12</v>
      </c>
      <c r="C966" t="s">
        <v>13</v>
      </c>
      <c r="D966" t="s">
        <v>26</v>
      </c>
      <c r="E966" t="s">
        <v>27</v>
      </c>
      <c r="F966">
        <v>38</v>
      </c>
      <c r="G966">
        <v>40.6</v>
      </c>
      <c r="H966" t="s">
        <v>46</v>
      </c>
      <c r="I966" t="s">
        <v>47</v>
      </c>
    </row>
    <row r="967" spans="1:9" x14ac:dyDescent="0.35">
      <c r="A967" s="1">
        <v>45324</v>
      </c>
      <c r="B967" t="s">
        <v>12</v>
      </c>
      <c r="C967" t="s">
        <v>13</v>
      </c>
      <c r="D967" t="s">
        <v>28</v>
      </c>
      <c r="E967" t="s">
        <v>29</v>
      </c>
      <c r="F967">
        <v>32</v>
      </c>
      <c r="G967">
        <v>31.2</v>
      </c>
      <c r="H967" t="s">
        <v>46</v>
      </c>
      <c r="I967" t="s">
        <v>47</v>
      </c>
    </row>
    <row r="968" spans="1:9" x14ac:dyDescent="0.35">
      <c r="A968" s="1">
        <v>45324</v>
      </c>
      <c r="B968" t="s">
        <v>30</v>
      </c>
      <c r="C968" t="s">
        <v>31</v>
      </c>
      <c r="D968" t="s">
        <v>15</v>
      </c>
      <c r="E968" t="s">
        <v>16</v>
      </c>
      <c r="F968">
        <v>34</v>
      </c>
      <c r="G968">
        <v>35.9</v>
      </c>
      <c r="H968" t="s">
        <v>46</v>
      </c>
      <c r="I968" t="s">
        <v>47</v>
      </c>
    </row>
    <row r="969" spans="1:9" x14ac:dyDescent="0.35">
      <c r="A969" s="1">
        <v>45324</v>
      </c>
      <c r="B969" t="s">
        <v>30</v>
      </c>
      <c r="C969" t="s">
        <v>31</v>
      </c>
      <c r="D969" t="s">
        <v>18</v>
      </c>
      <c r="E969" t="s">
        <v>19</v>
      </c>
      <c r="F969">
        <v>38</v>
      </c>
      <c r="G969">
        <v>38.700000000000003</v>
      </c>
      <c r="H969" t="s">
        <v>46</v>
      </c>
      <c r="I969" t="s">
        <v>47</v>
      </c>
    </row>
    <row r="970" spans="1:9" x14ac:dyDescent="0.35">
      <c r="A970" s="1">
        <v>45324</v>
      </c>
      <c r="B970" t="s">
        <v>30</v>
      </c>
      <c r="C970" t="s">
        <v>31</v>
      </c>
      <c r="D970" t="s">
        <v>21</v>
      </c>
      <c r="E970" t="s">
        <v>22</v>
      </c>
      <c r="F970">
        <v>32</v>
      </c>
      <c r="G970">
        <v>34.200000000000003</v>
      </c>
      <c r="H970" t="s">
        <v>46</v>
      </c>
      <c r="I970" t="s">
        <v>47</v>
      </c>
    </row>
    <row r="971" spans="1:9" x14ac:dyDescent="0.35">
      <c r="A971" s="1">
        <v>45324</v>
      </c>
      <c r="B971" t="s">
        <v>30</v>
      </c>
      <c r="C971" t="s">
        <v>31</v>
      </c>
      <c r="D971" t="s">
        <v>24</v>
      </c>
      <c r="E971" t="s">
        <v>25</v>
      </c>
      <c r="F971">
        <v>50</v>
      </c>
      <c r="G971">
        <v>49.4</v>
      </c>
      <c r="H971" t="s">
        <v>46</v>
      </c>
      <c r="I971" t="s">
        <v>47</v>
      </c>
    </row>
    <row r="972" spans="1:9" x14ac:dyDescent="0.35">
      <c r="A972" s="1">
        <v>45324</v>
      </c>
      <c r="B972" t="s">
        <v>30</v>
      </c>
      <c r="C972" t="s">
        <v>31</v>
      </c>
      <c r="D972" t="s">
        <v>26</v>
      </c>
      <c r="E972" t="s">
        <v>27</v>
      </c>
      <c r="F972">
        <v>38</v>
      </c>
      <c r="G972">
        <v>37.299999999999997</v>
      </c>
      <c r="H972" t="s">
        <v>46</v>
      </c>
      <c r="I972" t="s">
        <v>47</v>
      </c>
    </row>
    <row r="973" spans="1:9" x14ac:dyDescent="0.35">
      <c r="A973" s="1">
        <v>45324</v>
      </c>
      <c r="B973" t="s">
        <v>30</v>
      </c>
      <c r="C973" t="s">
        <v>31</v>
      </c>
      <c r="D973" t="s">
        <v>28</v>
      </c>
      <c r="E973" t="s">
        <v>29</v>
      </c>
      <c r="F973">
        <v>32</v>
      </c>
      <c r="G973">
        <v>33.799999999999997</v>
      </c>
      <c r="H973" t="s">
        <v>46</v>
      </c>
      <c r="I973" t="s">
        <v>47</v>
      </c>
    </row>
    <row r="974" spans="1:9" x14ac:dyDescent="0.35">
      <c r="A974" s="1">
        <v>45324</v>
      </c>
      <c r="B974" t="s">
        <v>33</v>
      </c>
      <c r="C974" t="s">
        <v>34</v>
      </c>
      <c r="D974" t="s">
        <v>15</v>
      </c>
      <c r="E974" t="s">
        <v>16</v>
      </c>
      <c r="F974">
        <v>34</v>
      </c>
      <c r="G974">
        <v>33.9</v>
      </c>
      <c r="H974" t="s">
        <v>46</v>
      </c>
      <c r="I974" t="s">
        <v>47</v>
      </c>
    </row>
    <row r="975" spans="1:9" x14ac:dyDescent="0.35">
      <c r="A975" s="1">
        <v>45324</v>
      </c>
      <c r="B975" t="s">
        <v>33</v>
      </c>
      <c r="C975" t="s">
        <v>34</v>
      </c>
      <c r="D975" t="s">
        <v>18</v>
      </c>
      <c r="E975" t="s">
        <v>19</v>
      </c>
      <c r="F975">
        <v>38</v>
      </c>
      <c r="G975">
        <v>38</v>
      </c>
      <c r="H975" t="s">
        <v>46</v>
      </c>
      <c r="I975" t="s">
        <v>47</v>
      </c>
    </row>
    <row r="976" spans="1:9" x14ac:dyDescent="0.35">
      <c r="A976" s="1">
        <v>45324</v>
      </c>
      <c r="B976" t="s">
        <v>33</v>
      </c>
      <c r="C976" t="s">
        <v>34</v>
      </c>
      <c r="D976" t="s">
        <v>21</v>
      </c>
      <c r="E976" t="s">
        <v>22</v>
      </c>
      <c r="F976">
        <v>32</v>
      </c>
      <c r="G976">
        <v>31.1</v>
      </c>
      <c r="H976" t="s">
        <v>46</v>
      </c>
      <c r="I976" t="s">
        <v>47</v>
      </c>
    </row>
    <row r="977" spans="1:9" x14ac:dyDescent="0.35">
      <c r="A977" s="1">
        <v>45324</v>
      </c>
      <c r="B977" t="s">
        <v>33</v>
      </c>
      <c r="C977" t="s">
        <v>34</v>
      </c>
      <c r="D977" t="s">
        <v>24</v>
      </c>
      <c r="E977" t="s">
        <v>25</v>
      </c>
      <c r="F977">
        <v>50</v>
      </c>
      <c r="G977">
        <v>49.6</v>
      </c>
      <c r="H977" t="s">
        <v>46</v>
      </c>
      <c r="I977" t="s">
        <v>47</v>
      </c>
    </row>
    <row r="978" spans="1:9" x14ac:dyDescent="0.35">
      <c r="A978" s="1">
        <v>45324</v>
      </c>
      <c r="B978" t="s">
        <v>33</v>
      </c>
      <c r="C978" t="s">
        <v>34</v>
      </c>
      <c r="D978" t="s">
        <v>26</v>
      </c>
      <c r="E978" t="s">
        <v>27</v>
      </c>
      <c r="F978">
        <v>38</v>
      </c>
      <c r="G978">
        <v>39.299999999999997</v>
      </c>
      <c r="H978" t="s">
        <v>46</v>
      </c>
      <c r="I978" t="s">
        <v>47</v>
      </c>
    </row>
    <row r="979" spans="1:9" x14ac:dyDescent="0.35">
      <c r="A979" s="1">
        <v>45324</v>
      </c>
      <c r="B979" t="s">
        <v>33</v>
      </c>
      <c r="C979" t="s">
        <v>34</v>
      </c>
      <c r="D979" t="s">
        <v>28</v>
      </c>
      <c r="E979" t="s">
        <v>29</v>
      </c>
      <c r="F979">
        <v>32</v>
      </c>
      <c r="G979">
        <v>34.9</v>
      </c>
      <c r="H979" t="s">
        <v>46</v>
      </c>
      <c r="I979" t="s">
        <v>47</v>
      </c>
    </row>
    <row r="980" spans="1:9" x14ac:dyDescent="0.35">
      <c r="A980" s="1">
        <v>45324</v>
      </c>
      <c r="B980" t="s">
        <v>36</v>
      </c>
      <c r="C980" t="s">
        <v>37</v>
      </c>
      <c r="D980" t="s">
        <v>15</v>
      </c>
      <c r="E980" t="s">
        <v>16</v>
      </c>
      <c r="F980">
        <v>34</v>
      </c>
      <c r="G980">
        <v>33.6</v>
      </c>
      <c r="H980" t="s">
        <v>46</v>
      </c>
      <c r="I980" t="s">
        <v>47</v>
      </c>
    </row>
    <row r="981" spans="1:9" x14ac:dyDescent="0.35">
      <c r="A981" s="1">
        <v>45324</v>
      </c>
      <c r="B981" t="s">
        <v>36</v>
      </c>
      <c r="C981" t="s">
        <v>37</v>
      </c>
      <c r="D981" t="s">
        <v>18</v>
      </c>
      <c r="E981" t="s">
        <v>19</v>
      </c>
      <c r="F981">
        <v>38</v>
      </c>
      <c r="G981">
        <v>37.700000000000003</v>
      </c>
      <c r="H981" t="s">
        <v>46</v>
      </c>
      <c r="I981" t="s">
        <v>47</v>
      </c>
    </row>
    <row r="982" spans="1:9" x14ac:dyDescent="0.35">
      <c r="A982" s="1">
        <v>45324</v>
      </c>
      <c r="B982" t="s">
        <v>36</v>
      </c>
      <c r="C982" t="s">
        <v>37</v>
      </c>
      <c r="D982" t="s">
        <v>21</v>
      </c>
      <c r="E982" t="s">
        <v>22</v>
      </c>
      <c r="F982">
        <v>32</v>
      </c>
      <c r="G982">
        <v>33.5</v>
      </c>
      <c r="H982" t="s">
        <v>46</v>
      </c>
      <c r="I982" t="s">
        <v>47</v>
      </c>
    </row>
    <row r="983" spans="1:9" x14ac:dyDescent="0.35">
      <c r="A983" s="1">
        <v>45324</v>
      </c>
      <c r="B983" t="s">
        <v>36</v>
      </c>
      <c r="C983" t="s">
        <v>37</v>
      </c>
      <c r="D983" t="s">
        <v>24</v>
      </c>
      <c r="E983" t="s">
        <v>25</v>
      </c>
      <c r="F983">
        <v>50</v>
      </c>
      <c r="G983">
        <v>49</v>
      </c>
      <c r="H983" t="s">
        <v>46</v>
      </c>
      <c r="I983" t="s">
        <v>47</v>
      </c>
    </row>
    <row r="984" spans="1:9" x14ac:dyDescent="0.35">
      <c r="A984" s="1">
        <v>45324</v>
      </c>
      <c r="B984" t="s">
        <v>36</v>
      </c>
      <c r="C984" t="s">
        <v>37</v>
      </c>
      <c r="D984" t="s">
        <v>26</v>
      </c>
      <c r="E984" t="s">
        <v>27</v>
      </c>
      <c r="F984">
        <v>38</v>
      </c>
      <c r="G984">
        <v>38.5</v>
      </c>
      <c r="H984" t="s">
        <v>46</v>
      </c>
      <c r="I984" t="s">
        <v>47</v>
      </c>
    </row>
    <row r="985" spans="1:9" x14ac:dyDescent="0.35">
      <c r="A985" s="1">
        <v>45324</v>
      </c>
      <c r="B985" t="s">
        <v>36</v>
      </c>
      <c r="C985" t="s">
        <v>37</v>
      </c>
      <c r="D985" t="s">
        <v>28</v>
      </c>
      <c r="E985" t="s">
        <v>29</v>
      </c>
      <c r="F985">
        <v>32</v>
      </c>
      <c r="G985">
        <v>33.1</v>
      </c>
      <c r="H985" t="s">
        <v>46</v>
      </c>
      <c r="I985" t="s">
        <v>47</v>
      </c>
    </row>
    <row r="986" spans="1:9" x14ac:dyDescent="0.35">
      <c r="A986" s="1">
        <v>45324</v>
      </c>
      <c r="B986" t="s">
        <v>39</v>
      </c>
      <c r="C986" t="s">
        <v>40</v>
      </c>
      <c r="D986" t="s">
        <v>15</v>
      </c>
      <c r="E986" t="s">
        <v>16</v>
      </c>
      <c r="F986">
        <v>34</v>
      </c>
      <c r="G986">
        <v>36</v>
      </c>
      <c r="H986" t="s">
        <v>46</v>
      </c>
      <c r="I986" t="s">
        <v>47</v>
      </c>
    </row>
    <row r="987" spans="1:9" x14ac:dyDescent="0.35">
      <c r="A987" s="1">
        <v>45324</v>
      </c>
      <c r="B987" t="s">
        <v>39</v>
      </c>
      <c r="C987" t="s">
        <v>40</v>
      </c>
      <c r="D987" t="s">
        <v>18</v>
      </c>
      <c r="E987" t="s">
        <v>19</v>
      </c>
      <c r="F987">
        <v>38</v>
      </c>
      <c r="G987">
        <v>39.5</v>
      </c>
      <c r="H987" t="s">
        <v>46</v>
      </c>
      <c r="I987" t="s">
        <v>47</v>
      </c>
    </row>
    <row r="988" spans="1:9" x14ac:dyDescent="0.35">
      <c r="A988" s="1">
        <v>45324</v>
      </c>
      <c r="B988" t="s">
        <v>39</v>
      </c>
      <c r="C988" t="s">
        <v>40</v>
      </c>
      <c r="D988" t="s">
        <v>21</v>
      </c>
      <c r="E988" t="s">
        <v>22</v>
      </c>
      <c r="F988">
        <v>32</v>
      </c>
      <c r="G988">
        <v>31.8</v>
      </c>
      <c r="H988" t="s">
        <v>46</v>
      </c>
      <c r="I988" t="s">
        <v>47</v>
      </c>
    </row>
    <row r="989" spans="1:9" x14ac:dyDescent="0.35">
      <c r="A989" s="1">
        <v>45324</v>
      </c>
      <c r="B989" t="s">
        <v>39</v>
      </c>
      <c r="C989" t="s">
        <v>40</v>
      </c>
      <c r="D989" t="s">
        <v>24</v>
      </c>
      <c r="E989" t="s">
        <v>25</v>
      </c>
      <c r="F989">
        <v>50</v>
      </c>
      <c r="G989">
        <v>51.5</v>
      </c>
      <c r="H989" t="s">
        <v>46</v>
      </c>
      <c r="I989" t="s">
        <v>47</v>
      </c>
    </row>
    <row r="990" spans="1:9" x14ac:dyDescent="0.35">
      <c r="A990" s="1">
        <v>45324</v>
      </c>
      <c r="B990" t="s">
        <v>39</v>
      </c>
      <c r="C990" t="s">
        <v>40</v>
      </c>
      <c r="D990" t="s">
        <v>26</v>
      </c>
      <c r="E990" t="s">
        <v>27</v>
      </c>
      <c r="F990">
        <v>38</v>
      </c>
      <c r="G990">
        <v>40.700000000000003</v>
      </c>
      <c r="H990" t="s">
        <v>46</v>
      </c>
      <c r="I990" t="s">
        <v>47</v>
      </c>
    </row>
    <row r="991" spans="1:9" x14ac:dyDescent="0.35">
      <c r="A991" s="1">
        <v>45324</v>
      </c>
      <c r="B991" t="s">
        <v>39</v>
      </c>
      <c r="C991" t="s">
        <v>40</v>
      </c>
      <c r="D991" t="s">
        <v>28</v>
      </c>
      <c r="E991" t="s">
        <v>29</v>
      </c>
      <c r="F991">
        <v>32</v>
      </c>
      <c r="G991">
        <v>34.6</v>
      </c>
      <c r="H991" t="s">
        <v>46</v>
      </c>
      <c r="I991" t="s">
        <v>47</v>
      </c>
    </row>
    <row r="992" spans="1:9" x14ac:dyDescent="0.35">
      <c r="A992" s="1">
        <v>45325</v>
      </c>
      <c r="B992" t="s">
        <v>12</v>
      </c>
      <c r="C992" t="s">
        <v>13</v>
      </c>
      <c r="D992" t="s">
        <v>15</v>
      </c>
      <c r="E992" t="s">
        <v>16</v>
      </c>
      <c r="F992">
        <v>34</v>
      </c>
      <c r="G992">
        <v>33.200000000000003</v>
      </c>
      <c r="H992" t="s">
        <v>46</v>
      </c>
      <c r="I992" t="s">
        <v>47</v>
      </c>
    </row>
    <row r="993" spans="1:9" x14ac:dyDescent="0.35">
      <c r="A993" s="1">
        <v>45325</v>
      </c>
      <c r="B993" t="s">
        <v>12</v>
      </c>
      <c r="C993" t="s">
        <v>13</v>
      </c>
      <c r="D993" t="s">
        <v>18</v>
      </c>
      <c r="E993" t="s">
        <v>19</v>
      </c>
      <c r="F993">
        <v>38</v>
      </c>
      <c r="G993">
        <v>38.9</v>
      </c>
      <c r="H993" t="s">
        <v>46</v>
      </c>
      <c r="I993" t="s">
        <v>47</v>
      </c>
    </row>
    <row r="994" spans="1:9" x14ac:dyDescent="0.35">
      <c r="A994" s="1">
        <v>45325</v>
      </c>
      <c r="B994" t="s">
        <v>12</v>
      </c>
      <c r="C994" t="s">
        <v>13</v>
      </c>
      <c r="D994" t="s">
        <v>21</v>
      </c>
      <c r="E994" t="s">
        <v>22</v>
      </c>
      <c r="F994">
        <v>32</v>
      </c>
      <c r="G994">
        <v>40.9</v>
      </c>
      <c r="H994" t="s">
        <v>48</v>
      </c>
      <c r="I994" t="s">
        <v>50</v>
      </c>
    </row>
    <row r="995" spans="1:9" x14ac:dyDescent="0.35">
      <c r="A995" s="1">
        <v>45325</v>
      </c>
      <c r="B995" t="s">
        <v>12</v>
      </c>
      <c r="C995" t="s">
        <v>13</v>
      </c>
      <c r="D995" t="s">
        <v>24</v>
      </c>
      <c r="E995" t="s">
        <v>25</v>
      </c>
      <c r="F995">
        <v>50</v>
      </c>
      <c r="G995">
        <v>51.8</v>
      </c>
      <c r="H995" t="s">
        <v>46</v>
      </c>
      <c r="I995" t="s">
        <v>47</v>
      </c>
    </row>
    <row r="996" spans="1:9" x14ac:dyDescent="0.35">
      <c r="A996" s="1">
        <v>45325</v>
      </c>
      <c r="B996" t="s">
        <v>12</v>
      </c>
      <c r="C996" t="s">
        <v>13</v>
      </c>
      <c r="D996" t="s">
        <v>26</v>
      </c>
      <c r="E996" t="s">
        <v>27</v>
      </c>
      <c r="F996">
        <v>38</v>
      </c>
      <c r="G996">
        <v>40.1</v>
      </c>
      <c r="H996" t="s">
        <v>46</v>
      </c>
      <c r="I996" t="s">
        <v>47</v>
      </c>
    </row>
    <row r="997" spans="1:9" x14ac:dyDescent="0.35">
      <c r="A997" s="1">
        <v>45325</v>
      </c>
      <c r="B997" t="s">
        <v>12</v>
      </c>
      <c r="C997" t="s">
        <v>13</v>
      </c>
      <c r="D997" t="s">
        <v>28</v>
      </c>
      <c r="E997" t="s">
        <v>29</v>
      </c>
      <c r="F997">
        <v>32</v>
      </c>
      <c r="G997">
        <v>40.700000000000003</v>
      </c>
      <c r="H997" t="s">
        <v>48</v>
      </c>
      <c r="I997" t="s">
        <v>50</v>
      </c>
    </row>
    <row r="998" spans="1:9" x14ac:dyDescent="0.35">
      <c r="A998" s="1">
        <v>45325</v>
      </c>
      <c r="B998" t="s">
        <v>30</v>
      </c>
      <c r="C998" t="s">
        <v>31</v>
      </c>
      <c r="D998" t="s">
        <v>15</v>
      </c>
      <c r="E998" t="s">
        <v>16</v>
      </c>
      <c r="F998">
        <v>34</v>
      </c>
      <c r="G998">
        <v>35.6</v>
      </c>
      <c r="H998" t="s">
        <v>46</v>
      </c>
      <c r="I998" t="s">
        <v>47</v>
      </c>
    </row>
    <row r="999" spans="1:9" x14ac:dyDescent="0.35">
      <c r="A999" s="1">
        <v>45325</v>
      </c>
      <c r="B999" t="s">
        <v>30</v>
      </c>
      <c r="C999" t="s">
        <v>31</v>
      </c>
      <c r="D999" t="s">
        <v>18</v>
      </c>
      <c r="E999" t="s">
        <v>19</v>
      </c>
      <c r="F999">
        <v>38</v>
      </c>
      <c r="G999">
        <v>40</v>
      </c>
      <c r="H999" t="s">
        <v>46</v>
      </c>
      <c r="I999" t="s">
        <v>47</v>
      </c>
    </row>
    <row r="1000" spans="1:9" x14ac:dyDescent="0.35">
      <c r="A1000" s="1">
        <v>45325</v>
      </c>
      <c r="B1000" t="s">
        <v>30</v>
      </c>
      <c r="C1000" t="s">
        <v>31</v>
      </c>
      <c r="D1000" t="s">
        <v>21</v>
      </c>
      <c r="E1000" t="s">
        <v>22</v>
      </c>
      <c r="F1000">
        <v>32</v>
      </c>
      <c r="G1000">
        <v>33.799999999999997</v>
      </c>
      <c r="H1000" t="s">
        <v>46</v>
      </c>
      <c r="I1000" t="s">
        <v>47</v>
      </c>
    </row>
    <row r="1001" spans="1:9" x14ac:dyDescent="0.35">
      <c r="A1001" s="1">
        <v>45325</v>
      </c>
      <c r="B1001" t="s">
        <v>30</v>
      </c>
      <c r="C1001" t="s">
        <v>31</v>
      </c>
      <c r="D1001" t="s">
        <v>24</v>
      </c>
      <c r="E1001" t="s">
        <v>25</v>
      </c>
      <c r="F1001">
        <v>50</v>
      </c>
      <c r="G1001">
        <v>52</v>
      </c>
      <c r="H1001" t="s">
        <v>46</v>
      </c>
      <c r="I1001" t="s">
        <v>47</v>
      </c>
    </row>
    <row r="1002" spans="1:9" x14ac:dyDescent="0.35">
      <c r="A1002" s="1">
        <v>45325</v>
      </c>
      <c r="B1002" t="s">
        <v>30</v>
      </c>
      <c r="C1002" t="s">
        <v>31</v>
      </c>
      <c r="D1002" t="s">
        <v>26</v>
      </c>
      <c r="E1002" t="s">
        <v>27</v>
      </c>
      <c r="F1002">
        <v>38</v>
      </c>
      <c r="G1002">
        <v>40.6</v>
      </c>
      <c r="H1002" t="s">
        <v>46</v>
      </c>
      <c r="I1002" t="s">
        <v>47</v>
      </c>
    </row>
    <row r="1003" spans="1:9" x14ac:dyDescent="0.35">
      <c r="A1003" s="1">
        <v>45325</v>
      </c>
      <c r="B1003" t="s">
        <v>30</v>
      </c>
      <c r="C1003" t="s">
        <v>31</v>
      </c>
      <c r="D1003" t="s">
        <v>28</v>
      </c>
      <c r="E1003" t="s">
        <v>29</v>
      </c>
      <c r="F1003">
        <v>32</v>
      </c>
      <c r="G1003">
        <v>32.700000000000003</v>
      </c>
      <c r="H1003" t="s">
        <v>46</v>
      </c>
      <c r="I1003" t="s">
        <v>47</v>
      </c>
    </row>
    <row r="1004" spans="1:9" x14ac:dyDescent="0.35">
      <c r="A1004" s="1">
        <v>45325</v>
      </c>
      <c r="B1004" t="s">
        <v>33</v>
      </c>
      <c r="C1004" t="s">
        <v>34</v>
      </c>
      <c r="D1004" t="s">
        <v>15</v>
      </c>
      <c r="E1004" t="s">
        <v>16</v>
      </c>
      <c r="F1004">
        <v>34</v>
      </c>
      <c r="G1004">
        <v>43</v>
      </c>
      <c r="H1004" t="s">
        <v>48</v>
      </c>
      <c r="I1004" t="s">
        <v>50</v>
      </c>
    </row>
    <row r="1005" spans="1:9" x14ac:dyDescent="0.35">
      <c r="A1005" s="1">
        <v>45325</v>
      </c>
      <c r="B1005" t="s">
        <v>33</v>
      </c>
      <c r="C1005" t="s">
        <v>34</v>
      </c>
      <c r="D1005" t="s">
        <v>18</v>
      </c>
      <c r="E1005" t="s">
        <v>19</v>
      </c>
      <c r="F1005">
        <v>38</v>
      </c>
      <c r="G1005">
        <v>39</v>
      </c>
      <c r="H1005" t="s">
        <v>46</v>
      </c>
      <c r="I1005" t="s">
        <v>47</v>
      </c>
    </row>
    <row r="1006" spans="1:9" x14ac:dyDescent="0.35">
      <c r="A1006" s="1">
        <v>45325</v>
      </c>
      <c r="B1006" t="s">
        <v>33</v>
      </c>
      <c r="C1006" t="s">
        <v>34</v>
      </c>
      <c r="D1006" t="s">
        <v>21</v>
      </c>
      <c r="E1006" t="s">
        <v>22</v>
      </c>
      <c r="F1006">
        <v>32</v>
      </c>
      <c r="G1006">
        <v>32.9</v>
      </c>
      <c r="H1006" t="s">
        <v>46</v>
      </c>
      <c r="I1006" t="s">
        <v>47</v>
      </c>
    </row>
    <row r="1007" spans="1:9" x14ac:dyDescent="0.35">
      <c r="A1007" s="1">
        <v>45325</v>
      </c>
      <c r="B1007" t="s">
        <v>33</v>
      </c>
      <c r="C1007" t="s">
        <v>34</v>
      </c>
      <c r="D1007" t="s">
        <v>24</v>
      </c>
      <c r="E1007" t="s">
        <v>25</v>
      </c>
      <c r="F1007">
        <v>50</v>
      </c>
      <c r="G1007">
        <v>52.3</v>
      </c>
      <c r="H1007" t="s">
        <v>46</v>
      </c>
      <c r="I1007" t="s">
        <v>47</v>
      </c>
    </row>
    <row r="1008" spans="1:9" x14ac:dyDescent="0.35">
      <c r="A1008" s="1">
        <v>45325</v>
      </c>
      <c r="B1008" t="s">
        <v>33</v>
      </c>
      <c r="C1008" t="s">
        <v>34</v>
      </c>
      <c r="D1008" t="s">
        <v>26</v>
      </c>
      <c r="E1008" t="s">
        <v>27</v>
      </c>
      <c r="F1008">
        <v>38</v>
      </c>
      <c r="G1008">
        <v>38.799999999999997</v>
      </c>
      <c r="H1008" t="s">
        <v>46</v>
      </c>
      <c r="I1008" t="s">
        <v>47</v>
      </c>
    </row>
    <row r="1009" spans="1:9" x14ac:dyDescent="0.35">
      <c r="A1009" s="1">
        <v>45325</v>
      </c>
      <c r="B1009" t="s">
        <v>33</v>
      </c>
      <c r="C1009" t="s">
        <v>34</v>
      </c>
      <c r="D1009" t="s">
        <v>28</v>
      </c>
      <c r="E1009" t="s">
        <v>29</v>
      </c>
      <c r="F1009">
        <v>32</v>
      </c>
      <c r="G1009">
        <v>33.700000000000003</v>
      </c>
      <c r="H1009" t="s">
        <v>46</v>
      </c>
      <c r="I1009" t="s">
        <v>47</v>
      </c>
    </row>
    <row r="1010" spans="1:9" x14ac:dyDescent="0.35">
      <c r="A1010" s="1">
        <v>45325</v>
      </c>
      <c r="B1010" t="s">
        <v>36</v>
      </c>
      <c r="C1010" t="s">
        <v>37</v>
      </c>
      <c r="D1010" t="s">
        <v>15</v>
      </c>
      <c r="E1010" t="s">
        <v>16</v>
      </c>
      <c r="F1010">
        <v>34</v>
      </c>
      <c r="G1010">
        <v>36.9</v>
      </c>
      <c r="H1010" t="s">
        <v>46</v>
      </c>
      <c r="I1010" t="s">
        <v>47</v>
      </c>
    </row>
    <row r="1011" spans="1:9" x14ac:dyDescent="0.35">
      <c r="A1011" s="1">
        <v>45325</v>
      </c>
      <c r="B1011" t="s">
        <v>36</v>
      </c>
      <c r="C1011" t="s">
        <v>37</v>
      </c>
      <c r="D1011" t="s">
        <v>18</v>
      </c>
      <c r="E1011" t="s">
        <v>19</v>
      </c>
      <c r="F1011">
        <v>38</v>
      </c>
      <c r="G1011">
        <v>37.799999999999997</v>
      </c>
      <c r="H1011" t="s">
        <v>46</v>
      </c>
      <c r="I1011" t="s">
        <v>47</v>
      </c>
    </row>
    <row r="1012" spans="1:9" x14ac:dyDescent="0.35">
      <c r="A1012" s="1">
        <v>45325</v>
      </c>
      <c r="B1012" t="s">
        <v>36</v>
      </c>
      <c r="C1012" t="s">
        <v>37</v>
      </c>
      <c r="D1012" t="s">
        <v>21</v>
      </c>
      <c r="E1012" t="s">
        <v>22</v>
      </c>
      <c r="F1012">
        <v>32</v>
      </c>
      <c r="G1012">
        <v>31.3</v>
      </c>
      <c r="H1012" t="s">
        <v>46</v>
      </c>
      <c r="I1012" t="s">
        <v>47</v>
      </c>
    </row>
    <row r="1013" spans="1:9" x14ac:dyDescent="0.35">
      <c r="A1013" s="1">
        <v>45325</v>
      </c>
      <c r="B1013" t="s">
        <v>36</v>
      </c>
      <c r="C1013" t="s">
        <v>37</v>
      </c>
      <c r="D1013" t="s">
        <v>24</v>
      </c>
      <c r="E1013" t="s">
        <v>25</v>
      </c>
      <c r="F1013">
        <v>50</v>
      </c>
      <c r="G1013">
        <v>49.7</v>
      </c>
      <c r="H1013" t="s">
        <v>46</v>
      </c>
      <c r="I1013" t="s">
        <v>47</v>
      </c>
    </row>
    <row r="1014" spans="1:9" x14ac:dyDescent="0.35">
      <c r="A1014" s="1">
        <v>45325</v>
      </c>
      <c r="B1014" t="s">
        <v>36</v>
      </c>
      <c r="C1014" t="s">
        <v>37</v>
      </c>
      <c r="D1014" t="s">
        <v>26</v>
      </c>
      <c r="E1014" t="s">
        <v>27</v>
      </c>
      <c r="F1014">
        <v>38</v>
      </c>
      <c r="G1014">
        <v>37.299999999999997</v>
      </c>
      <c r="H1014" t="s">
        <v>46</v>
      </c>
      <c r="I1014" t="s">
        <v>47</v>
      </c>
    </row>
    <row r="1015" spans="1:9" x14ac:dyDescent="0.35">
      <c r="A1015" s="1">
        <v>45325</v>
      </c>
      <c r="B1015" t="s">
        <v>36</v>
      </c>
      <c r="C1015" t="s">
        <v>37</v>
      </c>
      <c r="D1015" t="s">
        <v>28</v>
      </c>
      <c r="E1015" t="s">
        <v>29</v>
      </c>
      <c r="F1015">
        <v>32</v>
      </c>
      <c r="G1015">
        <v>38.9</v>
      </c>
      <c r="H1015" t="s">
        <v>48</v>
      </c>
      <c r="I1015" t="s">
        <v>50</v>
      </c>
    </row>
    <row r="1016" spans="1:9" x14ac:dyDescent="0.35">
      <c r="A1016" s="1">
        <v>45325</v>
      </c>
      <c r="B1016" t="s">
        <v>39</v>
      </c>
      <c r="C1016" t="s">
        <v>40</v>
      </c>
      <c r="D1016" t="s">
        <v>15</v>
      </c>
      <c r="E1016" t="s">
        <v>16</v>
      </c>
      <c r="F1016">
        <v>34</v>
      </c>
      <c r="G1016">
        <v>41.2</v>
      </c>
      <c r="H1016" t="s">
        <v>48</v>
      </c>
      <c r="I1016" t="s">
        <v>50</v>
      </c>
    </row>
    <row r="1017" spans="1:9" x14ac:dyDescent="0.35">
      <c r="A1017" s="1">
        <v>45325</v>
      </c>
      <c r="B1017" t="s">
        <v>39</v>
      </c>
      <c r="C1017" t="s">
        <v>40</v>
      </c>
      <c r="D1017" t="s">
        <v>18</v>
      </c>
      <c r="E1017" t="s">
        <v>19</v>
      </c>
      <c r="F1017">
        <v>38</v>
      </c>
      <c r="G1017">
        <v>40.799999999999997</v>
      </c>
      <c r="H1017" t="s">
        <v>46</v>
      </c>
      <c r="I1017" t="s">
        <v>47</v>
      </c>
    </row>
    <row r="1018" spans="1:9" x14ac:dyDescent="0.35">
      <c r="A1018" s="1">
        <v>45325</v>
      </c>
      <c r="B1018" t="s">
        <v>39</v>
      </c>
      <c r="C1018" t="s">
        <v>40</v>
      </c>
      <c r="D1018" t="s">
        <v>21</v>
      </c>
      <c r="E1018" t="s">
        <v>22</v>
      </c>
      <c r="F1018">
        <v>32</v>
      </c>
      <c r="G1018">
        <v>41.3</v>
      </c>
      <c r="H1018" t="s">
        <v>48</v>
      </c>
      <c r="I1018" t="s">
        <v>50</v>
      </c>
    </row>
    <row r="1019" spans="1:9" x14ac:dyDescent="0.35">
      <c r="A1019" s="1">
        <v>45325</v>
      </c>
      <c r="B1019" t="s">
        <v>39</v>
      </c>
      <c r="C1019" t="s">
        <v>40</v>
      </c>
      <c r="D1019" t="s">
        <v>24</v>
      </c>
      <c r="E1019" t="s">
        <v>25</v>
      </c>
      <c r="F1019">
        <v>50</v>
      </c>
      <c r="G1019">
        <v>52.7</v>
      </c>
      <c r="H1019" t="s">
        <v>46</v>
      </c>
      <c r="I1019" t="s">
        <v>47</v>
      </c>
    </row>
    <row r="1020" spans="1:9" x14ac:dyDescent="0.35">
      <c r="A1020" s="1">
        <v>45325</v>
      </c>
      <c r="B1020" t="s">
        <v>39</v>
      </c>
      <c r="C1020" t="s">
        <v>40</v>
      </c>
      <c r="D1020" t="s">
        <v>26</v>
      </c>
      <c r="E1020" t="s">
        <v>27</v>
      </c>
      <c r="F1020">
        <v>38</v>
      </c>
      <c r="G1020">
        <v>38.700000000000003</v>
      </c>
      <c r="H1020" t="s">
        <v>46</v>
      </c>
      <c r="I1020" t="s">
        <v>47</v>
      </c>
    </row>
    <row r="1021" spans="1:9" x14ac:dyDescent="0.35">
      <c r="A1021" s="1">
        <v>45325</v>
      </c>
      <c r="B1021" t="s">
        <v>39</v>
      </c>
      <c r="C1021" t="s">
        <v>40</v>
      </c>
      <c r="D1021" t="s">
        <v>28</v>
      </c>
      <c r="E1021" t="s">
        <v>29</v>
      </c>
      <c r="F1021">
        <v>32</v>
      </c>
      <c r="G1021">
        <v>31.1</v>
      </c>
      <c r="H1021" t="s">
        <v>46</v>
      </c>
      <c r="I1021" t="s">
        <v>47</v>
      </c>
    </row>
    <row r="1022" spans="1:9" x14ac:dyDescent="0.35">
      <c r="A1022" s="1">
        <v>45326</v>
      </c>
      <c r="B1022" t="s">
        <v>12</v>
      </c>
      <c r="C1022" t="s">
        <v>13</v>
      </c>
      <c r="D1022" t="s">
        <v>15</v>
      </c>
      <c r="E1022" t="s">
        <v>16</v>
      </c>
      <c r="F1022">
        <v>34</v>
      </c>
      <c r="G1022">
        <v>33.1</v>
      </c>
      <c r="H1022" t="s">
        <v>46</v>
      </c>
      <c r="I1022" t="s">
        <v>47</v>
      </c>
    </row>
    <row r="1023" spans="1:9" x14ac:dyDescent="0.35">
      <c r="A1023" s="1">
        <v>45326</v>
      </c>
      <c r="B1023" t="s">
        <v>12</v>
      </c>
      <c r="C1023" t="s">
        <v>13</v>
      </c>
      <c r="D1023" t="s">
        <v>18</v>
      </c>
      <c r="E1023" t="s">
        <v>19</v>
      </c>
      <c r="F1023">
        <v>38</v>
      </c>
      <c r="G1023">
        <v>40.299999999999997</v>
      </c>
      <c r="H1023" t="s">
        <v>46</v>
      </c>
      <c r="I1023" t="s">
        <v>47</v>
      </c>
    </row>
    <row r="1024" spans="1:9" x14ac:dyDescent="0.35">
      <c r="A1024" s="1">
        <v>45326</v>
      </c>
      <c r="B1024" t="s">
        <v>12</v>
      </c>
      <c r="C1024" t="s">
        <v>13</v>
      </c>
      <c r="D1024" t="s">
        <v>21</v>
      </c>
      <c r="E1024" t="s">
        <v>22</v>
      </c>
      <c r="F1024">
        <v>32</v>
      </c>
      <c r="G1024">
        <v>32.299999999999997</v>
      </c>
      <c r="H1024" t="s">
        <v>46</v>
      </c>
      <c r="I1024" t="s">
        <v>47</v>
      </c>
    </row>
    <row r="1025" spans="1:9" x14ac:dyDescent="0.35">
      <c r="A1025" s="1">
        <v>45326</v>
      </c>
      <c r="B1025" t="s">
        <v>12</v>
      </c>
      <c r="C1025" t="s">
        <v>13</v>
      </c>
      <c r="D1025" t="s">
        <v>24</v>
      </c>
      <c r="E1025" t="s">
        <v>25</v>
      </c>
      <c r="F1025">
        <v>50</v>
      </c>
      <c r="G1025">
        <v>51.6</v>
      </c>
      <c r="H1025" t="s">
        <v>46</v>
      </c>
      <c r="I1025" t="s">
        <v>47</v>
      </c>
    </row>
    <row r="1026" spans="1:9" x14ac:dyDescent="0.35">
      <c r="A1026" s="1">
        <v>45326</v>
      </c>
      <c r="B1026" t="s">
        <v>12</v>
      </c>
      <c r="C1026" t="s">
        <v>13</v>
      </c>
      <c r="D1026" t="s">
        <v>26</v>
      </c>
      <c r="E1026" t="s">
        <v>27</v>
      </c>
      <c r="F1026">
        <v>38</v>
      </c>
      <c r="G1026">
        <v>38.9</v>
      </c>
      <c r="H1026" t="s">
        <v>46</v>
      </c>
      <c r="I1026" t="s">
        <v>47</v>
      </c>
    </row>
    <row r="1027" spans="1:9" x14ac:dyDescent="0.35">
      <c r="A1027" s="1">
        <v>45326</v>
      </c>
      <c r="B1027" t="s">
        <v>12</v>
      </c>
      <c r="C1027" t="s">
        <v>13</v>
      </c>
      <c r="D1027" t="s">
        <v>28</v>
      </c>
      <c r="E1027" t="s">
        <v>29</v>
      </c>
      <c r="F1027">
        <v>32</v>
      </c>
      <c r="G1027">
        <v>33.1</v>
      </c>
      <c r="H1027" t="s">
        <v>46</v>
      </c>
      <c r="I1027" t="s">
        <v>47</v>
      </c>
    </row>
    <row r="1028" spans="1:9" x14ac:dyDescent="0.35">
      <c r="A1028" s="1">
        <v>45326</v>
      </c>
      <c r="B1028" t="s">
        <v>30</v>
      </c>
      <c r="C1028" t="s">
        <v>31</v>
      </c>
      <c r="D1028" t="s">
        <v>15</v>
      </c>
      <c r="E1028" t="s">
        <v>16</v>
      </c>
      <c r="F1028">
        <v>34</v>
      </c>
      <c r="G1028">
        <v>34.799999999999997</v>
      </c>
      <c r="H1028" t="s">
        <v>46</v>
      </c>
      <c r="I1028" t="s">
        <v>47</v>
      </c>
    </row>
    <row r="1029" spans="1:9" x14ac:dyDescent="0.35">
      <c r="A1029" s="1">
        <v>45326</v>
      </c>
      <c r="B1029" t="s">
        <v>30</v>
      </c>
      <c r="C1029" t="s">
        <v>31</v>
      </c>
      <c r="D1029" t="s">
        <v>18</v>
      </c>
      <c r="E1029" t="s">
        <v>19</v>
      </c>
      <c r="F1029">
        <v>38</v>
      </c>
      <c r="G1029">
        <v>40.6</v>
      </c>
      <c r="H1029" t="s">
        <v>46</v>
      </c>
      <c r="I1029" t="s">
        <v>47</v>
      </c>
    </row>
    <row r="1030" spans="1:9" x14ac:dyDescent="0.35">
      <c r="A1030" s="1">
        <v>45326</v>
      </c>
      <c r="B1030" t="s">
        <v>30</v>
      </c>
      <c r="C1030" t="s">
        <v>31</v>
      </c>
      <c r="D1030" t="s">
        <v>21</v>
      </c>
      <c r="E1030" t="s">
        <v>22</v>
      </c>
      <c r="F1030">
        <v>32</v>
      </c>
      <c r="G1030">
        <v>34.200000000000003</v>
      </c>
      <c r="H1030" t="s">
        <v>46</v>
      </c>
      <c r="I1030" t="s">
        <v>47</v>
      </c>
    </row>
    <row r="1031" spans="1:9" x14ac:dyDescent="0.35">
      <c r="A1031" s="1">
        <v>45326</v>
      </c>
      <c r="B1031" t="s">
        <v>30</v>
      </c>
      <c r="C1031" t="s">
        <v>31</v>
      </c>
      <c r="D1031" t="s">
        <v>24</v>
      </c>
      <c r="E1031" t="s">
        <v>25</v>
      </c>
      <c r="F1031">
        <v>50</v>
      </c>
      <c r="G1031">
        <v>50.5</v>
      </c>
      <c r="H1031" t="s">
        <v>46</v>
      </c>
      <c r="I1031" t="s">
        <v>47</v>
      </c>
    </row>
    <row r="1032" spans="1:9" x14ac:dyDescent="0.35">
      <c r="A1032" s="1">
        <v>45326</v>
      </c>
      <c r="B1032" t="s">
        <v>30</v>
      </c>
      <c r="C1032" t="s">
        <v>31</v>
      </c>
      <c r="D1032" t="s">
        <v>26</v>
      </c>
      <c r="E1032" t="s">
        <v>27</v>
      </c>
      <c r="F1032">
        <v>38</v>
      </c>
      <c r="G1032">
        <v>40.4</v>
      </c>
      <c r="H1032" t="s">
        <v>46</v>
      </c>
      <c r="I1032" t="s">
        <v>47</v>
      </c>
    </row>
    <row r="1033" spans="1:9" x14ac:dyDescent="0.35">
      <c r="A1033" s="1">
        <v>45326</v>
      </c>
      <c r="B1033" t="s">
        <v>30</v>
      </c>
      <c r="C1033" t="s">
        <v>31</v>
      </c>
      <c r="D1033" t="s">
        <v>28</v>
      </c>
      <c r="E1033" t="s">
        <v>29</v>
      </c>
      <c r="F1033">
        <v>32</v>
      </c>
      <c r="G1033">
        <v>40.299999999999997</v>
      </c>
      <c r="H1033" t="s">
        <v>48</v>
      </c>
      <c r="I1033" t="s">
        <v>50</v>
      </c>
    </row>
    <row r="1034" spans="1:9" x14ac:dyDescent="0.35">
      <c r="A1034" s="1">
        <v>45326</v>
      </c>
      <c r="B1034" t="s">
        <v>33</v>
      </c>
      <c r="C1034" t="s">
        <v>34</v>
      </c>
      <c r="D1034" t="s">
        <v>15</v>
      </c>
      <c r="E1034" t="s">
        <v>16</v>
      </c>
      <c r="F1034">
        <v>34</v>
      </c>
      <c r="G1034">
        <v>35.5</v>
      </c>
      <c r="H1034" t="s">
        <v>46</v>
      </c>
      <c r="I1034" t="s">
        <v>47</v>
      </c>
    </row>
    <row r="1035" spans="1:9" x14ac:dyDescent="0.35">
      <c r="A1035" s="1">
        <v>45326</v>
      </c>
      <c r="B1035" t="s">
        <v>33</v>
      </c>
      <c r="C1035" t="s">
        <v>34</v>
      </c>
      <c r="D1035" t="s">
        <v>18</v>
      </c>
      <c r="E1035" t="s">
        <v>19</v>
      </c>
      <c r="F1035">
        <v>38</v>
      </c>
      <c r="G1035">
        <v>48.3</v>
      </c>
      <c r="H1035" t="s">
        <v>48</v>
      </c>
      <c r="I1035" t="s">
        <v>49</v>
      </c>
    </row>
    <row r="1036" spans="1:9" x14ac:dyDescent="0.35">
      <c r="A1036" s="1">
        <v>45326</v>
      </c>
      <c r="B1036" t="s">
        <v>33</v>
      </c>
      <c r="C1036" t="s">
        <v>34</v>
      </c>
      <c r="D1036" t="s">
        <v>21</v>
      </c>
      <c r="E1036" t="s">
        <v>22</v>
      </c>
      <c r="F1036">
        <v>32</v>
      </c>
      <c r="G1036">
        <v>31.7</v>
      </c>
      <c r="H1036" t="s">
        <v>46</v>
      </c>
      <c r="I1036" t="s">
        <v>47</v>
      </c>
    </row>
    <row r="1037" spans="1:9" x14ac:dyDescent="0.35">
      <c r="A1037" s="1">
        <v>45326</v>
      </c>
      <c r="B1037" t="s">
        <v>33</v>
      </c>
      <c r="C1037" t="s">
        <v>34</v>
      </c>
      <c r="D1037" t="s">
        <v>24</v>
      </c>
      <c r="E1037" t="s">
        <v>25</v>
      </c>
      <c r="F1037">
        <v>50</v>
      </c>
      <c r="G1037">
        <v>52.6</v>
      </c>
      <c r="H1037" t="s">
        <v>46</v>
      </c>
      <c r="I1037" t="s">
        <v>47</v>
      </c>
    </row>
    <row r="1038" spans="1:9" x14ac:dyDescent="0.35">
      <c r="A1038" s="1">
        <v>45326</v>
      </c>
      <c r="B1038" t="s">
        <v>33</v>
      </c>
      <c r="C1038" t="s">
        <v>34</v>
      </c>
      <c r="D1038" t="s">
        <v>26</v>
      </c>
      <c r="E1038" t="s">
        <v>27</v>
      </c>
      <c r="F1038">
        <v>38</v>
      </c>
      <c r="G1038">
        <v>37.6</v>
      </c>
      <c r="H1038" t="s">
        <v>46</v>
      </c>
      <c r="I1038" t="s">
        <v>47</v>
      </c>
    </row>
    <row r="1039" spans="1:9" x14ac:dyDescent="0.35">
      <c r="A1039" s="1">
        <v>45326</v>
      </c>
      <c r="B1039" t="s">
        <v>33</v>
      </c>
      <c r="C1039" t="s">
        <v>34</v>
      </c>
      <c r="D1039" t="s">
        <v>28</v>
      </c>
      <c r="E1039" t="s">
        <v>29</v>
      </c>
      <c r="F1039">
        <v>32</v>
      </c>
      <c r="G1039">
        <v>46</v>
      </c>
      <c r="H1039" t="s">
        <v>48</v>
      </c>
      <c r="I1039" t="s">
        <v>49</v>
      </c>
    </row>
    <row r="1040" spans="1:9" x14ac:dyDescent="0.35">
      <c r="A1040" s="1">
        <v>45326</v>
      </c>
      <c r="B1040" t="s">
        <v>36</v>
      </c>
      <c r="C1040" t="s">
        <v>37</v>
      </c>
      <c r="D1040" t="s">
        <v>15</v>
      </c>
      <c r="E1040" t="s">
        <v>16</v>
      </c>
      <c r="F1040">
        <v>34</v>
      </c>
      <c r="G1040">
        <v>34.799999999999997</v>
      </c>
      <c r="H1040" t="s">
        <v>46</v>
      </c>
      <c r="I1040" t="s">
        <v>47</v>
      </c>
    </row>
    <row r="1041" spans="1:9" x14ac:dyDescent="0.35">
      <c r="A1041" s="1">
        <v>45326</v>
      </c>
      <c r="B1041" t="s">
        <v>36</v>
      </c>
      <c r="C1041" t="s">
        <v>37</v>
      </c>
      <c r="D1041" t="s">
        <v>18</v>
      </c>
      <c r="E1041" t="s">
        <v>19</v>
      </c>
      <c r="F1041">
        <v>38</v>
      </c>
      <c r="G1041">
        <v>37.799999999999997</v>
      </c>
      <c r="H1041" t="s">
        <v>46</v>
      </c>
      <c r="I1041" t="s">
        <v>47</v>
      </c>
    </row>
    <row r="1042" spans="1:9" x14ac:dyDescent="0.35">
      <c r="A1042" s="1">
        <v>45326</v>
      </c>
      <c r="B1042" t="s">
        <v>36</v>
      </c>
      <c r="C1042" t="s">
        <v>37</v>
      </c>
      <c r="D1042" t="s">
        <v>21</v>
      </c>
      <c r="E1042" t="s">
        <v>22</v>
      </c>
      <c r="F1042">
        <v>32</v>
      </c>
      <c r="G1042">
        <v>33.700000000000003</v>
      </c>
      <c r="H1042" t="s">
        <v>46</v>
      </c>
      <c r="I1042" t="s">
        <v>47</v>
      </c>
    </row>
    <row r="1043" spans="1:9" x14ac:dyDescent="0.35">
      <c r="A1043" s="1">
        <v>45326</v>
      </c>
      <c r="B1043" t="s">
        <v>36</v>
      </c>
      <c r="C1043" t="s">
        <v>37</v>
      </c>
      <c r="D1043" t="s">
        <v>24</v>
      </c>
      <c r="E1043" t="s">
        <v>25</v>
      </c>
      <c r="F1043">
        <v>50</v>
      </c>
      <c r="G1043">
        <v>49.6</v>
      </c>
      <c r="H1043" t="s">
        <v>46</v>
      </c>
      <c r="I1043" t="s">
        <v>47</v>
      </c>
    </row>
    <row r="1044" spans="1:9" x14ac:dyDescent="0.35">
      <c r="A1044" s="1">
        <v>45326</v>
      </c>
      <c r="B1044" t="s">
        <v>36</v>
      </c>
      <c r="C1044" t="s">
        <v>37</v>
      </c>
      <c r="D1044" t="s">
        <v>26</v>
      </c>
      <c r="E1044" t="s">
        <v>27</v>
      </c>
      <c r="F1044">
        <v>38</v>
      </c>
      <c r="G1044">
        <v>40.9</v>
      </c>
      <c r="H1044" t="s">
        <v>46</v>
      </c>
      <c r="I1044" t="s">
        <v>47</v>
      </c>
    </row>
    <row r="1045" spans="1:9" x14ac:dyDescent="0.35">
      <c r="A1045" s="1">
        <v>45326</v>
      </c>
      <c r="B1045" t="s">
        <v>36</v>
      </c>
      <c r="C1045" t="s">
        <v>37</v>
      </c>
      <c r="D1045" t="s">
        <v>28</v>
      </c>
      <c r="E1045" t="s">
        <v>29</v>
      </c>
      <c r="F1045">
        <v>32</v>
      </c>
      <c r="G1045">
        <v>31.5</v>
      </c>
      <c r="H1045" t="s">
        <v>46</v>
      </c>
      <c r="I1045" t="s">
        <v>47</v>
      </c>
    </row>
    <row r="1046" spans="1:9" x14ac:dyDescent="0.35">
      <c r="A1046" s="1">
        <v>45326</v>
      </c>
      <c r="B1046" t="s">
        <v>39</v>
      </c>
      <c r="C1046" t="s">
        <v>40</v>
      </c>
      <c r="D1046" t="s">
        <v>15</v>
      </c>
      <c r="E1046" t="s">
        <v>16</v>
      </c>
      <c r="F1046">
        <v>34</v>
      </c>
      <c r="G1046">
        <v>47.4</v>
      </c>
      <c r="H1046" t="s">
        <v>48</v>
      </c>
      <c r="I1046" t="s">
        <v>49</v>
      </c>
    </row>
    <row r="1047" spans="1:9" x14ac:dyDescent="0.35">
      <c r="A1047" s="1">
        <v>45326</v>
      </c>
      <c r="B1047" t="s">
        <v>39</v>
      </c>
      <c r="C1047" t="s">
        <v>40</v>
      </c>
      <c r="D1047" t="s">
        <v>18</v>
      </c>
      <c r="E1047" t="s">
        <v>19</v>
      </c>
      <c r="F1047">
        <v>38</v>
      </c>
      <c r="G1047">
        <v>40.799999999999997</v>
      </c>
      <c r="H1047" t="s">
        <v>46</v>
      </c>
      <c r="I1047" t="s">
        <v>47</v>
      </c>
    </row>
    <row r="1048" spans="1:9" x14ac:dyDescent="0.35">
      <c r="A1048" s="1">
        <v>45326</v>
      </c>
      <c r="B1048" t="s">
        <v>39</v>
      </c>
      <c r="C1048" t="s">
        <v>40</v>
      </c>
      <c r="D1048" t="s">
        <v>21</v>
      </c>
      <c r="E1048" t="s">
        <v>22</v>
      </c>
      <c r="F1048">
        <v>32</v>
      </c>
      <c r="G1048">
        <v>31.6</v>
      </c>
      <c r="H1048" t="s">
        <v>46</v>
      </c>
      <c r="I1048" t="s">
        <v>47</v>
      </c>
    </row>
    <row r="1049" spans="1:9" x14ac:dyDescent="0.35">
      <c r="A1049" s="1">
        <v>45326</v>
      </c>
      <c r="B1049" t="s">
        <v>39</v>
      </c>
      <c r="C1049" t="s">
        <v>40</v>
      </c>
      <c r="D1049" t="s">
        <v>24</v>
      </c>
      <c r="E1049" t="s">
        <v>25</v>
      </c>
      <c r="F1049">
        <v>50</v>
      </c>
      <c r="G1049">
        <v>51.2</v>
      </c>
      <c r="H1049" t="s">
        <v>46</v>
      </c>
      <c r="I1049" t="s">
        <v>47</v>
      </c>
    </row>
    <row r="1050" spans="1:9" x14ac:dyDescent="0.35">
      <c r="A1050" s="1">
        <v>45326</v>
      </c>
      <c r="B1050" t="s">
        <v>39</v>
      </c>
      <c r="C1050" t="s">
        <v>40</v>
      </c>
      <c r="D1050" t="s">
        <v>26</v>
      </c>
      <c r="E1050" t="s">
        <v>27</v>
      </c>
      <c r="F1050">
        <v>38</v>
      </c>
      <c r="G1050">
        <v>39.6</v>
      </c>
      <c r="H1050" t="s">
        <v>46</v>
      </c>
      <c r="I1050" t="s">
        <v>47</v>
      </c>
    </row>
    <row r="1051" spans="1:9" x14ac:dyDescent="0.35">
      <c r="A1051" s="1">
        <v>45326</v>
      </c>
      <c r="B1051" t="s">
        <v>39</v>
      </c>
      <c r="C1051" t="s">
        <v>40</v>
      </c>
      <c r="D1051" t="s">
        <v>28</v>
      </c>
      <c r="E1051" t="s">
        <v>29</v>
      </c>
      <c r="F1051">
        <v>32</v>
      </c>
      <c r="G1051">
        <v>34.6</v>
      </c>
      <c r="H1051" t="s">
        <v>46</v>
      </c>
      <c r="I1051" t="s">
        <v>47</v>
      </c>
    </row>
    <row r="1052" spans="1:9" x14ac:dyDescent="0.35">
      <c r="A1052" s="1">
        <v>45327</v>
      </c>
      <c r="B1052" t="s">
        <v>12</v>
      </c>
      <c r="C1052" t="s">
        <v>13</v>
      </c>
      <c r="D1052" t="s">
        <v>15</v>
      </c>
      <c r="E1052" t="s">
        <v>16</v>
      </c>
      <c r="F1052">
        <v>34</v>
      </c>
      <c r="G1052">
        <v>36</v>
      </c>
      <c r="H1052" t="s">
        <v>46</v>
      </c>
      <c r="I1052" t="s">
        <v>47</v>
      </c>
    </row>
    <row r="1053" spans="1:9" x14ac:dyDescent="0.35">
      <c r="A1053" s="1">
        <v>45327</v>
      </c>
      <c r="B1053" t="s">
        <v>12</v>
      </c>
      <c r="C1053" t="s">
        <v>13</v>
      </c>
      <c r="D1053" t="s">
        <v>18</v>
      </c>
      <c r="E1053" t="s">
        <v>19</v>
      </c>
      <c r="F1053">
        <v>38</v>
      </c>
      <c r="G1053">
        <v>39.700000000000003</v>
      </c>
      <c r="H1053" t="s">
        <v>46</v>
      </c>
      <c r="I1053" t="s">
        <v>47</v>
      </c>
    </row>
    <row r="1054" spans="1:9" x14ac:dyDescent="0.35">
      <c r="A1054" s="1">
        <v>45327</v>
      </c>
      <c r="B1054" t="s">
        <v>12</v>
      </c>
      <c r="C1054" t="s">
        <v>13</v>
      </c>
      <c r="D1054" t="s">
        <v>21</v>
      </c>
      <c r="E1054" t="s">
        <v>22</v>
      </c>
      <c r="F1054">
        <v>32</v>
      </c>
      <c r="G1054">
        <v>33.9</v>
      </c>
      <c r="H1054" t="s">
        <v>46</v>
      </c>
      <c r="I1054" t="s">
        <v>47</v>
      </c>
    </row>
    <row r="1055" spans="1:9" x14ac:dyDescent="0.35">
      <c r="A1055" s="1">
        <v>45327</v>
      </c>
      <c r="B1055" t="s">
        <v>12</v>
      </c>
      <c r="C1055" t="s">
        <v>13</v>
      </c>
      <c r="D1055" t="s">
        <v>24</v>
      </c>
      <c r="E1055" t="s">
        <v>25</v>
      </c>
      <c r="F1055">
        <v>50</v>
      </c>
      <c r="G1055">
        <v>50.4</v>
      </c>
      <c r="H1055" t="s">
        <v>46</v>
      </c>
      <c r="I1055" t="s">
        <v>47</v>
      </c>
    </row>
    <row r="1056" spans="1:9" x14ac:dyDescent="0.35">
      <c r="A1056" s="1">
        <v>45327</v>
      </c>
      <c r="B1056" t="s">
        <v>12</v>
      </c>
      <c r="C1056" t="s">
        <v>13</v>
      </c>
      <c r="D1056" t="s">
        <v>26</v>
      </c>
      <c r="E1056" t="s">
        <v>27</v>
      </c>
      <c r="F1056">
        <v>38</v>
      </c>
      <c r="G1056">
        <v>47.8</v>
      </c>
      <c r="H1056" t="s">
        <v>48</v>
      </c>
      <c r="I1056" t="s">
        <v>50</v>
      </c>
    </row>
    <row r="1057" spans="1:9" x14ac:dyDescent="0.35">
      <c r="A1057" s="1">
        <v>45327</v>
      </c>
      <c r="B1057" t="s">
        <v>12</v>
      </c>
      <c r="C1057" t="s">
        <v>13</v>
      </c>
      <c r="D1057" t="s">
        <v>28</v>
      </c>
      <c r="E1057" t="s">
        <v>29</v>
      </c>
      <c r="F1057">
        <v>32</v>
      </c>
      <c r="G1057">
        <v>43.4</v>
      </c>
      <c r="H1057" t="s">
        <v>48</v>
      </c>
      <c r="I1057" t="s">
        <v>49</v>
      </c>
    </row>
    <row r="1058" spans="1:9" x14ac:dyDescent="0.35">
      <c r="A1058" s="1">
        <v>45327</v>
      </c>
      <c r="B1058" t="s">
        <v>30</v>
      </c>
      <c r="C1058" t="s">
        <v>31</v>
      </c>
      <c r="D1058" t="s">
        <v>15</v>
      </c>
      <c r="E1058" t="s">
        <v>16</v>
      </c>
      <c r="F1058">
        <v>34</v>
      </c>
      <c r="G1058">
        <v>40.200000000000003</v>
      </c>
      <c r="H1058" t="s">
        <v>48</v>
      </c>
      <c r="I1058" t="s">
        <v>50</v>
      </c>
    </row>
    <row r="1059" spans="1:9" x14ac:dyDescent="0.35">
      <c r="A1059" s="1">
        <v>45327</v>
      </c>
      <c r="B1059" t="s">
        <v>30</v>
      </c>
      <c r="C1059" t="s">
        <v>31</v>
      </c>
      <c r="D1059" t="s">
        <v>18</v>
      </c>
      <c r="E1059" t="s">
        <v>19</v>
      </c>
      <c r="F1059">
        <v>38</v>
      </c>
      <c r="G1059">
        <v>37.9</v>
      </c>
      <c r="H1059" t="s">
        <v>46</v>
      </c>
      <c r="I1059" t="s">
        <v>47</v>
      </c>
    </row>
    <row r="1060" spans="1:9" x14ac:dyDescent="0.35">
      <c r="A1060" s="1">
        <v>45327</v>
      </c>
      <c r="B1060" t="s">
        <v>30</v>
      </c>
      <c r="C1060" t="s">
        <v>31</v>
      </c>
      <c r="D1060" t="s">
        <v>21</v>
      </c>
      <c r="E1060" t="s">
        <v>22</v>
      </c>
      <c r="F1060">
        <v>32</v>
      </c>
      <c r="G1060">
        <v>32.299999999999997</v>
      </c>
      <c r="H1060" t="s">
        <v>46</v>
      </c>
      <c r="I1060" t="s">
        <v>47</v>
      </c>
    </row>
    <row r="1061" spans="1:9" x14ac:dyDescent="0.35">
      <c r="A1061" s="1">
        <v>45327</v>
      </c>
      <c r="B1061" t="s">
        <v>30</v>
      </c>
      <c r="C1061" t="s">
        <v>31</v>
      </c>
      <c r="D1061" t="s">
        <v>24</v>
      </c>
      <c r="E1061" t="s">
        <v>25</v>
      </c>
      <c r="F1061">
        <v>50</v>
      </c>
      <c r="G1061">
        <v>49.8</v>
      </c>
      <c r="H1061" t="s">
        <v>46</v>
      </c>
      <c r="I1061" t="s">
        <v>47</v>
      </c>
    </row>
    <row r="1062" spans="1:9" x14ac:dyDescent="0.35">
      <c r="A1062" s="1">
        <v>45327</v>
      </c>
      <c r="B1062" t="s">
        <v>30</v>
      </c>
      <c r="C1062" t="s">
        <v>31</v>
      </c>
      <c r="D1062" t="s">
        <v>26</v>
      </c>
      <c r="E1062" t="s">
        <v>27</v>
      </c>
      <c r="F1062">
        <v>38</v>
      </c>
      <c r="G1062">
        <v>40.1</v>
      </c>
      <c r="H1062" t="s">
        <v>46</v>
      </c>
      <c r="I1062" t="s">
        <v>47</v>
      </c>
    </row>
    <row r="1063" spans="1:9" x14ac:dyDescent="0.35">
      <c r="A1063" s="1">
        <v>45327</v>
      </c>
      <c r="B1063" t="s">
        <v>30</v>
      </c>
      <c r="C1063" t="s">
        <v>31</v>
      </c>
      <c r="D1063" t="s">
        <v>28</v>
      </c>
      <c r="E1063" t="s">
        <v>29</v>
      </c>
      <c r="F1063">
        <v>32</v>
      </c>
      <c r="G1063">
        <v>31.8</v>
      </c>
      <c r="H1063" t="s">
        <v>46</v>
      </c>
      <c r="I1063" t="s">
        <v>47</v>
      </c>
    </row>
    <row r="1064" spans="1:9" x14ac:dyDescent="0.35">
      <c r="A1064" s="1">
        <v>45327</v>
      </c>
      <c r="B1064" t="s">
        <v>33</v>
      </c>
      <c r="C1064" t="s">
        <v>34</v>
      </c>
      <c r="D1064" t="s">
        <v>15</v>
      </c>
      <c r="E1064" t="s">
        <v>16</v>
      </c>
      <c r="F1064">
        <v>34</v>
      </c>
      <c r="G1064">
        <v>46.8</v>
      </c>
      <c r="H1064" t="s">
        <v>48</v>
      </c>
      <c r="I1064" t="s">
        <v>49</v>
      </c>
    </row>
    <row r="1065" spans="1:9" x14ac:dyDescent="0.35">
      <c r="A1065" s="1">
        <v>45327</v>
      </c>
      <c r="B1065" t="s">
        <v>33</v>
      </c>
      <c r="C1065" t="s">
        <v>34</v>
      </c>
      <c r="D1065" t="s">
        <v>18</v>
      </c>
      <c r="E1065" t="s">
        <v>19</v>
      </c>
      <c r="F1065">
        <v>38</v>
      </c>
      <c r="G1065">
        <v>40.799999999999997</v>
      </c>
      <c r="H1065" t="s">
        <v>46</v>
      </c>
      <c r="I1065" t="s">
        <v>47</v>
      </c>
    </row>
    <row r="1066" spans="1:9" x14ac:dyDescent="0.35">
      <c r="A1066" s="1">
        <v>45327</v>
      </c>
      <c r="B1066" t="s">
        <v>33</v>
      </c>
      <c r="C1066" t="s">
        <v>34</v>
      </c>
      <c r="D1066" t="s">
        <v>21</v>
      </c>
      <c r="E1066" t="s">
        <v>22</v>
      </c>
      <c r="F1066">
        <v>32</v>
      </c>
      <c r="G1066">
        <v>32.6</v>
      </c>
      <c r="H1066" t="s">
        <v>46</v>
      </c>
      <c r="I1066" t="s">
        <v>47</v>
      </c>
    </row>
    <row r="1067" spans="1:9" x14ac:dyDescent="0.35">
      <c r="A1067" s="1">
        <v>45327</v>
      </c>
      <c r="B1067" t="s">
        <v>33</v>
      </c>
      <c r="C1067" t="s">
        <v>34</v>
      </c>
      <c r="D1067" t="s">
        <v>24</v>
      </c>
      <c r="E1067" t="s">
        <v>25</v>
      </c>
      <c r="F1067">
        <v>50</v>
      </c>
      <c r="G1067">
        <v>51.4</v>
      </c>
      <c r="H1067" t="s">
        <v>46</v>
      </c>
      <c r="I1067" t="s">
        <v>47</v>
      </c>
    </row>
    <row r="1068" spans="1:9" x14ac:dyDescent="0.35">
      <c r="A1068" s="1">
        <v>45327</v>
      </c>
      <c r="B1068" t="s">
        <v>33</v>
      </c>
      <c r="C1068" t="s">
        <v>34</v>
      </c>
      <c r="D1068" t="s">
        <v>26</v>
      </c>
      <c r="E1068" t="s">
        <v>27</v>
      </c>
      <c r="F1068">
        <v>38</v>
      </c>
      <c r="G1068">
        <v>37.200000000000003</v>
      </c>
      <c r="H1068" t="s">
        <v>46</v>
      </c>
      <c r="I1068" t="s">
        <v>47</v>
      </c>
    </row>
    <row r="1069" spans="1:9" x14ac:dyDescent="0.35">
      <c r="A1069" s="1">
        <v>45327</v>
      </c>
      <c r="B1069" t="s">
        <v>33</v>
      </c>
      <c r="C1069" t="s">
        <v>34</v>
      </c>
      <c r="D1069" t="s">
        <v>28</v>
      </c>
      <c r="E1069" t="s">
        <v>29</v>
      </c>
      <c r="F1069">
        <v>32</v>
      </c>
      <c r="G1069">
        <v>32.6</v>
      </c>
      <c r="H1069" t="s">
        <v>46</v>
      </c>
      <c r="I1069" t="s">
        <v>47</v>
      </c>
    </row>
    <row r="1070" spans="1:9" x14ac:dyDescent="0.35">
      <c r="A1070" s="1">
        <v>45327</v>
      </c>
      <c r="B1070" t="s">
        <v>36</v>
      </c>
      <c r="C1070" t="s">
        <v>37</v>
      </c>
      <c r="D1070" t="s">
        <v>15</v>
      </c>
      <c r="E1070" t="s">
        <v>16</v>
      </c>
      <c r="F1070">
        <v>34</v>
      </c>
      <c r="G1070">
        <v>34.700000000000003</v>
      </c>
      <c r="H1070" t="s">
        <v>46</v>
      </c>
      <c r="I1070" t="s">
        <v>47</v>
      </c>
    </row>
    <row r="1071" spans="1:9" x14ac:dyDescent="0.35">
      <c r="A1071" s="1">
        <v>45327</v>
      </c>
      <c r="B1071" t="s">
        <v>36</v>
      </c>
      <c r="C1071" t="s">
        <v>37</v>
      </c>
      <c r="D1071" t="s">
        <v>18</v>
      </c>
      <c r="E1071" t="s">
        <v>19</v>
      </c>
      <c r="F1071">
        <v>38</v>
      </c>
      <c r="G1071">
        <v>37</v>
      </c>
      <c r="H1071" t="s">
        <v>46</v>
      </c>
      <c r="I1071" t="s">
        <v>47</v>
      </c>
    </row>
    <row r="1072" spans="1:9" x14ac:dyDescent="0.35">
      <c r="A1072" s="1">
        <v>45327</v>
      </c>
      <c r="B1072" t="s">
        <v>36</v>
      </c>
      <c r="C1072" t="s">
        <v>37</v>
      </c>
      <c r="D1072" t="s">
        <v>21</v>
      </c>
      <c r="E1072" t="s">
        <v>22</v>
      </c>
      <c r="F1072">
        <v>32</v>
      </c>
      <c r="G1072">
        <v>32.200000000000003</v>
      </c>
      <c r="H1072" t="s">
        <v>46</v>
      </c>
      <c r="I1072" t="s">
        <v>47</v>
      </c>
    </row>
    <row r="1073" spans="1:9" x14ac:dyDescent="0.35">
      <c r="A1073" s="1">
        <v>45327</v>
      </c>
      <c r="B1073" t="s">
        <v>36</v>
      </c>
      <c r="C1073" t="s">
        <v>37</v>
      </c>
      <c r="D1073" t="s">
        <v>24</v>
      </c>
      <c r="E1073" t="s">
        <v>25</v>
      </c>
      <c r="F1073">
        <v>50</v>
      </c>
      <c r="G1073">
        <v>51.2</v>
      </c>
      <c r="H1073" t="s">
        <v>46</v>
      </c>
      <c r="I1073" t="s">
        <v>47</v>
      </c>
    </row>
    <row r="1074" spans="1:9" x14ac:dyDescent="0.35">
      <c r="A1074" s="1">
        <v>45327</v>
      </c>
      <c r="B1074" t="s">
        <v>36</v>
      </c>
      <c r="C1074" t="s">
        <v>37</v>
      </c>
      <c r="D1074" t="s">
        <v>26</v>
      </c>
      <c r="E1074" t="s">
        <v>27</v>
      </c>
      <c r="F1074">
        <v>38</v>
      </c>
      <c r="G1074">
        <v>40.6</v>
      </c>
      <c r="H1074" t="s">
        <v>46</v>
      </c>
      <c r="I1074" t="s">
        <v>47</v>
      </c>
    </row>
    <row r="1075" spans="1:9" x14ac:dyDescent="0.35">
      <c r="A1075" s="1">
        <v>45327</v>
      </c>
      <c r="B1075" t="s">
        <v>36</v>
      </c>
      <c r="C1075" t="s">
        <v>37</v>
      </c>
      <c r="D1075" t="s">
        <v>28</v>
      </c>
      <c r="E1075" t="s">
        <v>29</v>
      </c>
      <c r="F1075">
        <v>32</v>
      </c>
      <c r="G1075">
        <v>32.700000000000003</v>
      </c>
      <c r="H1075" t="s">
        <v>46</v>
      </c>
      <c r="I1075" t="s">
        <v>47</v>
      </c>
    </row>
    <row r="1076" spans="1:9" x14ac:dyDescent="0.35">
      <c r="A1076" s="1">
        <v>45327</v>
      </c>
      <c r="B1076" t="s">
        <v>39</v>
      </c>
      <c r="C1076" t="s">
        <v>40</v>
      </c>
      <c r="D1076" t="s">
        <v>15</v>
      </c>
      <c r="E1076" t="s">
        <v>16</v>
      </c>
      <c r="F1076">
        <v>34</v>
      </c>
      <c r="G1076">
        <v>33.700000000000003</v>
      </c>
      <c r="H1076" t="s">
        <v>46</v>
      </c>
      <c r="I1076" t="s">
        <v>47</v>
      </c>
    </row>
    <row r="1077" spans="1:9" x14ac:dyDescent="0.35">
      <c r="A1077" s="1">
        <v>45327</v>
      </c>
      <c r="B1077" t="s">
        <v>39</v>
      </c>
      <c r="C1077" t="s">
        <v>40</v>
      </c>
      <c r="D1077" t="s">
        <v>18</v>
      </c>
      <c r="E1077" t="s">
        <v>19</v>
      </c>
      <c r="F1077">
        <v>38</v>
      </c>
      <c r="G1077">
        <v>40.6</v>
      </c>
      <c r="H1077" t="s">
        <v>46</v>
      </c>
      <c r="I1077" t="s">
        <v>47</v>
      </c>
    </row>
    <row r="1078" spans="1:9" x14ac:dyDescent="0.35">
      <c r="A1078" s="1">
        <v>45327</v>
      </c>
      <c r="B1078" t="s">
        <v>39</v>
      </c>
      <c r="C1078" t="s">
        <v>40</v>
      </c>
      <c r="D1078" t="s">
        <v>21</v>
      </c>
      <c r="E1078" t="s">
        <v>22</v>
      </c>
      <c r="F1078">
        <v>32</v>
      </c>
      <c r="G1078">
        <v>32.700000000000003</v>
      </c>
      <c r="H1078" t="s">
        <v>46</v>
      </c>
      <c r="I1078" t="s">
        <v>47</v>
      </c>
    </row>
    <row r="1079" spans="1:9" x14ac:dyDescent="0.35">
      <c r="A1079" s="1">
        <v>45327</v>
      </c>
      <c r="B1079" t="s">
        <v>39</v>
      </c>
      <c r="C1079" t="s">
        <v>40</v>
      </c>
      <c r="D1079" t="s">
        <v>24</v>
      </c>
      <c r="E1079" t="s">
        <v>25</v>
      </c>
      <c r="F1079">
        <v>50</v>
      </c>
      <c r="G1079">
        <v>51.4</v>
      </c>
      <c r="H1079" t="s">
        <v>46</v>
      </c>
      <c r="I1079" t="s">
        <v>47</v>
      </c>
    </row>
    <row r="1080" spans="1:9" x14ac:dyDescent="0.35">
      <c r="A1080" s="1">
        <v>45327</v>
      </c>
      <c r="B1080" t="s">
        <v>39</v>
      </c>
      <c r="C1080" t="s">
        <v>40</v>
      </c>
      <c r="D1080" t="s">
        <v>26</v>
      </c>
      <c r="E1080" t="s">
        <v>27</v>
      </c>
      <c r="F1080">
        <v>38</v>
      </c>
      <c r="G1080">
        <v>46.4</v>
      </c>
      <c r="H1080" t="s">
        <v>48</v>
      </c>
      <c r="I1080" t="s">
        <v>50</v>
      </c>
    </row>
    <row r="1081" spans="1:9" x14ac:dyDescent="0.35">
      <c r="A1081" s="1">
        <v>45327</v>
      </c>
      <c r="B1081" t="s">
        <v>39</v>
      </c>
      <c r="C1081" t="s">
        <v>40</v>
      </c>
      <c r="D1081" t="s">
        <v>28</v>
      </c>
      <c r="E1081" t="s">
        <v>29</v>
      </c>
      <c r="F1081">
        <v>32</v>
      </c>
      <c r="G1081">
        <v>33.1</v>
      </c>
      <c r="H1081" t="s">
        <v>46</v>
      </c>
      <c r="I1081" t="s">
        <v>47</v>
      </c>
    </row>
    <row r="1082" spans="1:9" x14ac:dyDescent="0.35">
      <c r="A1082" s="1">
        <v>45328</v>
      </c>
      <c r="B1082" t="s">
        <v>12</v>
      </c>
      <c r="C1082" t="s">
        <v>13</v>
      </c>
      <c r="D1082" t="s">
        <v>15</v>
      </c>
      <c r="E1082" t="s">
        <v>16</v>
      </c>
      <c r="F1082">
        <v>34</v>
      </c>
      <c r="G1082">
        <v>36.700000000000003</v>
      </c>
      <c r="H1082" t="s">
        <v>46</v>
      </c>
      <c r="I1082" t="s">
        <v>47</v>
      </c>
    </row>
    <row r="1083" spans="1:9" x14ac:dyDescent="0.35">
      <c r="A1083" s="1">
        <v>45328</v>
      </c>
      <c r="B1083" t="s">
        <v>12</v>
      </c>
      <c r="C1083" t="s">
        <v>13</v>
      </c>
      <c r="D1083" t="s">
        <v>18</v>
      </c>
      <c r="E1083" t="s">
        <v>19</v>
      </c>
      <c r="F1083">
        <v>38</v>
      </c>
      <c r="G1083">
        <v>38.5</v>
      </c>
      <c r="H1083" t="s">
        <v>46</v>
      </c>
      <c r="I1083" t="s">
        <v>47</v>
      </c>
    </row>
    <row r="1084" spans="1:9" x14ac:dyDescent="0.35">
      <c r="A1084" s="1">
        <v>45328</v>
      </c>
      <c r="B1084" t="s">
        <v>12</v>
      </c>
      <c r="C1084" t="s">
        <v>13</v>
      </c>
      <c r="D1084" t="s">
        <v>21</v>
      </c>
      <c r="E1084" t="s">
        <v>22</v>
      </c>
      <c r="F1084">
        <v>32</v>
      </c>
      <c r="G1084">
        <v>43.1</v>
      </c>
      <c r="H1084" t="s">
        <v>48</v>
      </c>
      <c r="I1084" t="s">
        <v>49</v>
      </c>
    </row>
    <row r="1085" spans="1:9" x14ac:dyDescent="0.35">
      <c r="A1085" s="1">
        <v>45328</v>
      </c>
      <c r="B1085" t="s">
        <v>12</v>
      </c>
      <c r="C1085" t="s">
        <v>13</v>
      </c>
      <c r="D1085" t="s">
        <v>24</v>
      </c>
      <c r="E1085" t="s">
        <v>25</v>
      </c>
      <c r="F1085">
        <v>50</v>
      </c>
      <c r="G1085">
        <v>49.7</v>
      </c>
      <c r="H1085" t="s">
        <v>46</v>
      </c>
      <c r="I1085" t="s">
        <v>47</v>
      </c>
    </row>
    <row r="1086" spans="1:9" x14ac:dyDescent="0.35">
      <c r="A1086" s="1">
        <v>45328</v>
      </c>
      <c r="B1086" t="s">
        <v>12</v>
      </c>
      <c r="C1086" t="s">
        <v>13</v>
      </c>
      <c r="D1086" t="s">
        <v>26</v>
      </c>
      <c r="E1086" t="s">
        <v>27</v>
      </c>
      <c r="F1086">
        <v>38</v>
      </c>
      <c r="G1086">
        <v>39.299999999999997</v>
      </c>
      <c r="H1086" t="s">
        <v>46</v>
      </c>
      <c r="I1086" t="s">
        <v>47</v>
      </c>
    </row>
    <row r="1087" spans="1:9" x14ac:dyDescent="0.35">
      <c r="A1087" s="1">
        <v>45328</v>
      </c>
      <c r="B1087" t="s">
        <v>12</v>
      </c>
      <c r="C1087" t="s">
        <v>13</v>
      </c>
      <c r="D1087" t="s">
        <v>28</v>
      </c>
      <c r="E1087" t="s">
        <v>29</v>
      </c>
      <c r="F1087">
        <v>32</v>
      </c>
      <c r="G1087">
        <v>31.8</v>
      </c>
      <c r="H1087" t="s">
        <v>46</v>
      </c>
      <c r="I1087" t="s">
        <v>47</v>
      </c>
    </row>
    <row r="1088" spans="1:9" x14ac:dyDescent="0.35">
      <c r="A1088" s="1">
        <v>45328</v>
      </c>
      <c r="B1088" t="s">
        <v>30</v>
      </c>
      <c r="C1088" t="s">
        <v>31</v>
      </c>
      <c r="D1088" t="s">
        <v>15</v>
      </c>
      <c r="E1088" t="s">
        <v>16</v>
      </c>
      <c r="F1088">
        <v>34</v>
      </c>
      <c r="G1088">
        <v>34.200000000000003</v>
      </c>
      <c r="H1088" t="s">
        <v>46</v>
      </c>
      <c r="I1088" t="s">
        <v>47</v>
      </c>
    </row>
    <row r="1089" spans="1:9" x14ac:dyDescent="0.35">
      <c r="A1089" s="1">
        <v>45328</v>
      </c>
      <c r="B1089" t="s">
        <v>30</v>
      </c>
      <c r="C1089" t="s">
        <v>31</v>
      </c>
      <c r="D1089" t="s">
        <v>18</v>
      </c>
      <c r="E1089" t="s">
        <v>19</v>
      </c>
      <c r="F1089">
        <v>38</v>
      </c>
      <c r="G1089">
        <v>40.299999999999997</v>
      </c>
      <c r="H1089" t="s">
        <v>46</v>
      </c>
      <c r="I1089" t="s">
        <v>47</v>
      </c>
    </row>
    <row r="1090" spans="1:9" x14ac:dyDescent="0.35">
      <c r="A1090" s="1">
        <v>45328</v>
      </c>
      <c r="B1090" t="s">
        <v>30</v>
      </c>
      <c r="C1090" t="s">
        <v>31</v>
      </c>
      <c r="D1090" t="s">
        <v>21</v>
      </c>
      <c r="E1090" t="s">
        <v>22</v>
      </c>
      <c r="F1090">
        <v>32</v>
      </c>
      <c r="G1090">
        <v>33.299999999999997</v>
      </c>
      <c r="H1090" t="s">
        <v>46</v>
      </c>
      <c r="I1090" t="s">
        <v>47</v>
      </c>
    </row>
    <row r="1091" spans="1:9" x14ac:dyDescent="0.35">
      <c r="A1091" s="1">
        <v>45328</v>
      </c>
      <c r="B1091" t="s">
        <v>30</v>
      </c>
      <c r="C1091" t="s">
        <v>31</v>
      </c>
      <c r="D1091" t="s">
        <v>24</v>
      </c>
      <c r="E1091" t="s">
        <v>25</v>
      </c>
      <c r="F1091">
        <v>50</v>
      </c>
      <c r="G1091">
        <v>52</v>
      </c>
      <c r="H1091" t="s">
        <v>46</v>
      </c>
      <c r="I1091" t="s">
        <v>47</v>
      </c>
    </row>
    <row r="1092" spans="1:9" x14ac:dyDescent="0.35">
      <c r="A1092" s="1">
        <v>45328</v>
      </c>
      <c r="B1092" t="s">
        <v>30</v>
      </c>
      <c r="C1092" t="s">
        <v>31</v>
      </c>
      <c r="D1092" t="s">
        <v>26</v>
      </c>
      <c r="E1092" t="s">
        <v>27</v>
      </c>
      <c r="F1092">
        <v>38</v>
      </c>
      <c r="G1092">
        <v>40.200000000000003</v>
      </c>
      <c r="H1092" t="s">
        <v>46</v>
      </c>
      <c r="I1092" t="s">
        <v>47</v>
      </c>
    </row>
    <row r="1093" spans="1:9" x14ac:dyDescent="0.35">
      <c r="A1093" s="1">
        <v>45328</v>
      </c>
      <c r="B1093" t="s">
        <v>30</v>
      </c>
      <c r="C1093" t="s">
        <v>31</v>
      </c>
      <c r="D1093" t="s">
        <v>28</v>
      </c>
      <c r="E1093" t="s">
        <v>29</v>
      </c>
      <c r="F1093">
        <v>32</v>
      </c>
      <c r="G1093">
        <v>40.4</v>
      </c>
      <c r="H1093" t="s">
        <v>48</v>
      </c>
      <c r="I1093" t="s">
        <v>50</v>
      </c>
    </row>
    <row r="1094" spans="1:9" x14ac:dyDescent="0.35">
      <c r="A1094" s="1">
        <v>45328</v>
      </c>
      <c r="B1094" t="s">
        <v>33</v>
      </c>
      <c r="C1094" t="s">
        <v>34</v>
      </c>
      <c r="D1094" t="s">
        <v>15</v>
      </c>
      <c r="E1094" t="s">
        <v>16</v>
      </c>
      <c r="F1094">
        <v>34</v>
      </c>
      <c r="G1094">
        <v>35.5</v>
      </c>
      <c r="H1094" t="s">
        <v>46</v>
      </c>
      <c r="I1094" t="s">
        <v>47</v>
      </c>
    </row>
    <row r="1095" spans="1:9" x14ac:dyDescent="0.35">
      <c r="A1095" s="1">
        <v>45328</v>
      </c>
      <c r="B1095" t="s">
        <v>33</v>
      </c>
      <c r="C1095" t="s">
        <v>34</v>
      </c>
      <c r="D1095" t="s">
        <v>18</v>
      </c>
      <c r="E1095" t="s">
        <v>19</v>
      </c>
      <c r="F1095">
        <v>38</v>
      </c>
      <c r="G1095">
        <v>49.3</v>
      </c>
      <c r="H1095" t="s">
        <v>48</v>
      </c>
      <c r="I1095" t="s">
        <v>49</v>
      </c>
    </row>
    <row r="1096" spans="1:9" x14ac:dyDescent="0.35">
      <c r="A1096" s="1">
        <v>45328</v>
      </c>
      <c r="B1096" t="s">
        <v>33</v>
      </c>
      <c r="C1096" t="s">
        <v>34</v>
      </c>
      <c r="D1096" t="s">
        <v>21</v>
      </c>
      <c r="E1096" t="s">
        <v>22</v>
      </c>
      <c r="F1096">
        <v>32</v>
      </c>
      <c r="G1096">
        <v>31.7</v>
      </c>
      <c r="H1096" t="s">
        <v>46</v>
      </c>
      <c r="I1096" t="s">
        <v>47</v>
      </c>
    </row>
    <row r="1097" spans="1:9" x14ac:dyDescent="0.35">
      <c r="A1097" s="1">
        <v>45328</v>
      </c>
      <c r="B1097" t="s">
        <v>33</v>
      </c>
      <c r="C1097" t="s">
        <v>34</v>
      </c>
      <c r="D1097" t="s">
        <v>24</v>
      </c>
      <c r="E1097" t="s">
        <v>25</v>
      </c>
      <c r="F1097">
        <v>50</v>
      </c>
      <c r="G1097">
        <v>51.6</v>
      </c>
      <c r="H1097" t="s">
        <v>46</v>
      </c>
      <c r="I1097" t="s">
        <v>47</v>
      </c>
    </row>
    <row r="1098" spans="1:9" x14ac:dyDescent="0.35">
      <c r="A1098" s="1">
        <v>45328</v>
      </c>
      <c r="B1098" t="s">
        <v>33</v>
      </c>
      <c r="C1098" t="s">
        <v>34</v>
      </c>
      <c r="D1098" t="s">
        <v>26</v>
      </c>
      <c r="E1098" t="s">
        <v>27</v>
      </c>
      <c r="F1098">
        <v>38</v>
      </c>
      <c r="G1098">
        <v>50.1</v>
      </c>
      <c r="H1098" t="s">
        <v>48</v>
      </c>
      <c r="I1098" t="s">
        <v>49</v>
      </c>
    </row>
    <row r="1099" spans="1:9" x14ac:dyDescent="0.35">
      <c r="A1099" s="1">
        <v>45328</v>
      </c>
      <c r="B1099" t="s">
        <v>33</v>
      </c>
      <c r="C1099" t="s">
        <v>34</v>
      </c>
      <c r="D1099" t="s">
        <v>28</v>
      </c>
      <c r="E1099" t="s">
        <v>29</v>
      </c>
      <c r="F1099">
        <v>32</v>
      </c>
      <c r="G1099">
        <v>34.9</v>
      </c>
      <c r="H1099" t="s">
        <v>46</v>
      </c>
      <c r="I1099" t="s">
        <v>47</v>
      </c>
    </row>
    <row r="1100" spans="1:9" x14ac:dyDescent="0.35">
      <c r="A1100" s="1">
        <v>45328</v>
      </c>
      <c r="B1100" t="s">
        <v>36</v>
      </c>
      <c r="C1100" t="s">
        <v>37</v>
      </c>
      <c r="D1100" t="s">
        <v>15</v>
      </c>
      <c r="E1100" t="s">
        <v>16</v>
      </c>
      <c r="F1100">
        <v>34</v>
      </c>
      <c r="G1100">
        <v>34.4</v>
      </c>
      <c r="H1100" t="s">
        <v>46</v>
      </c>
      <c r="I1100" t="s">
        <v>47</v>
      </c>
    </row>
    <row r="1101" spans="1:9" x14ac:dyDescent="0.35">
      <c r="A1101" s="1">
        <v>45328</v>
      </c>
      <c r="B1101" t="s">
        <v>36</v>
      </c>
      <c r="C1101" t="s">
        <v>37</v>
      </c>
      <c r="D1101" t="s">
        <v>18</v>
      </c>
      <c r="E1101" t="s">
        <v>19</v>
      </c>
      <c r="F1101">
        <v>38</v>
      </c>
      <c r="G1101">
        <v>38.700000000000003</v>
      </c>
      <c r="H1101" t="s">
        <v>46</v>
      </c>
      <c r="I1101" t="s">
        <v>47</v>
      </c>
    </row>
    <row r="1102" spans="1:9" x14ac:dyDescent="0.35">
      <c r="A1102" s="1">
        <v>45328</v>
      </c>
      <c r="B1102" t="s">
        <v>36</v>
      </c>
      <c r="C1102" t="s">
        <v>37</v>
      </c>
      <c r="D1102" t="s">
        <v>21</v>
      </c>
      <c r="E1102" t="s">
        <v>22</v>
      </c>
      <c r="F1102">
        <v>32</v>
      </c>
      <c r="G1102">
        <v>33.700000000000003</v>
      </c>
      <c r="H1102" t="s">
        <v>46</v>
      </c>
      <c r="I1102" t="s">
        <v>47</v>
      </c>
    </row>
    <row r="1103" spans="1:9" x14ac:dyDescent="0.35">
      <c r="A1103" s="1">
        <v>45328</v>
      </c>
      <c r="B1103" t="s">
        <v>36</v>
      </c>
      <c r="C1103" t="s">
        <v>37</v>
      </c>
      <c r="D1103" t="s">
        <v>24</v>
      </c>
      <c r="E1103" t="s">
        <v>25</v>
      </c>
      <c r="F1103">
        <v>50</v>
      </c>
      <c r="G1103">
        <v>52.3</v>
      </c>
      <c r="H1103" t="s">
        <v>46</v>
      </c>
      <c r="I1103" t="s">
        <v>47</v>
      </c>
    </row>
    <row r="1104" spans="1:9" x14ac:dyDescent="0.35">
      <c r="A1104" s="1">
        <v>45328</v>
      </c>
      <c r="B1104" t="s">
        <v>36</v>
      </c>
      <c r="C1104" t="s">
        <v>37</v>
      </c>
      <c r="D1104" t="s">
        <v>26</v>
      </c>
      <c r="E1104" t="s">
        <v>27</v>
      </c>
      <c r="F1104">
        <v>38</v>
      </c>
      <c r="G1104">
        <v>39.9</v>
      </c>
      <c r="H1104" t="s">
        <v>46</v>
      </c>
      <c r="I1104" t="s">
        <v>47</v>
      </c>
    </row>
    <row r="1105" spans="1:9" x14ac:dyDescent="0.35">
      <c r="A1105" s="1">
        <v>45328</v>
      </c>
      <c r="B1105" t="s">
        <v>36</v>
      </c>
      <c r="C1105" t="s">
        <v>37</v>
      </c>
      <c r="D1105" t="s">
        <v>28</v>
      </c>
      <c r="E1105" t="s">
        <v>29</v>
      </c>
      <c r="F1105">
        <v>32</v>
      </c>
      <c r="G1105">
        <v>40.1</v>
      </c>
      <c r="H1105" t="s">
        <v>48</v>
      </c>
      <c r="I1105" t="s">
        <v>50</v>
      </c>
    </row>
    <row r="1106" spans="1:9" x14ac:dyDescent="0.35">
      <c r="A1106" s="1">
        <v>45328</v>
      </c>
      <c r="B1106" t="s">
        <v>39</v>
      </c>
      <c r="C1106" t="s">
        <v>40</v>
      </c>
      <c r="D1106" t="s">
        <v>15</v>
      </c>
      <c r="E1106" t="s">
        <v>16</v>
      </c>
      <c r="F1106">
        <v>34</v>
      </c>
      <c r="G1106">
        <v>33.6</v>
      </c>
      <c r="H1106" t="s">
        <v>46</v>
      </c>
      <c r="I1106" t="s">
        <v>47</v>
      </c>
    </row>
    <row r="1107" spans="1:9" x14ac:dyDescent="0.35">
      <c r="A1107" s="1">
        <v>45328</v>
      </c>
      <c r="B1107" t="s">
        <v>39</v>
      </c>
      <c r="C1107" t="s">
        <v>40</v>
      </c>
      <c r="D1107" t="s">
        <v>18</v>
      </c>
      <c r="E1107" t="s">
        <v>19</v>
      </c>
      <c r="F1107">
        <v>38</v>
      </c>
      <c r="G1107">
        <v>39.799999999999997</v>
      </c>
      <c r="H1107" t="s">
        <v>46</v>
      </c>
      <c r="I1107" t="s">
        <v>47</v>
      </c>
    </row>
    <row r="1108" spans="1:9" x14ac:dyDescent="0.35">
      <c r="A1108" s="1">
        <v>45328</v>
      </c>
      <c r="B1108" t="s">
        <v>39</v>
      </c>
      <c r="C1108" t="s">
        <v>40</v>
      </c>
      <c r="D1108" t="s">
        <v>21</v>
      </c>
      <c r="E1108" t="s">
        <v>22</v>
      </c>
      <c r="F1108">
        <v>32</v>
      </c>
      <c r="G1108">
        <v>31.2</v>
      </c>
      <c r="H1108" t="s">
        <v>46</v>
      </c>
      <c r="I1108" t="s">
        <v>47</v>
      </c>
    </row>
    <row r="1109" spans="1:9" x14ac:dyDescent="0.35">
      <c r="A1109" s="1">
        <v>45328</v>
      </c>
      <c r="B1109" t="s">
        <v>39</v>
      </c>
      <c r="C1109" t="s">
        <v>40</v>
      </c>
      <c r="D1109" t="s">
        <v>24</v>
      </c>
      <c r="E1109" t="s">
        <v>25</v>
      </c>
      <c r="F1109">
        <v>50</v>
      </c>
      <c r="G1109">
        <v>51.5</v>
      </c>
      <c r="H1109" t="s">
        <v>46</v>
      </c>
      <c r="I1109" t="s">
        <v>47</v>
      </c>
    </row>
    <row r="1110" spans="1:9" x14ac:dyDescent="0.35">
      <c r="A1110" s="1">
        <v>45328</v>
      </c>
      <c r="B1110" t="s">
        <v>39</v>
      </c>
      <c r="C1110" t="s">
        <v>40</v>
      </c>
      <c r="D1110" t="s">
        <v>26</v>
      </c>
      <c r="E1110" t="s">
        <v>27</v>
      </c>
      <c r="F1110">
        <v>38</v>
      </c>
      <c r="G1110">
        <v>37.200000000000003</v>
      </c>
      <c r="H1110" t="s">
        <v>46</v>
      </c>
      <c r="I1110" t="s">
        <v>47</v>
      </c>
    </row>
    <row r="1111" spans="1:9" x14ac:dyDescent="0.35">
      <c r="A1111" s="1">
        <v>45328</v>
      </c>
      <c r="B1111" t="s">
        <v>39</v>
      </c>
      <c r="C1111" t="s">
        <v>40</v>
      </c>
      <c r="D1111" t="s">
        <v>28</v>
      </c>
      <c r="E1111" t="s">
        <v>29</v>
      </c>
      <c r="F1111">
        <v>32</v>
      </c>
      <c r="G1111">
        <v>33.6</v>
      </c>
      <c r="H1111" t="s">
        <v>46</v>
      </c>
      <c r="I1111" t="s">
        <v>47</v>
      </c>
    </row>
    <row r="1112" spans="1:9" x14ac:dyDescent="0.35">
      <c r="A1112" s="1">
        <v>45329</v>
      </c>
      <c r="B1112" t="s">
        <v>12</v>
      </c>
      <c r="C1112" t="s">
        <v>13</v>
      </c>
      <c r="D1112" t="s">
        <v>15</v>
      </c>
      <c r="E1112" t="s">
        <v>16</v>
      </c>
      <c r="F1112">
        <v>34</v>
      </c>
      <c r="G1112">
        <v>41.6</v>
      </c>
      <c r="H1112" t="s">
        <v>48</v>
      </c>
      <c r="I1112" t="s">
        <v>50</v>
      </c>
    </row>
    <row r="1113" spans="1:9" x14ac:dyDescent="0.35">
      <c r="A1113" s="1">
        <v>45329</v>
      </c>
      <c r="B1113" t="s">
        <v>12</v>
      </c>
      <c r="C1113" t="s">
        <v>13</v>
      </c>
      <c r="D1113" t="s">
        <v>18</v>
      </c>
      <c r="E1113" t="s">
        <v>19</v>
      </c>
      <c r="F1113">
        <v>38</v>
      </c>
      <c r="G1113">
        <v>40.1</v>
      </c>
      <c r="H1113" t="s">
        <v>46</v>
      </c>
      <c r="I1113" t="s">
        <v>47</v>
      </c>
    </row>
    <row r="1114" spans="1:9" x14ac:dyDescent="0.35">
      <c r="A1114" s="1">
        <v>45329</v>
      </c>
      <c r="B1114" t="s">
        <v>12</v>
      </c>
      <c r="C1114" t="s">
        <v>13</v>
      </c>
      <c r="D1114" t="s">
        <v>21</v>
      </c>
      <c r="E1114" t="s">
        <v>22</v>
      </c>
      <c r="F1114">
        <v>32</v>
      </c>
      <c r="G1114">
        <v>31.7</v>
      </c>
      <c r="H1114" t="s">
        <v>46</v>
      </c>
      <c r="I1114" t="s">
        <v>47</v>
      </c>
    </row>
    <row r="1115" spans="1:9" x14ac:dyDescent="0.35">
      <c r="A1115" s="1">
        <v>45329</v>
      </c>
      <c r="B1115" t="s">
        <v>12</v>
      </c>
      <c r="C1115" t="s">
        <v>13</v>
      </c>
      <c r="D1115" t="s">
        <v>24</v>
      </c>
      <c r="E1115" t="s">
        <v>25</v>
      </c>
      <c r="F1115">
        <v>50</v>
      </c>
      <c r="G1115">
        <v>50.3</v>
      </c>
      <c r="H1115" t="s">
        <v>46</v>
      </c>
      <c r="I1115" t="s">
        <v>47</v>
      </c>
    </row>
    <row r="1116" spans="1:9" x14ac:dyDescent="0.35">
      <c r="A1116" s="1">
        <v>45329</v>
      </c>
      <c r="B1116" t="s">
        <v>12</v>
      </c>
      <c r="C1116" t="s">
        <v>13</v>
      </c>
      <c r="D1116" t="s">
        <v>26</v>
      </c>
      <c r="E1116" t="s">
        <v>27</v>
      </c>
      <c r="F1116">
        <v>38</v>
      </c>
      <c r="G1116">
        <v>40.200000000000003</v>
      </c>
      <c r="H1116" t="s">
        <v>46</v>
      </c>
      <c r="I1116" t="s">
        <v>47</v>
      </c>
    </row>
    <row r="1117" spans="1:9" x14ac:dyDescent="0.35">
      <c r="A1117" s="1">
        <v>45329</v>
      </c>
      <c r="B1117" t="s">
        <v>12</v>
      </c>
      <c r="C1117" t="s">
        <v>13</v>
      </c>
      <c r="D1117" t="s">
        <v>28</v>
      </c>
      <c r="E1117" t="s">
        <v>29</v>
      </c>
      <c r="F1117">
        <v>32</v>
      </c>
      <c r="G1117">
        <v>33.799999999999997</v>
      </c>
      <c r="H1117" t="s">
        <v>46</v>
      </c>
      <c r="I1117" t="s">
        <v>47</v>
      </c>
    </row>
    <row r="1118" spans="1:9" x14ac:dyDescent="0.35">
      <c r="A1118" s="1">
        <v>45329</v>
      </c>
      <c r="B1118" t="s">
        <v>30</v>
      </c>
      <c r="C1118" t="s">
        <v>31</v>
      </c>
      <c r="D1118" t="s">
        <v>15</v>
      </c>
      <c r="E1118" t="s">
        <v>16</v>
      </c>
      <c r="F1118">
        <v>34</v>
      </c>
      <c r="G1118">
        <v>35.1</v>
      </c>
      <c r="H1118" t="s">
        <v>46</v>
      </c>
      <c r="I1118" t="s">
        <v>47</v>
      </c>
    </row>
    <row r="1119" spans="1:9" x14ac:dyDescent="0.35">
      <c r="A1119" s="1">
        <v>45329</v>
      </c>
      <c r="B1119" t="s">
        <v>30</v>
      </c>
      <c r="C1119" t="s">
        <v>31</v>
      </c>
      <c r="D1119" t="s">
        <v>18</v>
      </c>
      <c r="E1119" t="s">
        <v>19</v>
      </c>
      <c r="F1119">
        <v>38</v>
      </c>
      <c r="G1119">
        <v>37.6</v>
      </c>
      <c r="H1119" t="s">
        <v>46</v>
      </c>
      <c r="I1119" t="s">
        <v>47</v>
      </c>
    </row>
    <row r="1120" spans="1:9" x14ac:dyDescent="0.35">
      <c r="A1120" s="1">
        <v>45329</v>
      </c>
      <c r="B1120" t="s">
        <v>30</v>
      </c>
      <c r="C1120" t="s">
        <v>31</v>
      </c>
      <c r="D1120" t="s">
        <v>21</v>
      </c>
      <c r="E1120" t="s">
        <v>22</v>
      </c>
      <c r="F1120">
        <v>32</v>
      </c>
      <c r="G1120">
        <v>40.299999999999997</v>
      </c>
      <c r="H1120" t="s">
        <v>48</v>
      </c>
      <c r="I1120" t="s">
        <v>50</v>
      </c>
    </row>
    <row r="1121" spans="1:9" x14ac:dyDescent="0.35">
      <c r="A1121" s="1">
        <v>45329</v>
      </c>
      <c r="B1121" t="s">
        <v>30</v>
      </c>
      <c r="C1121" t="s">
        <v>31</v>
      </c>
      <c r="D1121" t="s">
        <v>24</v>
      </c>
      <c r="E1121" t="s">
        <v>25</v>
      </c>
      <c r="F1121">
        <v>50</v>
      </c>
      <c r="G1121">
        <v>50.6</v>
      </c>
      <c r="H1121" t="s">
        <v>46</v>
      </c>
      <c r="I1121" t="s">
        <v>47</v>
      </c>
    </row>
    <row r="1122" spans="1:9" x14ac:dyDescent="0.35">
      <c r="A1122" s="1">
        <v>45329</v>
      </c>
      <c r="B1122" t="s">
        <v>30</v>
      </c>
      <c r="C1122" t="s">
        <v>31</v>
      </c>
      <c r="D1122" t="s">
        <v>26</v>
      </c>
      <c r="E1122" t="s">
        <v>27</v>
      </c>
      <c r="F1122">
        <v>38</v>
      </c>
      <c r="G1122">
        <v>37.700000000000003</v>
      </c>
      <c r="H1122" t="s">
        <v>46</v>
      </c>
      <c r="I1122" t="s">
        <v>47</v>
      </c>
    </row>
    <row r="1123" spans="1:9" x14ac:dyDescent="0.35">
      <c r="A1123" s="1">
        <v>45329</v>
      </c>
      <c r="B1123" t="s">
        <v>30</v>
      </c>
      <c r="C1123" t="s">
        <v>31</v>
      </c>
      <c r="D1123" t="s">
        <v>28</v>
      </c>
      <c r="E1123" t="s">
        <v>29</v>
      </c>
      <c r="F1123">
        <v>32</v>
      </c>
      <c r="G1123">
        <v>33</v>
      </c>
      <c r="H1123" t="s">
        <v>46</v>
      </c>
      <c r="I1123" t="s">
        <v>47</v>
      </c>
    </row>
    <row r="1124" spans="1:9" x14ac:dyDescent="0.35">
      <c r="A1124" s="1">
        <v>45329</v>
      </c>
      <c r="B1124" t="s">
        <v>33</v>
      </c>
      <c r="C1124" t="s">
        <v>34</v>
      </c>
      <c r="D1124" t="s">
        <v>15</v>
      </c>
      <c r="E1124" t="s">
        <v>16</v>
      </c>
      <c r="F1124">
        <v>34</v>
      </c>
      <c r="G1124">
        <v>36.200000000000003</v>
      </c>
      <c r="H1124" t="s">
        <v>46</v>
      </c>
      <c r="I1124" t="s">
        <v>47</v>
      </c>
    </row>
    <row r="1125" spans="1:9" x14ac:dyDescent="0.35">
      <c r="A1125" s="1">
        <v>45329</v>
      </c>
      <c r="B1125" t="s">
        <v>33</v>
      </c>
      <c r="C1125" t="s">
        <v>34</v>
      </c>
      <c r="D1125" t="s">
        <v>18</v>
      </c>
      <c r="E1125" t="s">
        <v>19</v>
      </c>
      <c r="F1125">
        <v>38</v>
      </c>
      <c r="G1125">
        <v>39.799999999999997</v>
      </c>
      <c r="H1125" t="s">
        <v>46</v>
      </c>
      <c r="I1125" t="s">
        <v>47</v>
      </c>
    </row>
    <row r="1126" spans="1:9" x14ac:dyDescent="0.35">
      <c r="A1126" s="1">
        <v>45329</v>
      </c>
      <c r="B1126" t="s">
        <v>33</v>
      </c>
      <c r="C1126" t="s">
        <v>34</v>
      </c>
      <c r="D1126" t="s">
        <v>21</v>
      </c>
      <c r="E1126" t="s">
        <v>22</v>
      </c>
      <c r="F1126">
        <v>32</v>
      </c>
      <c r="G1126">
        <v>34.4</v>
      </c>
      <c r="H1126" t="s">
        <v>46</v>
      </c>
      <c r="I1126" t="s">
        <v>47</v>
      </c>
    </row>
    <row r="1127" spans="1:9" x14ac:dyDescent="0.35">
      <c r="A1127" s="1">
        <v>45329</v>
      </c>
      <c r="B1127" t="s">
        <v>33</v>
      </c>
      <c r="C1127" t="s">
        <v>34</v>
      </c>
      <c r="D1127" t="s">
        <v>24</v>
      </c>
      <c r="E1127" t="s">
        <v>25</v>
      </c>
      <c r="F1127">
        <v>50</v>
      </c>
      <c r="G1127">
        <v>51.8</v>
      </c>
      <c r="H1127" t="s">
        <v>46</v>
      </c>
      <c r="I1127" t="s">
        <v>47</v>
      </c>
    </row>
    <row r="1128" spans="1:9" x14ac:dyDescent="0.35">
      <c r="A1128" s="1">
        <v>45329</v>
      </c>
      <c r="B1128" t="s">
        <v>33</v>
      </c>
      <c r="C1128" t="s">
        <v>34</v>
      </c>
      <c r="D1128" t="s">
        <v>26</v>
      </c>
      <c r="E1128" t="s">
        <v>27</v>
      </c>
      <c r="F1128">
        <v>38</v>
      </c>
      <c r="G1128">
        <v>38.700000000000003</v>
      </c>
      <c r="H1128" t="s">
        <v>46</v>
      </c>
      <c r="I1128" t="s">
        <v>47</v>
      </c>
    </row>
    <row r="1129" spans="1:9" x14ac:dyDescent="0.35">
      <c r="A1129" s="1">
        <v>45329</v>
      </c>
      <c r="B1129" t="s">
        <v>33</v>
      </c>
      <c r="C1129" t="s">
        <v>34</v>
      </c>
      <c r="D1129" t="s">
        <v>28</v>
      </c>
      <c r="E1129" t="s">
        <v>29</v>
      </c>
      <c r="F1129">
        <v>32</v>
      </c>
      <c r="G1129">
        <v>31.5</v>
      </c>
      <c r="H1129" t="s">
        <v>46</v>
      </c>
      <c r="I1129" t="s">
        <v>47</v>
      </c>
    </row>
    <row r="1130" spans="1:9" x14ac:dyDescent="0.35">
      <c r="A1130" s="1">
        <v>45329</v>
      </c>
      <c r="B1130" t="s">
        <v>36</v>
      </c>
      <c r="C1130" t="s">
        <v>37</v>
      </c>
      <c r="D1130" t="s">
        <v>15</v>
      </c>
      <c r="E1130" t="s">
        <v>16</v>
      </c>
      <c r="F1130">
        <v>34</v>
      </c>
      <c r="G1130">
        <v>40.1</v>
      </c>
      <c r="H1130" t="s">
        <v>48</v>
      </c>
      <c r="I1130" t="s">
        <v>50</v>
      </c>
    </row>
    <row r="1131" spans="1:9" x14ac:dyDescent="0.35">
      <c r="A1131" s="1">
        <v>45329</v>
      </c>
      <c r="B1131" t="s">
        <v>36</v>
      </c>
      <c r="C1131" t="s">
        <v>37</v>
      </c>
      <c r="D1131" t="s">
        <v>18</v>
      </c>
      <c r="E1131" t="s">
        <v>19</v>
      </c>
      <c r="F1131">
        <v>38</v>
      </c>
      <c r="G1131">
        <v>39.799999999999997</v>
      </c>
      <c r="H1131" t="s">
        <v>46</v>
      </c>
      <c r="I1131" t="s">
        <v>47</v>
      </c>
    </row>
    <row r="1132" spans="1:9" x14ac:dyDescent="0.35">
      <c r="A1132" s="1">
        <v>45329</v>
      </c>
      <c r="B1132" t="s">
        <v>36</v>
      </c>
      <c r="C1132" t="s">
        <v>37</v>
      </c>
      <c r="D1132" t="s">
        <v>21</v>
      </c>
      <c r="E1132" t="s">
        <v>22</v>
      </c>
      <c r="F1132">
        <v>32</v>
      </c>
      <c r="G1132">
        <v>41.5</v>
      </c>
      <c r="H1132" t="s">
        <v>48</v>
      </c>
      <c r="I1132" t="s">
        <v>50</v>
      </c>
    </row>
    <row r="1133" spans="1:9" x14ac:dyDescent="0.35">
      <c r="A1133" s="1">
        <v>45329</v>
      </c>
      <c r="B1133" t="s">
        <v>36</v>
      </c>
      <c r="C1133" t="s">
        <v>37</v>
      </c>
      <c r="D1133" t="s">
        <v>24</v>
      </c>
      <c r="E1133" t="s">
        <v>25</v>
      </c>
      <c r="F1133">
        <v>50</v>
      </c>
      <c r="G1133">
        <v>51.1</v>
      </c>
      <c r="H1133" t="s">
        <v>46</v>
      </c>
      <c r="I1133" t="s">
        <v>47</v>
      </c>
    </row>
    <row r="1134" spans="1:9" x14ac:dyDescent="0.35">
      <c r="A1134" s="1">
        <v>45329</v>
      </c>
      <c r="B1134" t="s">
        <v>36</v>
      </c>
      <c r="C1134" t="s">
        <v>37</v>
      </c>
      <c r="D1134" t="s">
        <v>26</v>
      </c>
      <c r="E1134" t="s">
        <v>27</v>
      </c>
      <c r="F1134">
        <v>38</v>
      </c>
      <c r="G1134">
        <v>37.700000000000003</v>
      </c>
      <c r="H1134" t="s">
        <v>46</v>
      </c>
      <c r="I1134" t="s">
        <v>47</v>
      </c>
    </row>
    <row r="1135" spans="1:9" x14ac:dyDescent="0.35">
      <c r="A1135" s="1">
        <v>45329</v>
      </c>
      <c r="B1135" t="s">
        <v>36</v>
      </c>
      <c r="C1135" t="s">
        <v>37</v>
      </c>
      <c r="D1135" t="s">
        <v>28</v>
      </c>
      <c r="E1135" t="s">
        <v>29</v>
      </c>
      <c r="F1135">
        <v>32</v>
      </c>
      <c r="G1135">
        <v>34</v>
      </c>
      <c r="H1135" t="s">
        <v>46</v>
      </c>
      <c r="I1135" t="s">
        <v>47</v>
      </c>
    </row>
    <row r="1136" spans="1:9" x14ac:dyDescent="0.35">
      <c r="A1136" s="1">
        <v>45329</v>
      </c>
      <c r="B1136" t="s">
        <v>39</v>
      </c>
      <c r="C1136" t="s">
        <v>40</v>
      </c>
      <c r="D1136" t="s">
        <v>15</v>
      </c>
      <c r="E1136" t="s">
        <v>16</v>
      </c>
      <c r="F1136">
        <v>34</v>
      </c>
      <c r="G1136">
        <v>41</v>
      </c>
      <c r="H1136" t="s">
        <v>48</v>
      </c>
      <c r="I1136" t="s">
        <v>50</v>
      </c>
    </row>
    <row r="1137" spans="1:9" x14ac:dyDescent="0.35">
      <c r="A1137" s="1">
        <v>45329</v>
      </c>
      <c r="B1137" t="s">
        <v>39</v>
      </c>
      <c r="C1137" t="s">
        <v>40</v>
      </c>
      <c r="D1137" t="s">
        <v>18</v>
      </c>
      <c r="E1137" t="s">
        <v>19</v>
      </c>
      <c r="F1137">
        <v>38</v>
      </c>
      <c r="G1137">
        <v>39.799999999999997</v>
      </c>
      <c r="H1137" t="s">
        <v>46</v>
      </c>
      <c r="I1137" t="s">
        <v>47</v>
      </c>
    </row>
    <row r="1138" spans="1:9" x14ac:dyDescent="0.35">
      <c r="A1138" s="1">
        <v>45329</v>
      </c>
      <c r="B1138" t="s">
        <v>39</v>
      </c>
      <c r="C1138" t="s">
        <v>40</v>
      </c>
      <c r="D1138" t="s">
        <v>21</v>
      </c>
      <c r="E1138" t="s">
        <v>22</v>
      </c>
      <c r="F1138">
        <v>32</v>
      </c>
      <c r="G1138">
        <v>31.8</v>
      </c>
      <c r="H1138" t="s">
        <v>46</v>
      </c>
      <c r="I1138" t="s">
        <v>47</v>
      </c>
    </row>
    <row r="1139" spans="1:9" x14ac:dyDescent="0.35">
      <c r="A1139" s="1">
        <v>45329</v>
      </c>
      <c r="B1139" t="s">
        <v>39</v>
      </c>
      <c r="C1139" t="s">
        <v>40</v>
      </c>
      <c r="D1139" t="s">
        <v>24</v>
      </c>
      <c r="E1139" t="s">
        <v>25</v>
      </c>
      <c r="F1139">
        <v>50</v>
      </c>
      <c r="G1139">
        <v>50.7</v>
      </c>
      <c r="H1139" t="s">
        <v>46</v>
      </c>
      <c r="I1139" t="s">
        <v>47</v>
      </c>
    </row>
    <row r="1140" spans="1:9" x14ac:dyDescent="0.35">
      <c r="A1140" s="1">
        <v>45329</v>
      </c>
      <c r="B1140" t="s">
        <v>39</v>
      </c>
      <c r="C1140" t="s">
        <v>40</v>
      </c>
      <c r="D1140" t="s">
        <v>26</v>
      </c>
      <c r="E1140" t="s">
        <v>27</v>
      </c>
      <c r="F1140">
        <v>38</v>
      </c>
      <c r="G1140">
        <v>37.4</v>
      </c>
      <c r="H1140" t="s">
        <v>46</v>
      </c>
      <c r="I1140" t="s">
        <v>47</v>
      </c>
    </row>
    <row r="1141" spans="1:9" x14ac:dyDescent="0.35">
      <c r="A1141" s="1">
        <v>45329</v>
      </c>
      <c r="B1141" t="s">
        <v>39</v>
      </c>
      <c r="C1141" t="s">
        <v>40</v>
      </c>
      <c r="D1141" t="s">
        <v>28</v>
      </c>
      <c r="E1141" t="s">
        <v>29</v>
      </c>
      <c r="F1141">
        <v>32</v>
      </c>
      <c r="G1141">
        <v>41.9</v>
      </c>
      <c r="H1141" t="s">
        <v>48</v>
      </c>
      <c r="I1141" t="s">
        <v>50</v>
      </c>
    </row>
    <row r="1142" spans="1:9" x14ac:dyDescent="0.35">
      <c r="A1142" s="1">
        <v>45330</v>
      </c>
      <c r="B1142" t="s">
        <v>12</v>
      </c>
      <c r="C1142" t="s">
        <v>13</v>
      </c>
      <c r="D1142" t="s">
        <v>15</v>
      </c>
      <c r="E1142" t="s">
        <v>16</v>
      </c>
      <c r="F1142">
        <v>34</v>
      </c>
      <c r="G1142">
        <v>33.799999999999997</v>
      </c>
      <c r="H1142" t="s">
        <v>46</v>
      </c>
      <c r="I1142" t="s">
        <v>47</v>
      </c>
    </row>
    <row r="1143" spans="1:9" x14ac:dyDescent="0.35">
      <c r="A1143" s="1">
        <v>45330</v>
      </c>
      <c r="B1143" t="s">
        <v>12</v>
      </c>
      <c r="C1143" t="s">
        <v>13</v>
      </c>
      <c r="D1143" t="s">
        <v>18</v>
      </c>
      <c r="E1143" t="s">
        <v>19</v>
      </c>
      <c r="F1143">
        <v>38</v>
      </c>
      <c r="G1143">
        <v>49.3</v>
      </c>
      <c r="H1143" t="s">
        <v>48</v>
      </c>
      <c r="I1143" t="s">
        <v>49</v>
      </c>
    </row>
    <row r="1144" spans="1:9" x14ac:dyDescent="0.35">
      <c r="A1144" s="1">
        <v>45330</v>
      </c>
      <c r="B1144" t="s">
        <v>12</v>
      </c>
      <c r="C1144" t="s">
        <v>13</v>
      </c>
      <c r="D1144" t="s">
        <v>21</v>
      </c>
      <c r="E1144" t="s">
        <v>22</v>
      </c>
      <c r="F1144">
        <v>32</v>
      </c>
      <c r="G1144">
        <v>32.9</v>
      </c>
      <c r="H1144" t="s">
        <v>46</v>
      </c>
      <c r="I1144" t="s">
        <v>47</v>
      </c>
    </row>
    <row r="1145" spans="1:9" x14ac:dyDescent="0.35">
      <c r="A1145" s="1">
        <v>45330</v>
      </c>
      <c r="B1145" t="s">
        <v>12</v>
      </c>
      <c r="C1145" t="s">
        <v>13</v>
      </c>
      <c r="D1145" t="s">
        <v>24</v>
      </c>
      <c r="E1145" t="s">
        <v>25</v>
      </c>
      <c r="F1145">
        <v>50</v>
      </c>
      <c r="G1145">
        <v>49.2</v>
      </c>
      <c r="H1145" t="s">
        <v>46</v>
      </c>
      <c r="I1145" t="s">
        <v>47</v>
      </c>
    </row>
    <row r="1146" spans="1:9" x14ac:dyDescent="0.35">
      <c r="A1146" s="1">
        <v>45330</v>
      </c>
      <c r="B1146" t="s">
        <v>12</v>
      </c>
      <c r="C1146" t="s">
        <v>13</v>
      </c>
      <c r="D1146" t="s">
        <v>26</v>
      </c>
      <c r="E1146" t="s">
        <v>27</v>
      </c>
      <c r="F1146">
        <v>38</v>
      </c>
      <c r="G1146">
        <v>37</v>
      </c>
      <c r="H1146" t="s">
        <v>46</v>
      </c>
      <c r="I1146" t="s">
        <v>47</v>
      </c>
    </row>
    <row r="1147" spans="1:9" x14ac:dyDescent="0.35">
      <c r="A1147" s="1">
        <v>45330</v>
      </c>
      <c r="B1147" t="s">
        <v>12</v>
      </c>
      <c r="C1147" t="s">
        <v>13</v>
      </c>
      <c r="D1147" t="s">
        <v>28</v>
      </c>
      <c r="E1147" t="s">
        <v>29</v>
      </c>
      <c r="F1147">
        <v>32</v>
      </c>
      <c r="G1147">
        <v>39</v>
      </c>
      <c r="H1147" t="s">
        <v>48</v>
      </c>
      <c r="I1147" t="s">
        <v>50</v>
      </c>
    </row>
    <row r="1148" spans="1:9" x14ac:dyDescent="0.35">
      <c r="A1148" s="1">
        <v>45330</v>
      </c>
      <c r="B1148" t="s">
        <v>30</v>
      </c>
      <c r="C1148" t="s">
        <v>31</v>
      </c>
      <c r="D1148" t="s">
        <v>15</v>
      </c>
      <c r="E1148" t="s">
        <v>16</v>
      </c>
      <c r="F1148">
        <v>34</v>
      </c>
      <c r="G1148">
        <v>35.4</v>
      </c>
      <c r="H1148" t="s">
        <v>46</v>
      </c>
      <c r="I1148" t="s">
        <v>47</v>
      </c>
    </row>
    <row r="1149" spans="1:9" x14ac:dyDescent="0.35">
      <c r="A1149" s="1">
        <v>45330</v>
      </c>
      <c r="B1149" t="s">
        <v>30</v>
      </c>
      <c r="C1149" t="s">
        <v>31</v>
      </c>
      <c r="D1149" t="s">
        <v>18</v>
      </c>
      <c r="E1149" t="s">
        <v>19</v>
      </c>
      <c r="F1149">
        <v>38</v>
      </c>
      <c r="G1149">
        <v>39.700000000000003</v>
      </c>
      <c r="H1149" t="s">
        <v>46</v>
      </c>
      <c r="I1149" t="s">
        <v>47</v>
      </c>
    </row>
    <row r="1150" spans="1:9" x14ac:dyDescent="0.35">
      <c r="A1150" s="1">
        <v>45330</v>
      </c>
      <c r="B1150" t="s">
        <v>30</v>
      </c>
      <c r="C1150" t="s">
        <v>31</v>
      </c>
      <c r="D1150" t="s">
        <v>21</v>
      </c>
      <c r="E1150" t="s">
        <v>22</v>
      </c>
      <c r="F1150">
        <v>32</v>
      </c>
      <c r="G1150">
        <v>39.200000000000003</v>
      </c>
      <c r="H1150" t="s">
        <v>48</v>
      </c>
      <c r="I1150" t="s">
        <v>50</v>
      </c>
    </row>
    <row r="1151" spans="1:9" x14ac:dyDescent="0.35">
      <c r="A1151" s="1">
        <v>45330</v>
      </c>
      <c r="B1151" t="s">
        <v>30</v>
      </c>
      <c r="C1151" t="s">
        <v>31</v>
      </c>
      <c r="D1151" t="s">
        <v>24</v>
      </c>
      <c r="E1151" t="s">
        <v>25</v>
      </c>
      <c r="F1151">
        <v>50</v>
      </c>
      <c r="G1151">
        <v>50.1</v>
      </c>
      <c r="H1151" t="s">
        <v>46</v>
      </c>
      <c r="I1151" t="s">
        <v>47</v>
      </c>
    </row>
    <row r="1152" spans="1:9" x14ac:dyDescent="0.35">
      <c r="A1152" s="1">
        <v>45330</v>
      </c>
      <c r="B1152" t="s">
        <v>30</v>
      </c>
      <c r="C1152" t="s">
        <v>31</v>
      </c>
      <c r="D1152" t="s">
        <v>26</v>
      </c>
      <c r="E1152" t="s">
        <v>27</v>
      </c>
      <c r="F1152">
        <v>38</v>
      </c>
      <c r="G1152">
        <v>38.4</v>
      </c>
      <c r="H1152" t="s">
        <v>46</v>
      </c>
      <c r="I1152" t="s">
        <v>47</v>
      </c>
    </row>
    <row r="1153" spans="1:9" x14ac:dyDescent="0.35">
      <c r="A1153" s="1">
        <v>45330</v>
      </c>
      <c r="B1153" t="s">
        <v>30</v>
      </c>
      <c r="C1153" t="s">
        <v>31</v>
      </c>
      <c r="D1153" t="s">
        <v>28</v>
      </c>
      <c r="E1153" t="s">
        <v>29</v>
      </c>
      <c r="F1153">
        <v>32</v>
      </c>
      <c r="G1153">
        <v>34.1</v>
      </c>
      <c r="H1153" t="s">
        <v>46</v>
      </c>
      <c r="I1153" t="s">
        <v>47</v>
      </c>
    </row>
    <row r="1154" spans="1:9" x14ac:dyDescent="0.35">
      <c r="A1154" s="1">
        <v>45330</v>
      </c>
      <c r="B1154" t="s">
        <v>33</v>
      </c>
      <c r="C1154" t="s">
        <v>34</v>
      </c>
      <c r="D1154" t="s">
        <v>15</v>
      </c>
      <c r="E1154" t="s">
        <v>16</v>
      </c>
      <c r="F1154">
        <v>34</v>
      </c>
      <c r="G1154">
        <v>35</v>
      </c>
      <c r="H1154" t="s">
        <v>46</v>
      </c>
      <c r="I1154" t="s">
        <v>47</v>
      </c>
    </row>
    <row r="1155" spans="1:9" x14ac:dyDescent="0.35">
      <c r="A1155" s="1">
        <v>45330</v>
      </c>
      <c r="B1155" t="s">
        <v>33</v>
      </c>
      <c r="C1155" t="s">
        <v>34</v>
      </c>
      <c r="D1155" t="s">
        <v>18</v>
      </c>
      <c r="E1155" t="s">
        <v>19</v>
      </c>
      <c r="F1155">
        <v>38</v>
      </c>
      <c r="G1155">
        <v>50.6</v>
      </c>
      <c r="H1155" t="s">
        <v>48</v>
      </c>
      <c r="I1155" t="s">
        <v>49</v>
      </c>
    </row>
    <row r="1156" spans="1:9" x14ac:dyDescent="0.35">
      <c r="A1156" s="1">
        <v>45330</v>
      </c>
      <c r="B1156" t="s">
        <v>33</v>
      </c>
      <c r="C1156" t="s">
        <v>34</v>
      </c>
      <c r="D1156" t="s">
        <v>21</v>
      </c>
      <c r="E1156" t="s">
        <v>22</v>
      </c>
      <c r="F1156">
        <v>32</v>
      </c>
      <c r="G1156">
        <v>33.1</v>
      </c>
      <c r="H1156" t="s">
        <v>46</v>
      </c>
      <c r="I1156" t="s">
        <v>47</v>
      </c>
    </row>
    <row r="1157" spans="1:9" x14ac:dyDescent="0.35">
      <c r="A1157" s="1">
        <v>45330</v>
      </c>
      <c r="B1157" t="s">
        <v>33</v>
      </c>
      <c r="C1157" t="s">
        <v>34</v>
      </c>
      <c r="D1157" t="s">
        <v>24</v>
      </c>
      <c r="E1157" t="s">
        <v>25</v>
      </c>
      <c r="F1157">
        <v>50</v>
      </c>
      <c r="G1157">
        <v>52.9</v>
      </c>
      <c r="H1157" t="s">
        <v>46</v>
      </c>
      <c r="I1157" t="s">
        <v>47</v>
      </c>
    </row>
    <row r="1158" spans="1:9" x14ac:dyDescent="0.35">
      <c r="A1158" s="1">
        <v>45330</v>
      </c>
      <c r="B1158" t="s">
        <v>33</v>
      </c>
      <c r="C1158" t="s">
        <v>34</v>
      </c>
      <c r="D1158" t="s">
        <v>26</v>
      </c>
      <c r="E1158" t="s">
        <v>27</v>
      </c>
      <c r="F1158">
        <v>38</v>
      </c>
      <c r="G1158">
        <v>50</v>
      </c>
      <c r="H1158" t="s">
        <v>48</v>
      </c>
      <c r="I1158" t="s">
        <v>49</v>
      </c>
    </row>
    <row r="1159" spans="1:9" x14ac:dyDescent="0.35">
      <c r="A1159" s="1">
        <v>45330</v>
      </c>
      <c r="B1159" t="s">
        <v>33</v>
      </c>
      <c r="C1159" t="s">
        <v>34</v>
      </c>
      <c r="D1159" t="s">
        <v>28</v>
      </c>
      <c r="E1159" t="s">
        <v>29</v>
      </c>
      <c r="F1159">
        <v>32</v>
      </c>
      <c r="G1159">
        <v>43.8</v>
      </c>
      <c r="H1159" t="s">
        <v>48</v>
      </c>
      <c r="I1159" t="s">
        <v>49</v>
      </c>
    </row>
    <row r="1160" spans="1:9" x14ac:dyDescent="0.35">
      <c r="A1160" s="1">
        <v>45330</v>
      </c>
      <c r="B1160" t="s">
        <v>36</v>
      </c>
      <c r="C1160" t="s">
        <v>37</v>
      </c>
      <c r="D1160" t="s">
        <v>15</v>
      </c>
      <c r="E1160" t="s">
        <v>16</v>
      </c>
      <c r="F1160">
        <v>34</v>
      </c>
      <c r="G1160">
        <v>36.700000000000003</v>
      </c>
      <c r="H1160" t="s">
        <v>46</v>
      </c>
      <c r="I1160" t="s">
        <v>47</v>
      </c>
    </row>
    <row r="1161" spans="1:9" x14ac:dyDescent="0.35">
      <c r="A1161" s="1">
        <v>45330</v>
      </c>
      <c r="B1161" t="s">
        <v>36</v>
      </c>
      <c r="C1161" t="s">
        <v>37</v>
      </c>
      <c r="D1161" t="s">
        <v>18</v>
      </c>
      <c r="E1161" t="s">
        <v>19</v>
      </c>
      <c r="F1161">
        <v>38</v>
      </c>
      <c r="G1161">
        <v>38.9</v>
      </c>
      <c r="H1161" t="s">
        <v>46</v>
      </c>
      <c r="I1161" t="s">
        <v>47</v>
      </c>
    </row>
    <row r="1162" spans="1:9" x14ac:dyDescent="0.35">
      <c r="A1162" s="1">
        <v>45330</v>
      </c>
      <c r="B1162" t="s">
        <v>36</v>
      </c>
      <c r="C1162" t="s">
        <v>37</v>
      </c>
      <c r="D1162" t="s">
        <v>21</v>
      </c>
      <c r="E1162" t="s">
        <v>22</v>
      </c>
      <c r="F1162">
        <v>32</v>
      </c>
      <c r="G1162">
        <v>31.7</v>
      </c>
      <c r="H1162" t="s">
        <v>46</v>
      </c>
      <c r="I1162" t="s">
        <v>47</v>
      </c>
    </row>
    <row r="1163" spans="1:9" x14ac:dyDescent="0.35">
      <c r="A1163" s="1">
        <v>45330</v>
      </c>
      <c r="B1163" t="s">
        <v>36</v>
      </c>
      <c r="C1163" t="s">
        <v>37</v>
      </c>
      <c r="D1163" t="s">
        <v>24</v>
      </c>
      <c r="E1163" t="s">
        <v>25</v>
      </c>
      <c r="F1163">
        <v>50</v>
      </c>
      <c r="G1163">
        <v>49.4</v>
      </c>
      <c r="H1163" t="s">
        <v>46</v>
      </c>
      <c r="I1163" t="s">
        <v>47</v>
      </c>
    </row>
    <row r="1164" spans="1:9" x14ac:dyDescent="0.35">
      <c r="A1164" s="1">
        <v>45330</v>
      </c>
      <c r="B1164" t="s">
        <v>36</v>
      </c>
      <c r="C1164" t="s">
        <v>37</v>
      </c>
      <c r="D1164" t="s">
        <v>26</v>
      </c>
      <c r="E1164" t="s">
        <v>27</v>
      </c>
      <c r="F1164">
        <v>38</v>
      </c>
      <c r="G1164">
        <v>40.9</v>
      </c>
      <c r="H1164" t="s">
        <v>46</v>
      </c>
      <c r="I1164" t="s">
        <v>47</v>
      </c>
    </row>
    <row r="1165" spans="1:9" x14ac:dyDescent="0.35">
      <c r="A1165" s="1">
        <v>45330</v>
      </c>
      <c r="B1165" t="s">
        <v>36</v>
      </c>
      <c r="C1165" t="s">
        <v>37</v>
      </c>
      <c r="D1165" t="s">
        <v>28</v>
      </c>
      <c r="E1165" t="s">
        <v>29</v>
      </c>
      <c r="F1165">
        <v>32</v>
      </c>
      <c r="G1165">
        <v>33.1</v>
      </c>
      <c r="H1165" t="s">
        <v>46</v>
      </c>
      <c r="I1165" t="s">
        <v>47</v>
      </c>
    </row>
    <row r="1166" spans="1:9" x14ac:dyDescent="0.35">
      <c r="A1166" s="1">
        <v>45330</v>
      </c>
      <c r="B1166" t="s">
        <v>39</v>
      </c>
      <c r="C1166" t="s">
        <v>40</v>
      </c>
      <c r="D1166" t="s">
        <v>15</v>
      </c>
      <c r="E1166" t="s">
        <v>16</v>
      </c>
      <c r="F1166">
        <v>34</v>
      </c>
      <c r="G1166">
        <v>36</v>
      </c>
      <c r="H1166" t="s">
        <v>46</v>
      </c>
      <c r="I1166" t="s">
        <v>47</v>
      </c>
    </row>
    <row r="1167" spans="1:9" x14ac:dyDescent="0.35">
      <c r="A1167" s="1">
        <v>45330</v>
      </c>
      <c r="B1167" t="s">
        <v>39</v>
      </c>
      <c r="C1167" t="s">
        <v>40</v>
      </c>
      <c r="D1167" t="s">
        <v>18</v>
      </c>
      <c r="E1167" t="s">
        <v>19</v>
      </c>
      <c r="F1167">
        <v>38</v>
      </c>
      <c r="G1167">
        <v>38.9</v>
      </c>
      <c r="H1167" t="s">
        <v>46</v>
      </c>
      <c r="I1167" t="s">
        <v>47</v>
      </c>
    </row>
    <row r="1168" spans="1:9" x14ac:dyDescent="0.35">
      <c r="A1168" s="1">
        <v>45330</v>
      </c>
      <c r="B1168" t="s">
        <v>39</v>
      </c>
      <c r="C1168" t="s">
        <v>40</v>
      </c>
      <c r="D1168" t="s">
        <v>21</v>
      </c>
      <c r="E1168" t="s">
        <v>22</v>
      </c>
      <c r="F1168">
        <v>32</v>
      </c>
      <c r="G1168">
        <v>33</v>
      </c>
      <c r="H1168" t="s">
        <v>46</v>
      </c>
      <c r="I1168" t="s">
        <v>47</v>
      </c>
    </row>
    <row r="1169" spans="1:9" x14ac:dyDescent="0.35">
      <c r="A1169" s="1">
        <v>45330</v>
      </c>
      <c r="B1169" t="s">
        <v>39</v>
      </c>
      <c r="C1169" t="s">
        <v>40</v>
      </c>
      <c r="D1169" t="s">
        <v>24</v>
      </c>
      <c r="E1169" t="s">
        <v>25</v>
      </c>
      <c r="F1169">
        <v>50</v>
      </c>
      <c r="G1169">
        <v>50.2</v>
      </c>
      <c r="H1169" t="s">
        <v>46</v>
      </c>
      <c r="I1169" t="s">
        <v>47</v>
      </c>
    </row>
    <row r="1170" spans="1:9" x14ac:dyDescent="0.35">
      <c r="A1170" s="1">
        <v>45330</v>
      </c>
      <c r="B1170" t="s">
        <v>39</v>
      </c>
      <c r="C1170" t="s">
        <v>40</v>
      </c>
      <c r="D1170" t="s">
        <v>26</v>
      </c>
      <c r="E1170" t="s">
        <v>27</v>
      </c>
      <c r="F1170">
        <v>38</v>
      </c>
      <c r="G1170">
        <v>37.299999999999997</v>
      </c>
      <c r="H1170" t="s">
        <v>46</v>
      </c>
      <c r="I1170" t="s">
        <v>47</v>
      </c>
    </row>
    <row r="1171" spans="1:9" x14ac:dyDescent="0.35">
      <c r="A1171" s="1">
        <v>45330</v>
      </c>
      <c r="B1171" t="s">
        <v>39</v>
      </c>
      <c r="C1171" t="s">
        <v>40</v>
      </c>
      <c r="D1171" t="s">
        <v>28</v>
      </c>
      <c r="E1171" t="s">
        <v>29</v>
      </c>
      <c r="F1171">
        <v>32</v>
      </c>
      <c r="G1171">
        <v>32.5</v>
      </c>
      <c r="H1171" t="s">
        <v>46</v>
      </c>
      <c r="I1171" t="s">
        <v>47</v>
      </c>
    </row>
    <row r="1172" spans="1:9" x14ac:dyDescent="0.35">
      <c r="A1172" s="1">
        <v>45331</v>
      </c>
      <c r="B1172" t="s">
        <v>12</v>
      </c>
      <c r="C1172" t="s">
        <v>13</v>
      </c>
      <c r="D1172" t="s">
        <v>15</v>
      </c>
      <c r="E1172" t="s">
        <v>16</v>
      </c>
      <c r="F1172">
        <v>34</v>
      </c>
      <c r="G1172">
        <v>35.9</v>
      </c>
      <c r="H1172" t="s">
        <v>46</v>
      </c>
      <c r="I1172" t="s">
        <v>47</v>
      </c>
    </row>
    <row r="1173" spans="1:9" x14ac:dyDescent="0.35">
      <c r="A1173" s="1">
        <v>45331</v>
      </c>
      <c r="B1173" t="s">
        <v>12</v>
      </c>
      <c r="C1173" t="s">
        <v>13</v>
      </c>
      <c r="D1173" t="s">
        <v>18</v>
      </c>
      <c r="E1173" t="s">
        <v>19</v>
      </c>
      <c r="F1173">
        <v>38</v>
      </c>
      <c r="G1173">
        <v>40.4</v>
      </c>
      <c r="H1173" t="s">
        <v>46</v>
      </c>
      <c r="I1173" t="s">
        <v>47</v>
      </c>
    </row>
    <row r="1174" spans="1:9" x14ac:dyDescent="0.35">
      <c r="A1174" s="1">
        <v>45331</v>
      </c>
      <c r="B1174" t="s">
        <v>12</v>
      </c>
      <c r="C1174" t="s">
        <v>13</v>
      </c>
      <c r="D1174" t="s">
        <v>21</v>
      </c>
      <c r="E1174" t="s">
        <v>22</v>
      </c>
      <c r="F1174">
        <v>32</v>
      </c>
      <c r="G1174">
        <v>32.6</v>
      </c>
      <c r="H1174" t="s">
        <v>46</v>
      </c>
      <c r="I1174" t="s">
        <v>47</v>
      </c>
    </row>
    <row r="1175" spans="1:9" x14ac:dyDescent="0.35">
      <c r="A1175" s="1">
        <v>45331</v>
      </c>
      <c r="B1175" t="s">
        <v>12</v>
      </c>
      <c r="C1175" t="s">
        <v>13</v>
      </c>
      <c r="D1175" t="s">
        <v>24</v>
      </c>
      <c r="E1175" t="s">
        <v>25</v>
      </c>
      <c r="F1175">
        <v>50</v>
      </c>
      <c r="G1175">
        <v>50.7</v>
      </c>
      <c r="H1175" t="s">
        <v>46</v>
      </c>
      <c r="I1175" t="s">
        <v>47</v>
      </c>
    </row>
    <row r="1176" spans="1:9" x14ac:dyDescent="0.35">
      <c r="A1176" s="1">
        <v>45331</v>
      </c>
      <c r="B1176" t="s">
        <v>12</v>
      </c>
      <c r="C1176" t="s">
        <v>13</v>
      </c>
      <c r="D1176" t="s">
        <v>26</v>
      </c>
      <c r="E1176" t="s">
        <v>27</v>
      </c>
      <c r="F1176">
        <v>38</v>
      </c>
      <c r="G1176">
        <v>40.6</v>
      </c>
      <c r="H1176" t="s">
        <v>46</v>
      </c>
      <c r="I1176" t="s">
        <v>47</v>
      </c>
    </row>
    <row r="1177" spans="1:9" x14ac:dyDescent="0.35">
      <c r="A1177" s="1">
        <v>45331</v>
      </c>
      <c r="B1177" t="s">
        <v>12</v>
      </c>
      <c r="C1177" t="s">
        <v>13</v>
      </c>
      <c r="D1177" t="s">
        <v>28</v>
      </c>
      <c r="E1177" t="s">
        <v>29</v>
      </c>
      <c r="F1177">
        <v>32</v>
      </c>
      <c r="G1177">
        <v>34.799999999999997</v>
      </c>
      <c r="H1177" t="s">
        <v>46</v>
      </c>
      <c r="I1177" t="s">
        <v>47</v>
      </c>
    </row>
    <row r="1178" spans="1:9" x14ac:dyDescent="0.35">
      <c r="A1178" s="1">
        <v>45331</v>
      </c>
      <c r="B1178" t="s">
        <v>30</v>
      </c>
      <c r="C1178" t="s">
        <v>31</v>
      </c>
      <c r="D1178" t="s">
        <v>15</v>
      </c>
      <c r="E1178" t="s">
        <v>16</v>
      </c>
      <c r="F1178">
        <v>34</v>
      </c>
      <c r="G1178">
        <v>33.1</v>
      </c>
      <c r="H1178" t="s">
        <v>46</v>
      </c>
      <c r="I1178" t="s">
        <v>47</v>
      </c>
    </row>
    <row r="1179" spans="1:9" x14ac:dyDescent="0.35">
      <c r="A1179" s="1">
        <v>45331</v>
      </c>
      <c r="B1179" t="s">
        <v>30</v>
      </c>
      <c r="C1179" t="s">
        <v>31</v>
      </c>
      <c r="D1179" t="s">
        <v>18</v>
      </c>
      <c r="E1179" t="s">
        <v>19</v>
      </c>
      <c r="F1179">
        <v>38</v>
      </c>
      <c r="G1179">
        <v>39.700000000000003</v>
      </c>
      <c r="H1179" t="s">
        <v>46</v>
      </c>
      <c r="I1179" t="s">
        <v>47</v>
      </c>
    </row>
    <row r="1180" spans="1:9" x14ac:dyDescent="0.35">
      <c r="A1180" s="1">
        <v>45331</v>
      </c>
      <c r="B1180" t="s">
        <v>30</v>
      </c>
      <c r="C1180" t="s">
        <v>31</v>
      </c>
      <c r="D1180" t="s">
        <v>21</v>
      </c>
      <c r="E1180" t="s">
        <v>22</v>
      </c>
      <c r="F1180">
        <v>32</v>
      </c>
      <c r="G1180">
        <v>33.1</v>
      </c>
      <c r="H1180" t="s">
        <v>46</v>
      </c>
      <c r="I1180" t="s">
        <v>47</v>
      </c>
    </row>
    <row r="1181" spans="1:9" x14ac:dyDescent="0.35">
      <c r="A1181" s="1">
        <v>45331</v>
      </c>
      <c r="B1181" t="s">
        <v>30</v>
      </c>
      <c r="C1181" t="s">
        <v>31</v>
      </c>
      <c r="D1181" t="s">
        <v>24</v>
      </c>
      <c r="E1181" t="s">
        <v>25</v>
      </c>
      <c r="F1181">
        <v>50</v>
      </c>
      <c r="G1181">
        <v>49.5</v>
      </c>
      <c r="H1181" t="s">
        <v>46</v>
      </c>
      <c r="I1181" t="s">
        <v>47</v>
      </c>
    </row>
    <row r="1182" spans="1:9" x14ac:dyDescent="0.35">
      <c r="A1182" s="1">
        <v>45331</v>
      </c>
      <c r="B1182" t="s">
        <v>30</v>
      </c>
      <c r="C1182" t="s">
        <v>31</v>
      </c>
      <c r="D1182" t="s">
        <v>26</v>
      </c>
      <c r="E1182" t="s">
        <v>27</v>
      </c>
      <c r="F1182">
        <v>38</v>
      </c>
      <c r="G1182">
        <v>39.799999999999997</v>
      </c>
      <c r="H1182" t="s">
        <v>46</v>
      </c>
      <c r="I1182" t="s">
        <v>47</v>
      </c>
    </row>
    <row r="1183" spans="1:9" x14ac:dyDescent="0.35">
      <c r="A1183" s="1">
        <v>45331</v>
      </c>
      <c r="B1183" t="s">
        <v>30</v>
      </c>
      <c r="C1183" t="s">
        <v>31</v>
      </c>
      <c r="D1183" t="s">
        <v>28</v>
      </c>
      <c r="E1183" t="s">
        <v>29</v>
      </c>
      <c r="F1183">
        <v>32</v>
      </c>
      <c r="G1183">
        <v>34</v>
      </c>
      <c r="H1183" t="s">
        <v>46</v>
      </c>
      <c r="I1183" t="s">
        <v>47</v>
      </c>
    </row>
    <row r="1184" spans="1:9" x14ac:dyDescent="0.35">
      <c r="A1184" s="1">
        <v>45331</v>
      </c>
      <c r="B1184" t="s">
        <v>33</v>
      </c>
      <c r="C1184" t="s">
        <v>34</v>
      </c>
      <c r="D1184" t="s">
        <v>15</v>
      </c>
      <c r="E1184" t="s">
        <v>16</v>
      </c>
      <c r="F1184">
        <v>34</v>
      </c>
      <c r="G1184">
        <v>33.700000000000003</v>
      </c>
      <c r="H1184" t="s">
        <v>46</v>
      </c>
      <c r="I1184" t="s">
        <v>47</v>
      </c>
    </row>
    <row r="1185" spans="1:9" x14ac:dyDescent="0.35">
      <c r="A1185" s="1">
        <v>45331</v>
      </c>
      <c r="B1185" t="s">
        <v>33</v>
      </c>
      <c r="C1185" t="s">
        <v>34</v>
      </c>
      <c r="D1185" t="s">
        <v>18</v>
      </c>
      <c r="E1185" t="s">
        <v>19</v>
      </c>
      <c r="F1185">
        <v>38</v>
      </c>
      <c r="G1185">
        <v>37.799999999999997</v>
      </c>
      <c r="H1185" t="s">
        <v>46</v>
      </c>
      <c r="I1185" t="s">
        <v>47</v>
      </c>
    </row>
    <row r="1186" spans="1:9" x14ac:dyDescent="0.35">
      <c r="A1186" s="1">
        <v>45331</v>
      </c>
      <c r="B1186" t="s">
        <v>33</v>
      </c>
      <c r="C1186" t="s">
        <v>34</v>
      </c>
      <c r="D1186" t="s">
        <v>21</v>
      </c>
      <c r="E1186" t="s">
        <v>22</v>
      </c>
      <c r="F1186">
        <v>32</v>
      </c>
      <c r="G1186">
        <v>34.4</v>
      </c>
      <c r="H1186" t="s">
        <v>46</v>
      </c>
      <c r="I1186" t="s">
        <v>47</v>
      </c>
    </row>
    <row r="1187" spans="1:9" x14ac:dyDescent="0.35">
      <c r="A1187" s="1">
        <v>45331</v>
      </c>
      <c r="B1187" t="s">
        <v>33</v>
      </c>
      <c r="C1187" t="s">
        <v>34</v>
      </c>
      <c r="D1187" t="s">
        <v>24</v>
      </c>
      <c r="E1187" t="s">
        <v>25</v>
      </c>
      <c r="F1187">
        <v>50</v>
      </c>
      <c r="G1187">
        <v>49.9</v>
      </c>
      <c r="H1187" t="s">
        <v>46</v>
      </c>
      <c r="I1187" t="s">
        <v>47</v>
      </c>
    </row>
    <row r="1188" spans="1:9" x14ac:dyDescent="0.35">
      <c r="A1188" s="1">
        <v>45331</v>
      </c>
      <c r="B1188" t="s">
        <v>33</v>
      </c>
      <c r="C1188" t="s">
        <v>34</v>
      </c>
      <c r="D1188" t="s">
        <v>26</v>
      </c>
      <c r="E1188" t="s">
        <v>27</v>
      </c>
      <c r="F1188">
        <v>38</v>
      </c>
      <c r="G1188">
        <v>39</v>
      </c>
      <c r="H1188" t="s">
        <v>46</v>
      </c>
      <c r="I1188" t="s">
        <v>47</v>
      </c>
    </row>
    <row r="1189" spans="1:9" x14ac:dyDescent="0.35">
      <c r="A1189" s="1">
        <v>45331</v>
      </c>
      <c r="B1189" t="s">
        <v>33</v>
      </c>
      <c r="C1189" t="s">
        <v>34</v>
      </c>
      <c r="D1189" t="s">
        <v>28</v>
      </c>
      <c r="E1189" t="s">
        <v>29</v>
      </c>
      <c r="F1189">
        <v>32</v>
      </c>
      <c r="G1189">
        <v>34.1</v>
      </c>
      <c r="H1189" t="s">
        <v>46</v>
      </c>
      <c r="I1189" t="s">
        <v>47</v>
      </c>
    </row>
    <row r="1190" spans="1:9" x14ac:dyDescent="0.35">
      <c r="A1190" s="1">
        <v>45331</v>
      </c>
      <c r="B1190" t="s">
        <v>36</v>
      </c>
      <c r="C1190" t="s">
        <v>37</v>
      </c>
      <c r="D1190" t="s">
        <v>15</v>
      </c>
      <c r="E1190" t="s">
        <v>16</v>
      </c>
      <c r="F1190">
        <v>34</v>
      </c>
      <c r="G1190">
        <v>36</v>
      </c>
      <c r="H1190" t="s">
        <v>46</v>
      </c>
      <c r="I1190" t="s">
        <v>47</v>
      </c>
    </row>
    <row r="1191" spans="1:9" x14ac:dyDescent="0.35">
      <c r="A1191" s="1">
        <v>45331</v>
      </c>
      <c r="B1191" t="s">
        <v>36</v>
      </c>
      <c r="C1191" t="s">
        <v>37</v>
      </c>
      <c r="D1191" t="s">
        <v>18</v>
      </c>
      <c r="E1191" t="s">
        <v>19</v>
      </c>
      <c r="F1191">
        <v>38</v>
      </c>
      <c r="G1191">
        <v>40.799999999999997</v>
      </c>
      <c r="H1191" t="s">
        <v>46</v>
      </c>
      <c r="I1191" t="s">
        <v>47</v>
      </c>
    </row>
    <row r="1192" spans="1:9" x14ac:dyDescent="0.35">
      <c r="A1192" s="1">
        <v>45331</v>
      </c>
      <c r="B1192" t="s">
        <v>36</v>
      </c>
      <c r="C1192" t="s">
        <v>37</v>
      </c>
      <c r="D1192" t="s">
        <v>21</v>
      </c>
      <c r="E1192" t="s">
        <v>22</v>
      </c>
      <c r="F1192">
        <v>32</v>
      </c>
      <c r="G1192">
        <v>33.700000000000003</v>
      </c>
      <c r="H1192" t="s">
        <v>46</v>
      </c>
      <c r="I1192" t="s">
        <v>47</v>
      </c>
    </row>
    <row r="1193" spans="1:9" x14ac:dyDescent="0.35">
      <c r="A1193" s="1">
        <v>45331</v>
      </c>
      <c r="B1193" t="s">
        <v>36</v>
      </c>
      <c r="C1193" t="s">
        <v>37</v>
      </c>
      <c r="D1193" t="s">
        <v>24</v>
      </c>
      <c r="E1193" t="s">
        <v>25</v>
      </c>
      <c r="F1193">
        <v>50</v>
      </c>
      <c r="G1193">
        <v>53</v>
      </c>
      <c r="H1193" t="s">
        <v>46</v>
      </c>
      <c r="I1193" t="s">
        <v>47</v>
      </c>
    </row>
    <row r="1194" spans="1:9" x14ac:dyDescent="0.35">
      <c r="A1194" s="1">
        <v>45331</v>
      </c>
      <c r="B1194" t="s">
        <v>36</v>
      </c>
      <c r="C1194" t="s">
        <v>37</v>
      </c>
      <c r="D1194" t="s">
        <v>26</v>
      </c>
      <c r="E1194" t="s">
        <v>27</v>
      </c>
      <c r="F1194">
        <v>38</v>
      </c>
      <c r="G1194">
        <v>37.6</v>
      </c>
      <c r="H1194" t="s">
        <v>46</v>
      </c>
      <c r="I1194" t="s">
        <v>47</v>
      </c>
    </row>
    <row r="1195" spans="1:9" x14ac:dyDescent="0.35">
      <c r="A1195" s="1">
        <v>45331</v>
      </c>
      <c r="B1195" t="s">
        <v>36</v>
      </c>
      <c r="C1195" t="s">
        <v>37</v>
      </c>
      <c r="D1195" t="s">
        <v>28</v>
      </c>
      <c r="E1195" t="s">
        <v>29</v>
      </c>
      <c r="F1195">
        <v>32</v>
      </c>
      <c r="G1195">
        <v>31.5</v>
      </c>
      <c r="H1195" t="s">
        <v>46</v>
      </c>
      <c r="I1195" t="s">
        <v>47</v>
      </c>
    </row>
    <row r="1196" spans="1:9" x14ac:dyDescent="0.35">
      <c r="A1196" s="1">
        <v>45331</v>
      </c>
      <c r="B1196" t="s">
        <v>39</v>
      </c>
      <c r="C1196" t="s">
        <v>40</v>
      </c>
      <c r="D1196" t="s">
        <v>15</v>
      </c>
      <c r="E1196" t="s">
        <v>16</v>
      </c>
      <c r="F1196">
        <v>34</v>
      </c>
      <c r="G1196">
        <v>33.9</v>
      </c>
      <c r="H1196" t="s">
        <v>46</v>
      </c>
      <c r="I1196" t="s">
        <v>47</v>
      </c>
    </row>
    <row r="1197" spans="1:9" x14ac:dyDescent="0.35">
      <c r="A1197" s="1">
        <v>45331</v>
      </c>
      <c r="B1197" t="s">
        <v>39</v>
      </c>
      <c r="C1197" t="s">
        <v>40</v>
      </c>
      <c r="D1197" t="s">
        <v>18</v>
      </c>
      <c r="E1197" t="s">
        <v>19</v>
      </c>
      <c r="F1197">
        <v>38</v>
      </c>
      <c r="G1197">
        <v>37.1</v>
      </c>
      <c r="H1197" t="s">
        <v>46</v>
      </c>
      <c r="I1197" t="s">
        <v>47</v>
      </c>
    </row>
    <row r="1198" spans="1:9" x14ac:dyDescent="0.35">
      <c r="A1198" s="1">
        <v>45331</v>
      </c>
      <c r="B1198" t="s">
        <v>39</v>
      </c>
      <c r="C1198" t="s">
        <v>40</v>
      </c>
      <c r="D1198" t="s">
        <v>21</v>
      </c>
      <c r="E1198" t="s">
        <v>22</v>
      </c>
      <c r="F1198">
        <v>32</v>
      </c>
      <c r="G1198">
        <v>34.299999999999997</v>
      </c>
      <c r="H1198" t="s">
        <v>46</v>
      </c>
      <c r="I1198" t="s">
        <v>47</v>
      </c>
    </row>
    <row r="1199" spans="1:9" x14ac:dyDescent="0.35">
      <c r="A1199" s="1">
        <v>45331</v>
      </c>
      <c r="B1199" t="s">
        <v>39</v>
      </c>
      <c r="C1199" t="s">
        <v>40</v>
      </c>
      <c r="D1199" t="s">
        <v>24</v>
      </c>
      <c r="E1199" t="s">
        <v>25</v>
      </c>
      <c r="F1199">
        <v>50</v>
      </c>
      <c r="G1199">
        <v>49.1</v>
      </c>
      <c r="H1199" t="s">
        <v>46</v>
      </c>
      <c r="I1199" t="s">
        <v>47</v>
      </c>
    </row>
    <row r="1200" spans="1:9" x14ac:dyDescent="0.35">
      <c r="A1200" s="1">
        <v>45331</v>
      </c>
      <c r="B1200" t="s">
        <v>39</v>
      </c>
      <c r="C1200" t="s">
        <v>40</v>
      </c>
      <c r="D1200" t="s">
        <v>26</v>
      </c>
      <c r="E1200" t="s">
        <v>27</v>
      </c>
      <c r="F1200">
        <v>38</v>
      </c>
      <c r="G1200">
        <v>48.8</v>
      </c>
      <c r="H1200" t="s">
        <v>48</v>
      </c>
      <c r="I1200" t="s">
        <v>49</v>
      </c>
    </row>
    <row r="1201" spans="1:9" x14ac:dyDescent="0.35">
      <c r="A1201" s="1">
        <v>45331</v>
      </c>
      <c r="B1201" t="s">
        <v>39</v>
      </c>
      <c r="C1201" t="s">
        <v>40</v>
      </c>
      <c r="D1201" t="s">
        <v>28</v>
      </c>
      <c r="E1201" t="s">
        <v>29</v>
      </c>
      <c r="F1201">
        <v>32</v>
      </c>
      <c r="G1201">
        <v>32.200000000000003</v>
      </c>
      <c r="H1201" t="s">
        <v>46</v>
      </c>
      <c r="I1201" t="s">
        <v>47</v>
      </c>
    </row>
    <row r="1202" spans="1:9" x14ac:dyDescent="0.35">
      <c r="A1202" s="1">
        <v>45332</v>
      </c>
      <c r="B1202" t="s">
        <v>12</v>
      </c>
      <c r="C1202" t="s">
        <v>13</v>
      </c>
      <c r="D1202" t="s">
        <v>15</v>
      </c>
      <c r="E1202" t="s">
        <v>16</v>
      </c>
      <c r="F1202">
        <v>34</v>
      </c>
      <c r="G1202">
        <v>36</v>
      </c>
      <c r="H1202" t="s">
        <v>46</v>
      </c>
      <c r="I1202" t="s">
        <v>47</v>
      </c>
    </row>
    <row r="1203" spans="1:9" x14ac:dyDescent="0.35">
      <c r="A1203" s="1">
        <v>45332</v>
      </c>
      <c r="B1203" t="s">
        <v>12</v>
      </c>
      <c r="C1203" t="s">
        <v>13</v>
      </c>
      <c r="D1203" t="s">
        <v>18</v>
      </c>
      <c r="E1203" t="s">
        <v>19</v>
      </c>
      <c r="F1203">
        <v>38</v>
      </c>
      <c r="G1203">
        <v>39.1</v>
      </c>
      <c r="H1203" t="s">
        <v>46</v>
      </c>
      <c r="I1203" t="s">
        <v>47</v>
      </c>
    </row>
    <row r="1204" spans="1:9" x14ac:dyDescent="0.35">
      <c r="A1204" s="1">
        <v>45332</v>
      </c>
      <c r="B1204" t="s">
        <v>12</v>
      </c>
      <c r="C1204" t="s">
        <v>13</v>
      </c>
      <c r="D1204" t="s">
        <v>21</v>
      </c>
      <c r="E1204" t="s">
        <v>22</v>
      </c>
      <c r="F1204">
        <v>32</v>
      </c>
      <c r="G1204">
        <v>32.9</v>
      </c>
      <c r="H1204" t="s">
        <v>46</v>
      </c>
      <c r="I1204" t="s">
        <v>47</v>
      </c>
    </row>
    <row r="1205" spans="1:9" x14ac:dyDescent="0.35">
      <c r="A1205" s="1">
        <v>45332</v>
      </c>
      <c r="B1205" t="s">
        <v>12</v>
      </c>
      <c r="C1205" t="s">
        <v>13</v>
      </c>
      <c r="D1205" t="s">
        <v>24</v>
      </c>
      <c r="E1205" t="s">
        <v>25</v>
      </c>
      <c r="F1205">
        <v>50</v>
      </c>
      <c r="G1205">
        <v>51</v>
      </c>
      <c r="H1205" t="s">
        <v>46</v>
      </c>
      <c r="I1205" t="s">
        <v>47</v>
      </c>
    </row>
    <row r="1206" spans="1:9" x14ac:dyDescent="0.35">
      <c r="A1206" s="1">
        <v>45332</v>
      </c>
      <c r="B1206" t="s">
        <v>12</v>
      </c>
      <c r="C1206" t="s">
        <v>13</v>
      </c>
      <c r="D1206" t="s">
        <v>26</v>
      </c>
      <c r="E1206" t="s">
        <v>27</v>
      </c>
      <c r="F1206">
        <v>38</v>
      </c>
      <c r="G1206">
        <v>39.200000000000003</v>
      </c>
      <c r="H1206" t="s">
        <v>46</v>
      </c>
      <c r="I1206" t="s">
        <v>47</v>
      </c>
    </row>
    <row r="1207" spans="1:9" x14ac:dyDescent="0.35">
      <c r="A1207" s="1">
        <v>45332</v>
      </c>
      <c r="B1207" t="s">
        <v>12</v>
      </c>
      <c r="C1207" t="s">
        <v>13</v>
      </c>
      <c r="D1207" t="s">
        <v>28</v>
      </c>
      <c r="E1207" t="s">
        <v>29</v>
      </c>
      <c r="F1207">
        <v>32</v>
      </c>
      <c r="G1207">
        <v>33.200000000000003</v>
      </c>
      <c r="H1207" t="s">
        <v>46</v>
      </c>
      <c r="I1207" t="s">
        <v>47</v>
      </c>
    </row>
    <row r="1208" spans="1:9" x14ac:dyDescent="0.35">
      <c r="A1208" s="1">
        <v>45332</v>
      </c>
      <c r="B1208" t="s">
        <v>30</v>
      </c>
      <c r="C1208" t="s">
        <v>31</v>
      </c>
      <c r="D1208" t="s">
        <v>15</v>
      </c>
      <c r="E1208" t="s">
        <v>16</v>
      </c>
      <c r="F1208">
        <v>34</v>
      </c>
      <c r="G1208">
        <v>46.1</v>
      </c>
      <c r="H1208" t="s">
        <v>48</v>
      </c>
      <c r="I1208" t="s">
        <v>49</v>
      </c>
    </row>
    <row r="1209" spans="1:9" x14ac:dyDescent="0.35">
      <c r="A1209" s="1">
        <v>45332</v>
      </c>
      <c r="B1209" t="s">
        <v>30</v>
      </c>
      <c r="C1209" t="s">
        <v>31</v>
      </c>
      <c r="D1209" t="s">
        <v>18</v>
      </c>
      <c r="E1209" t="s">
        <v>19</v>
      </c>
      <c r="F1209">
        <v>38</v>
      </c>
      <c r="G1209">
        <v>40.5</v>
      </c>
      <c r="H1209" t="s">
        <v>46</v>
      </c>
      <c r="I1209" t="s">
        <v>47</v>
      </c>
    </row>
    <row r="1210" spans="1:9" x14ac:dyDescent="0.35">
      <c r="A1210" s="1">
        <v>45332</v>
      </c>
      <c r="B1210" t="s">
        <v>30</v>
      </c>
      <c r="C1210" t="s">
        <v>31</v>
      </c>
      <c r="D1210" t="s">
        <v>21</v>
      </c>
      <c r="E1210" t="s">
        <v>22</v>
      </c>
      <c r="F1210">
        <v>32</v>
      </c>
      <c r="G1210">
        <v>41.6</v>
      </c>
      <c r="H1210" t="s">
        <v>48</v>
      </c>
      <c r="I1210" t="s">
        <v>50</v>
      </c>
    </row>
    <row r="1211" spans="1:9" x14ac:dyDescent="0.35">
      <c r="A1211" s="1">
        <v>45332</v>
      </c>
      <c r="B1211" t="s">
        <v>30</v>
      </c>
      <c r="C1211" t="s">
        <v>31</v>
      </c>
      <c r="D1211" t="s">
        <v>24</v>
      </c>
      <c r="E1211" t="s">
        <v>25</v>
      </c>
      <c r="F1211">
        <v>50</v>
      </c>
      <c r="G1211">
        <v>50.8</v>
      </c>
      <c r="H1211" t="s">
        <v>46</v>
      </c>
      <c r="I1211" t="s">
        <v>47</v>
      </c>
    </row>
    <row r="1212" spans="1:9" x14ac:dyDescent="0.35">
      <c r="A1212" s="1">
        <v>45332</v>
      </c>
      <c r="B1212" t="s">
        <v>30</v>
      </c>
      <c r="C1212" t="s">
        <v>31</v>
      </c>
      <c r="D1212" t="s">
        <v>26</v>
      </c>
      <c r="E1212" t="s">
        <v>27</v>
      </c>
      <c r="F1212">
        <v>38</v>
      </c>
      <c r="G1212">
        <v>45.4</v>
      </c>
      <c r="H1212" t="s">
        <v>48</v>
      </c>
      <c r="I1212" t="s">
        <v>50</v>
      </c>
    </row>
    <row r="1213" spans="1:9" x14ac:dyDescent="0.35">
      <c r="A1213" s="1">
        <v>45332</v>
      </c>
      <c r="B1213" t="s">
        <v>30</v>
      </c>
      <c r="C1213" t="s">
        <v>31</v>
      </c>
      <c r="D1213" t="s">
        <v>28</v>
      </c>
      <c r="E1213" t="s">
        <v>29</v>
      </c>
      <c r="F1213">
        <v>32</v>
      </c>
      <c r="G1213">
        <v>34.1</v>
      </c>
      <c r="H1213" t="s">
        <v>46</v>
      </c>
      <c r="I1213" t="s">
        <v>47</v>
      </c>
    </row>
    <row r="1214" spans="1:9" x14ac:dyDescent="0.35">
      <c r="A1214" s="1">
        <v>45332</v>
      </c>
      <c r="B1214" t="s">
        <v>33</v>
      </c>
      <c r="C1214" t="s">
        <v>34</v>
      </c>
      <c r="D1214" t="s">
        <v>15</v>
      </c>
      <c r="E1214" t="s">
        <v>16</v>
      </c>
      <c r="F1214">
        <v>34</v>
      </c>
      <c r="G1214">
        <v>33.700000000000003</v>
      </c>
      <c r="H1214" t="s">
        <v>46</v>
      </c>
      <c r="I1214" t="s">
        <v>47</v>
      </c>
    </row>
    <row r="1215" spans="1:9" x14ac:dyDescent="0.35">
      <c r="A1215" s="1">
        <v>45332</v>
      </c>
      <c r="B1215" t="s">
        <v>33</v>
      </c>
      <c r="C1215" t="s">
        <v>34</v>
      </c>
      <c r="D1215" t="s">
        <v>18</v>
      </c>
      <c r="E1215" t="s">
        <v>19</v>
      </c>
      <c r="F1215">
        <v>38</v>
      </c>
      <c r="G1215">
        <v>38.200000000000003</v>
      </c>
      <c r="H1215" t="s">
        <v>46</v>
      </c>
      <c r="I1215" t="s">
        <v>47</v>
      </c>
    </row>
    <row r="1216" spans="1:9" x14ac:dyDescent="0.35">
      <c r="A1216" s="1">
        <v>45332</v>
      </c>
      <c r="B1216" t="s">
        <v>33</v>
      </c>
      <c r="C1216" t="s">
        <v>34</v>
      </c>
      <c r="D1216" t="s">
        <v>21</v>
      </c>
      <c r="E1216" t="s">
        <v>22</v>
      </c>
      <c r="F1216">
        <v>32</v>
      </c>
      <c r="G1216">
        <v>34.1</v>
      </c>
      <c r="H1216" t="s">
        <v>46</v>
      </c>
      <c r="I1216" t="s">
        <v>47</v>
      </c>
    </row>
    <row r="1217" spans="1:9" x14ac:dyDescent="0.35">
      <c r="A1217" s="1">
        <v>45332</v>
      </c>
      <c r="B1217" t="s">
        <v>33</v>
      </c>
      <c r="C1217" t="s">
        <v>34</v>
      </c>
      <c r="D1217" t="s">
        <v>24</v>
      </c>
      <c r="E1217" t="s">
        <v>25</v>
      </c>
      <c r="F1217">
        <v>50</v>
      </c>
      <c r="G1217">
        <v>51</v>
      </c>
      <c r="H1217" t="s">
        <v>46</v>
      </c>
      <c r="I1217" t="s">
        <v>47</v>
      </c>
    </row>
    <row r="1218" spans="1:9" x14ac:dyDescent="0.35">
      <c r="A1218" s="1">
        <v>45332</v>
      </c>
      <c r="B1218" t="s">
        <v>33</v>
      </c>
      <c r="C1218" t="s">
        <v>34</v>
      </c>
      <c r="D1218" t="s">
        <v>26</v>
      </c>
      <c r="E1218" t="s">
        <v>27</v>
      </c>
      <c r="F1218">
        <v>38</v>
      </c>
      <c r="G1218">
        <v>39.200000000000003</v>
      </c>
      <c r="H1218" t="s">
        <v>46</v>
      </c>
      <c r="I1218" t="s">
        <v>47</v>
      </c>
    </row>
    <row r="1219" spans="1:9" x14ac:dyDescent="0.35">
      <c r="A1219" s="1">
        <v>45332</v>
      </c>
      <c r="B1219" t="s">
        <v>33</v>
      </c>
      <c r="C1219" t="s">
        <v>34</v>
      </c>
      <c r="D1219" t="s">
        <v>28</v>
      </c>
      <c r="E1219" t="s">
        <v>29</v>
      </c>
      <c r="F1219">
        <v>32</v>
      </c>
      <c r="G1219">
        <v>33.200000000000003</v>
      </c>
      <c r="H1219" t="s">
        <v>46</v>
      </c>
      <c r="I1219" t="s">
        <v>47</v>
      </c>
    </row>
    <row r="1220" spans="1:9" x14ac:dyDescent="0.35">
      <c r="A1220" s="1">
        <v>45332</v>
      </c>
      <c r="B1220" t="s">
        <v>36</v>
      </c>
      <c r="C1220" t="s">
        <v>37</v>
      </c>
      <c r="D1220" t="s">
        <v>15</v>
      </c>
      <c r="E1220" t="s">
        <v>16</v>
      </c>
      <c r="F1220">
        <v>34</v>
      </c>
      <c r="G1220">
        <v>40.4</v>
      </c>
      <c r="H1220" t="s">
        <v>48</v>
      </c>
      <c r="I1220" t="s">
        <v>50</v>
      </c>
    </row>
    <row r="1221" spans="1:9" x14ac:dyDescent="0.35">
      <c r="A1221" s="1">
        <v>45332</v>
      </c>
      <c r="B1221" t="s">
        <v>36</v>
      </c>
      <c r="C1221" t="s">
        <v>37</v>
      </c>
      <c r="D1221" t="s">
        <v>18</v>
      </c>
      <c r="E1221" t="s">
        <v>19</v>
      </c>
      <c r="F1221">
        <v>38</v>
      </c>
      <c r="G1221">
        <v>39.4</v>
      </c>
      <c r="H1221" t="s">
        <v>46</v>
      </c>
      <c r="I1221" t="s">
        <v>47</v>
      </c>
    </row>
    <row r="1222" spans="1:9" x14ac:dyDescent="0.35">
      <c r="A1222" s="1">
        <v>45332</v>
      </c>
      <c r="B1222" t="s">
        <v>36</v>
      </c>
      <c r="C1222" t="s">
        <v>37</v>
      </c>
      <c r="D1222" t="s">
        <v>21</v>
      </c>
      <c r="E1222" t="s">
        <v>22</v>
      </c>
      <c r="F1222">
        <v>32</v>
      </c>
      <c r="G1222">
        <v>33.700000000000003</v>
      </c>
      <c r="H1222" t="s">
        <v>46</v>
      </c>
      <c r="I1222" t="s">
        <v>47</v>
      </c>
    </row>
    <row r="1223" spans="1:9" x14ac:dyDescent="0.35">
      <c r="A1223" s="1">
        <v>45332</v>
      </c>
      <c r="B1223" t="s">
        <v>36</v>
      </c>
      <c r="C1223" t="s">
        <v>37</v>
      </c>
      <c r="D1223" t="s">
        <v>24</v>
      </c>
      <c r="E1223" t="s">
        <v>25</v>
      </c>
      <c r="F1223">
        <v>50</v>
      </c>
      <c r="G1223">
        <v>50.1</v>
      </c>
      <c r="H1223" t="s">
        <v>46</v>
      </c>
      <c r="I1223" t="s">
        <v>47</v>
      </c>
    </row>
    <row r="1224" spans="1:9" x14ac:dyDescent="0.35">
      <c r="A1224" s="1">
        <v>45332</v>
      </c>
      <c r="B1224" t="s">
        <v>36</v>
      </c>
      <c r="C1224" t="s">
        <v>37</v>
      </c>
      <c r="D1224" t="s">
        <v>26</v>
      </c>
      <c r="E1224" t="s">
        <v>27</v>
      </c>
      <c r="F1224">
        <v>38</v>
      </c>
      <c r="G1224">
        <v>48.7</v>
      </c>
      <c r="H1224" t="s">
        <v>48</v>
      </c>
      <c r="I1224" t="s">
        <v>49</v>
      </c>
    </row>
    <row r="1225" spans="1:9" x14ac:dyDescent="0.35">
      <c r="A1225" s="1">
        <v>45332</v>
      </c>
      <c r="B1225" t="s">
        <v>36</v>
      </c>
      <c r="C1225" t="s">
        <v>37</v>
      </c>
      <c r="D1225" t="s">
        <v>28</v>
      </c>
      <c r="E1225" t="s">
        <v>29</v>
      </c>
      <c r="F1225">
        <v>32</v>
      </c>
      <c r="G1225">
        <v>40.9</v>
      </c>
      <c r="H1225" t="s">
        <v>48</v>
      </c>
      <c r="I1225" t="s">
        <v>50</v>
      </c>
    </row>
    <row r="1226" spans="1:9" x14ac:dyDescent="0.35">
      <c r="A1226" s="1">
        <v>45332</v>
      </c>
      <c r="B1226" t="s">
        <v>39</v>
      </c>
      <c r="C1226" t="s">
        <v>40</v>
      </c>
      <c r="D1226" t="s">
        <v>15</v>
      </c>
      <c r="E1226" t="s">
        <v>16</v>
      </c>
      <c r="F1226">
        <v>34</v>
      </c>
      <c r="G1226">
        <v>35.299999999999997</v>
      </c>
      <c r="H1226" t="s">
        <v>46</v>
      </c>
      <c r="I1226" t="s">
        <v>47</v>
      </c>
    </row>
    <row r="1227" spans="1:9" x14ac:dyDescent="0.35">
      <c r="A1227" s="1">
        <v>45332</v>
      </c>
      <c r="B1227" t="s">
        <v>39</v>
      </c>
      <c r="C1227" t="s">
        <v>40</v>
      </c>
      <c r="D1227" t="s">
        <v>18</v>
      </c>
      <c r="E1227" t="s">
        <v>19</v>
      </c>
      <c r="F1227">
        <v>38</v>
      </c>
      <c r="G1227">
        <v>39.5</v>
      </c>
      <c r="H1227" t="s">
        <v>46</v>
      </c>
      <c r="I1227" t="s">
        <v>47</v>
      </c>
    </row>
    <row r="1228" spans="1:9" x14ac:dyDescent="0.35">
      <c r="A1228" s="1">
        <v>45332</v>
      </c>
      <c r="B1228" t="s">
        <v>39</v>
      </c>
      <c r="C1228" t="s">
        <v>40</v>
      </c>
      <c r="D1228" t="s">
        <v>21</v>
      </c>
      <c r="E1228" t="s">
        <v>22</v>
      </c>
      <c r="F1228">
        <v>32</v>
      </c>
      <c r="G1228">
        <v>32.700000000000003</v>
      </c>
      <c r="H1228" t="s">
        <v>46</v>
      </c>
      <c r="I1228" t="s">
        <v>47</v>
      </c>
    </row>
    <row r="1229" spans="1:9" x14ac:dyDescent="0.35">
      <c r="A1229" s="1">
        <v>45332</v>
      </c>
      <c r="B1229" t="s">
        <v>39</v>
      </c>
      <c r="C1229" t="s">
        <v>40</v>
      </c>
      <c r="D1229" t="s">
        <v>24</v>
      </c>
      <c r="E1229" t="s">
        <v>25</v>
      </c>
      <c r="F1229">
        <v>50</v>
      </c>
      <c r="G1229">
        <v>50.6</v>
      </c>
      <c r="H1229" t="s">
        <v>46</v>
      </c>
      <c r="I1229" t="s">
        <v>47</v>
      </c>
    </row>
    <row r="1230" spans="1:9" x14ac:dyDescent="0.35">
      <c r="A1230" s="1">
        <v>45332</v>
      </c>
      <c r="B1230" t="s">
        <v>39</v>
      </c>
      <c r="C1230" t="s">
        <v>40</v>
      </c>
      <c r="D1230" t="s">
        <v>26</v>
      </c>
      <c r="E1230" t="s">
        <v>27</v>
      </c>
      <c r="F1230">
        <v>38</v>
      </c>
      <c r="G1230">
        <v>46</v>
      </c>
      <c r="H1230" t="s">
        <v>48</v>
      </c>
      <c r="I1230" t="s">
        <v>50</v>
      </c>
    </row>
    <row r="1231" spans="1:9" x14ac:dyDescent="0.35">
      <c r="A1231" s="1">
        <v>45332</v>
      </c>
      <c r="B1231" t="s">
        <v>39</v>
      </c>
      <c r="C1231" t="s">
        <v>40</v>
      </c>
      <c r="D1231" t="s">
        <v>28</v>
      </c>
      <c r="E1231" t="s">
        <v>29</v>
      </c>
      <c r="F1231">
        <v>32</v>
      </c>
      <c r="G1231">
        <v>32.200000000000003</v>
      </c>
      <c r="H1231" t="s">
        <v>46</v>
      </c>
      <c r="I1231" t="s">
        <v>47</v>
      </c>
    </row>
    <row r="1232" spans="1:9" x14ac:dyDescent="0.35">
      <c r="A1232" s="1">
        <v>45333</v>
      </c>
      <c r="B1232" t="s">
        <v>12</v>
      </c>
      <c r="C1232" t="s">
        <v>13</v>
      </c>
      <c r="D1232" t="s">
        <v>15</v>
      </c>
      <c r="E1232" t="s">
        <v>16</v>
      </c>
      <c r="F1232">
        <v>34</v>
      </c>
      <c r="G1232">
        <v>45.5</v>
      </c>
      <c r="H1232" t="s">
        <v>48</v>
      </c>
      <c r="I1232" t="s">
        <v>49</v>
      </c>
    </row>
    <row r="1233" spans="1:9" x14ac:dyDescent="0.35">
      <c r="A1233" s="1">
        <v>45333</v>
      </c>
      <c r="B1233" t="s">
        <v>12</v>
      </c>
      <c r="C1233" t="s">
        <v>13</v>
      </c>
      <c r="D1233" t="s">
        <v>18</v>
      </c>
      <c r="E1233" t="s">
        <v>19</v>
      </c>
      <c r="F1233">
        <v>38</v>
      </c>
      <c r="G1233">
        <v>37.5</v>
      </c>
      <c r="H1233" t="s">
        <v>46</v>
      </c>
      <c r="I1233" t="s">
        <v>47</v>
      </c>
    </row>
    <row r="1234" spans="1:9" x14ac:dyDescent="0.35">
      <c r="A1234" s="1">
        <v>45333</v>
      </c>
      <c r="B1234" t="s">
        <v>12</v>
      </c>
      <c r="C1234" t="s">
        <v>13</v>
      </c>
      <c r="D1234" t="s">
        <v>21</v>
      </c>
      <c r="E1234" t="s">
        <v>22</v>
      </c>
      <c r="F1234">
        <v>32</v>
      </c>
      <c r="G1234">
        <v>42.3</v>
      </c>
      <c r="H1234" t="s">
        <v>48</v>
      </c>
      <c r="I1234" t="s">
        <v>49</v>
      </c>
    </row>
    <row r="1235" spans="1:9" x14ac:dyDescent="0.35">
      <c r="A1235" s="1">
        <v>45333</v>
      </c>
      <c r="B1235" t="s">
        <v>12</v>
      </c>
      <c r="C1235" t="s">
        <v>13</v>
      </c>
      <c r="D1235" t="s">
        <v>24</v>
      </c>
      <c r="E1235" t="s">
        <v>25</v>
      </c>
      <c r="F1235">
        <v>50</v>
      </c>
      <c r="G1235">
        <v>61.3</v>
      </c>
      <c r="H1235" t="s">
        <v>48</v>
      </c>
      <c r="I1235" t="s">
        <v>49</v>
      </c>
    </row>
    <row r="1236" spans="1:9" x14ac:dyDescent="0.35">
      <c r="A1236" s="1">
        <v>45333</v>
      </c>
      <c r="B1236" t="s">
        <v>12</v>
      </c>
      <c r="C1236" t="s">
        <v>13</v>
      </c>
      <c r="D1236" t="s">
        <v>26</v>
      </c>
      <c r="E1236" t="s">
        <v>27</v>
      </c>
      <c r="F1236">
        <v>38</v>
      </c>
      <c r="G1236">
        <v>39.1</v>
      </c>
      <c r="H1236" t="s">
        <v>46</v>
      </c>
      <c r="I1236" t="s">
        <v>47</v>
      </c>
    </row>
    <row r="1237" spans="1:9" x14ac:dyDescent="0.35">
      <c r="A1237" s="1">
        <v>45333</v>
      </c>
      <c r="B1237" t="s">
        <v>12</v>
      </c>
      <c r="C1237" t="s">
        <v>13</v>
      </c>
      <c r="D1237" t="s">
        <v>28</v>
      </c>
      <c r="E1237" t="s">
        <v>29</v>
      </c>
      <c r="F1237">
        <v>32</v>
      </c>
      <c r="G1237">
        <v>31.1</v>
      </c>
      <c r="H1237" t="s">
        <v>46</v>
      </c>
      <c r="I1237" t="s">
        <v>47</v>
      </c>
    </row>
    <row r="1238" spans="1:9" x14ac:dyDescent="0.35">
      <c r="A1238" s="1">
        <v>45333</v>
      </c>
      <c r="B1238" t="s">
        <v>30</v>
      </c>
      <c r="C1238" t="s">
        <v>31</v>
      </c>
      <c r="D1238" t="s">
        <v>15</v>
      </c>
      <c r="E1238" t="s">
        <v>16</v>
      </c>
      <c r="F1238">
        <v>34</v>
      </c>
      <c r="G1238">
        <v>33.1</v>
      </c>
      <c r="H1238" t="s">
        <v>46</v>
      </c>
      <c r="I1238" t="s">
        <v>47</v>
      </c>
    </row>
    <row r="1239" spans="1:9" x14ac:dyDescent="0.35">
      <c r="A1239" s="1">
        <v>45333</v>
      </c>
      <c r="B1239" t="s">
        <v>30</v>
      </c>
      <c r="C1239" t="s">
        <v>31</v>
      </c>
      <c r="D1239" t="s">
        <v>18</v>
      </c>
      <c r="E1239" t="s">
        <v>19</v>
      </c>
      <c r="F1239">
        <v>38</v>
      </c>
      <c r="G1239">
        <v>39.299999999999997</v>
      </c>
      <c r="H1239" t="s">
        <v>46</v>
      </c>
      <c r="I1239" t="s">
        <v>47</v>
      </c>
    </row>
    <row r="1240" spans="1:9" x14ac:dyDescent="0.35">
      <c r="A1240" s="1">
        <v>45333</v>
      </c>
      <c r="B1240" t="s">
        <v>30</v>
      </c>
      <c r="C1240" t="s">
        <v>31</v>
      </c>
      <c r="D1240" t="s">
        <v>21</v>
      </c>
      <c r="E1240" t="s">
        <v>22</v>
      </c>
      <c r="F1240">
        <v>32</v>
      </c>
      <c r="G1240">
        <v>31.4</v>
      </c>
      <c r="H1240" t="s">
        <v>46</v>
      </c>
      <c r="I1240" t="s">
        <v>47</v>
      </c>
    </row>
    <row r="1241" spans="1:9" x14ac:dyDescent="0.35">
      <c r="A1241" s="1">
        <v>45333</v>
      </c>
      <c r="B1241" t="s">
        <v>30</v>
      </c>
      <c r="C1241" t="s">
        <v>31</v>
      </c>
      <c r="D1241" t="s">
        <v>24</v>
      </c>
      <c r="E1241" t="s">
        <v>25</v>
      </c>
      <c r="F1241">
        <v>50</v>
      </c>
      <c r="G1241">
        <v>51.8</v>
      </c>
      <c r="H1241" t="s">
        <v>46</v>
      </c>
      <c r="I1241" t="s">
        <v>47</v>
      </c>
    </row>
    <row r="1242" spans="1:9" x14ac:dyDescent="0.35">
      <c r="A1242" s="1">
        <v>45333</v>
      </c>
      <c r="B1242" t="s">
        <v>30</v>
      </c>
      <c r="C1242" t="s">
        <v>31</v>
      </c>
      <c r="D1242" t="s">
        <v>26</v>
      </c>
      <c r="E1242" t="s">
        <v>27</v>
      </c>
      <c r="F1242">
        <v>38</v>
      </c>
      <c r="G1242">
        <v>39</v>
      </c>
      <c r="H1242" t="s">
        <v>46</v>
      </c>
      <c r="I1242" t="s">
        <v>47</v>
      </c>
    </row>
    <row r="1243" spans="1:9" x14ac:dyDescent="0.35">
      <c r="A1243" s="1">
        <v>45333</v>
      </c>
      <c r="B1243" t="s">
        <v>30</v>
      </c>
      <c r="C1243" t="s">
        <v>31</v>
      </c>
      <c r="D1243" t="s">
        <v>28</v>
      </c>
      <c r="E1243" t="s">
        <v>29</v>
      </c>
      <c r="F1243">
        <v>32</v>
      </c>
      <c r="G1243">
        <v>33.700000000000003</v>
      </c>
      <c r="H1243" t="s">
        <v>46</v>
      </c>
      <c r="I1243" t="s">
        <v>47</v>
      </c>
    </row>
    <row r="1244" spans="1:9" x14ac:dyDescent="0.35">
      <c r="A1244" s="1">
        <v>45333</v>
      </c>
      <c r="B1244" t="s">
        <v>33</v>
      </c>
      <c r="C1244" t="s">
        <v>34</v>
      </c>
      <c r="D1244" t="s">
        <v>15</v>
      </c>
      <c r="E1244" t="s">
        <v>16</v>
      </c>
      <c r="F1244">
        <v>34</v>
      </c>
      <c r="G1244">
        <v>42.4</v>
      </c>
      <c r="H1244" t="s">
        <v>48</v>
      </c>
      <c r="I1244" t="s">
        <v>50</v>
      </c>
    </row>
    <row r="1245" spans="1:9" x14ac:dyDescent="0.35">
      <c r="A1245" s="1">
        <v>45333</v>
      </c>
      <c r="B1245" t="s">
        <v>33</v>
      </c>
      <c r="C1245" t="s">
        <v>34</v>
      </c>
      <c r="D1245" t="s">
        <v>18</v>
      </c>
      <c r="E1245" t="s">
        <v>19</v>
      </c>
      <c r="F1245">
        <v>38</v>
      </c>
      <c r="G1245">
        <v>37.799999999999997</v>
      </c>
      <c r="H1245" t="s">
        <v>46</v>
      </c>
      <c r="I1245" t="s">
        <v>47</v>
      </c>
    </row>
    <row r="1246" spans="1:9" x14ac:dyDescent="0.35">
      <c r="A1246" s="1">
        <v>45333</v>
      </c>
      <c r="B1246" t="s">
        <v>33</v>
      </c>
      <c r="C1246" t="s">
        <v>34</v>
      </c>
      <c r="D1246" t="s">
        <v>21</v>
      </c>
      <c r="E1246" t="s">
        <v>22</v>
      </c>
      <c r="F1246">
        <v>32</v>
      </c>
      <c r="G1246">
        <v>34.9</v>
      </c>
      <c r="H1246" t="s">
        <v>46</v>
      </c>
      <c r="I1246" t="s">
        <v>47</v>
      </c>
    </row>
    <row r="1247" spans="1:9" x14ac:dyDescent="0.35">
      <c r="A1247" s="1">
        <v>45333</v>
      </c>
      <c r="B1247" t="s">
        <v>33</v>
      </c>
      <c r="C1247" t="s">
        <v>34</v>
      </c>
      <c r="D1247" t="s">
        <v>24</v>
      </c>
      <c r="E1247" t="s">
        <v>25</v>
      </c>
      <c r="F1247">
        <v>50</v>
      </c>
      <c r="G1247">
        <v>62.8</v>
      </c>
      <c r="H1247" t="s">
        <v>48</v>
      </c>
      <c r="I1247" t="s">
        <v>49</v>
      </c>
    </row>
    <row r="1248" spans="1:9" x14ac:dyDescent="0.35">
      <c r="A1248" s="1">
        <v>45333</v>
      </c>
      <c r="B1248" t="s">
        <v>33</v>
      </c>
      <c r="C1248" t="s">
        <v>34</v>
      </c>
      <c r="D1248" t="s">
        <v>26</v>
      </c>
      <c r="E1248" t="s">
        <v>27</v>
      </c>
      <c r="F1248">
        <v>38</v>
      </c>
      <c r="G1248">
        <v>38.1</v>
      </c>
      <c r="H1248" t="s">
        <v>46</v>
      </c>
      <c r="I1248" t="s">
        <v>47</v>
      </c>
    </row>
    <row r="1249" spans="1:9" x14ac:dyDescent="0.35">
      <c r="A1249" s="1">
        <v>45333</v>
      </c>
      <c r="B1249" t="s">
        <v>33</v>
      </c>
      <c r="C1249" t="s">
        <v>34</v>
      </c>
      <c r="D1249" t="s">
        <v>28</v>
      </c>
      <c r="E1249" t="s">
        <v>29</v>
      </c>
      <c r="F1249">
        <v>32</v>
      </c>
      <c r="G1249">
        <v>33.299999999999997</v>
      </c>
      <c r="H1249" t="s">
        <v>46</v>
      </c>
      <c r="I1249" t="s">
        <v>47</v>
      </c>
    </row>
    <row r="1250" spans="1:9" x14ac:dyDescent="0.35">
      <c r="A1250" s="1">
        <v>45333</v>
      </c>
      <c r="B1250" t="s">
        <v>36</v>
      </c>
      <c r="C1250" t="s">
        <v>37</v>
      </c>
      <c r="D1250" t="s">
        <v>15</v>
      </c>
      <c r="E1250" t="s">
        <v>16</v>
      </c>
      <c r="F1250">
        <v>34</v>
      </c>
      <c r="G1250">
        <v>35.5</v>
      </c>
      <c r="H1250" t="s">
        <v>46</v>
      </c>
      <c r="I1250" t="s">
        <v>47</v>
      </c>
    </row>
    <row r="1251" spans="1:9" x14ac:dyDescent="0.35">
      <c r="A1251" s="1">
        <v>45333</v>
      </c>
      <c r="B1251" t="s">
        <v>36</v>
      </c>
      <c r="C1251" t="s">
        <v>37</v>
      </c>
      <c r="D1251" t="s">
        <v>18</v>
      </c>
      <c r="E1251" t="s">
        <v>19</v>
      </c>
      <c r="F1251">
        <v>38</v>
      </c>
      <c r="G1251">
        <v>39.9</v>
      </c>
      <c r="H1251" t="s">
        <v>46</v>
      </c>
      <c r="I1251" t="s">
        <v>47</v>
      </c>
    </row>
    <row r="1252" spans="1:9" x14ac:dyDescent="0.35">
      <c r="A1252" s="1">
        <v>45333</v>
      </c>
      <c r="B1252" t="s">
        <v>36</v>
      </c>
      <c r="C1252" t="s">
        <v>37</v>
      </c>
      <c r="D1252" t="s">
        <v>21</v>
      </c>
      <c r="E1252" t="s">
        <v>22</v>
      </c>
      <c r="F1252">
        <v>32</v>
      </c>
      <c r="G1252">
        <v>33.4</v>
      </c>
      <c r="H1252" t="s">
        <v>46</v>
      </c>
      <c r="I1252" t="s">
        <v>47</v>
      </c>
    </row>
    <row r="1253" spans="1:9" x14ac:dyDescent="0.35">
      <c r="A1253" s="1">
        <v>45333</v>
      </c>
      <c r="B1253" t="s">
        <v>36</v>
      </c>
      <c r="C1253" t="s">
        <v>37</v>
      </c>
      <c r="D1253" t="s">
        <v>24</v>
      </c>
      <c r="E1253" t="s">
        <v>25</v>
      </c>
      <c r="F1253">
        <v>50</v>
      </c>
      <c r="G1253">
        <v>51.3</v>
      </c>
      <c r="H1253" t="s">
        <v>46</v>
      </c>
      <c r="I1253" t="s">
        <v>47</v>
      </c>
    </row>
    <row r="1254" spans="1:9" x14ac:dyDescent="0.35">
      <c r="A1254" s="1">
        <v>45333</v>
      </c>
      <c r="B1254" t="s">
        <v>36</v>
      </c>
      <c r="C1254" t="s">
        <v>37</v>
      </c>
      <c r="D1254" t="s">
        <v>26</v>
      </c>
      <c r="E1254" t="s">
        <v>27</v>
      </c>
      <c r="F1254">
        <v>38</v>
      </c>
      <c r="G1254">
        <v>38.700000000000003</v>
      </c>
      <c r="H1254" t="s">
        <v>46</v>
      </c>
      <c r="I1254" t="s">
        <v>47</v>
      </c>
    </row>
    <row r="1255" spans="1:9" x14ac:dyDescent="0.35">
      <c r="A1255" s="1">
        <v>45333</v>
      </c>
      <c r="B1255" t="s">
        <v>36</v>
      </c>
      <c r="C1255" t="s">
        <v>37</v>
      </c>
      <c r="D1255" t="s">
        <v>28</v>
      </c>
      <c r="E1255" t="s">
        <v>29</v>
      </c>
      <c r="F1255">
        <v>32</v>
      </c>
      <c r="G1255">
        <v>31.3</v>
      </c>
      <c r="H1255" t="s">
        <v>46</v>
      </c>
      <c r="I1255" t="s">
        <v>47</v>
      </c>
    </row>
    <row r="1256" spans="1:9" x14ac:dyDescent="0.35">
      <c r="A1256" s="1">
        <v>45333</v>
      </c>
      <c r="B1256" t="s">
        <v>39</v>
      </c>
      <c r="C1256" t="s">
        <v>40</v>
      </c>
      <c r="D1256" t="s">
        <v>15</v>
      </c>
      <c r="E1256" t="s">
        <v>16</v>
      </c>
      <c r="F1256">
        <v>34</v>
      </c>
      <c r="G1256">
        <v>35</v>
      </c>
      <c r="H1256" t="s">
        <v>46</v>
      </c>
      <c r="I1256" t="s">
        <v>47</v>
      </c>
    </row>
    <row r="1257" spans="1:9" x14ac:dyDescent="0.35">
      <c r="A1257" s="1">
        <v>45333</v>
      </c>
      <c r="B1257" t="s">
        <v>39</v>
      </c>
      <c r="C1257" t="s">
        <v>40</v>
      </c>
      <c r="D1257" t="s">
        <v>18</v>
      </c>
      <c r="E1257" t="s">
        <v>19</v>
      </c>
      <c r="F1257">
        <v>38</v>
      </c>
      <c r="G1257">
        <v>39.700000000000003</v>
      </c>
      <c r="H1257" t="s">
        <v>46</v>
      </c>
      <c r="I1257" t="s">
        <v>47</v>
      </c>
    </row>
    <row r="1258" spans="1:9" x14ac:dyDescent="0.35">
      <c r="A1258" s="1">
        <v>45333</v>
      </c>
      <c r="B1258" t="s">
        <v>39</v>
      </c>
      <c r="C1258" t="s">
        <v>40</v>
      </c>
      <c r="D1258" t="s">
        <v>21</v>
      </c>
      <c r="E1258" t="s">
        <v>22</v>
      </c>
      <c r="F1258">
        <v>32</v>
      </c>
      <c r="G1258">
        <v>32.700000000000003</v>
      </c>
      <c r="H1258" t="s">
        <v>46</v>
      </c>
      <c r="I1258" t="s">
        <v>47</v>
      </c>
    </row>
    <row r="1259" spans="1:9" x14ac:dyDescent="0.35">
      <c r="A1259" s="1">
        <v>45333</v>
      </c>
      <c r="B1259" t="s">
        <v>39</v>
      </c>
      <c r="C1259" t="s">
        <v>40</v>
      </c>
      <c r="D1259" t="s">
        <v>24</v>
      </c>
      <c r="E1259" t="s">
        <v>25</v>
      </c>
      <c r="F1259">
        <v>50</v>
      </c>
      <c r="G1259">
        <v>51.1</v>
      </c>
      <c r="H1259" t="s">
        <v>46</v>
      </c>
      <c r="I1259" t="s">
        <v>47</v>
      </c>
    </row>
    <row r="1260" spans="1:9" x14ac:dyDescent="0.35">
      <c r="A1260" s="1">
        <v>45333</v>
      </c>
      <c r="B1260" t="s">
        <v>39</v>
      </c>
      <c r="C1260" t="s">
        <v>40</v>
      </c>
      <c r="D1260" t="s">
        <v>26</v>
      </c>
      <c r="E1260" t="s">
        <v>27</v>
      </c>
      <c r="F1260">
        <v>38</v>
      </c>
      <c r="G1260">
        <v>39.200000000000003</v>
      </c>
      <c r="H1260" t="s">
        <v>46</v>
      </c>
      <c r="I1260" t="s">
        <v>47</v>
      </c>
    </row>
    <row r="1261" spans="1:9" x14ac:dyDescent="0.35">
      <c r="A1261" s="1">
        <v>45333</v>
      </c>
      <c r="B1261" t="s">
        <v>39</v>
      </c>
      <c r="C1261" t="s">
        <v>40</v>
      </c>
      <c r="D1261" t="s">
        <v>28</v>
      </c>
      <c r="E1261" t="s">
        <v>29</v>
      </c>
      <c r="F1261">
        <v>32</v>
      </c>
      <c r="G1261">
        <v>33.5</v>
      </c>
      <c r="H1261" t="s">
        <v>46</v>
      </c>
      <c r="I1261" t="s">
        <v>47</v>
      </c>
    </row>
    <row r="1262" spans="1:9" x14ac:dyDescent="0.35">
      <c r="A1262" s="1">
        <v>45334</v>
      </c>
      <c r="B1262" t="s">
        <v>12</v>
      </c>
      <c r="C1262" t="s">
        <v>13</v>
      </c>
      <c r="D1262" t="s">
        <v>15</v>
      </c>
      <c r="E1262" t="s">
        <v>16</v>
      </c>
      <c r="F1262">
        <v>34</v>
      </c>
      <c r="G1262">
        <v>33.700000000000003</v>
      </c>
      <c r="H1262" t="s">
        <v>46</v>
      </c>
      <c r="I1262" t="s">
        <v>47</v>
      </c>
    </row>
    <row r="1263" spans="1:9" x14ac:dyDescent="0.35">
      <c r="A1263" s="1">
        <v>45334</v>
      </c>
      <c r="B1263" t="s">
        <v>12</v>
      </c>
      <c r="C1263" t="s">
        <v>13</v>
      </c>
      <c r="D1263" t="s">
        <v>18</v>
      </c>
      <c r="E1263" t="s">
        <v>19</v>
      </c>
      <c r="F1263">
        <v>38</v>
      </c>
      <c r="G1263">
        <v>39.6</v>
      </c>
      <c r="H1263" t="s">
        <v>46</v>
      </c>
      <c r="I1263" t="s">
        <v>47</v>
      </c>
    </row>
    <row r="1264" spans="1:9" x14ac:dyDescent="0.35">
      <c r="A1264" s="1">
        <v>45334</v>
      </c>
      <c r="B1264" t="s">
        <v>12</v>
      </c>
      <c r="C1264" t="s">
        <v>13</v>
      </c>
      <c r="D1264" t="s">
        <v>21</v>
      </c>
      <c r="E1264" t="s">
        <v>22</v>
      </c>
      <c r="F1264">
        <v>32</v>
      </c>
      <c r="G1264">
        <v>34.799999999999997</v>
      </c>
      <c r="H1264" t="s">
        <v>46</v>
      </c>
      <c r="I1264" t="s">
        <v>47</v>
      </c>
    </row>
    <row r="1265" spans="1:9" x14ac:dyDescent="0.35">
      <c r="A1265" s="1">
        <v>45334</v>
      </c>
      <c r="B1265" t="s">
        <v>12</v>
      </c>
      <c r="C1265" t="s">
        <v>13</v>
      </c>
      <c r="D1265" t="s">
        <v>24</v>
      </c>
      <c r="E1265" t="s">
        <v>25</v>
      </c>
      <c r="F1265">
        <v>50</v>
      </c>
      <c r="G1265">
        <v>51.6</v>
      </c>
      <c r="H1265" t="s">
        <v>46</v>
      </c>
      <c r="I1265" t="s">
        <v>47</v>
      </c>
    </row>
    <row r="1266" spans="1:9" x14ac:dyDescent="0.35">
      <c r="A1266" s="1">
        <v>45334</v>
      </c>
      <c r="B1266" t="s">
        <v>12</v>
      </c>
      <c r="C1266" t="s">
        <v>13</v>
      </c>
      <c r="D1266" t="s">
        <v>26</v>
      </c>
      <c r="E1266" t="s">
        <v>27</v>
      </c>
      <c r="F1266">
        <v>38</v>
      </c>
      <c r="G1266">
        <v>40.4</v>
      </c>
      <c r="H1266" t="s">
        <v>46</v>
      </c>
      <c r="I1266" t="s">
        <v>47</v>
      </c>
    </row>
    <row r="1267" spans="1:9" x14ac:dyDescent="0.35">
      <c r="A1267" s="1">
        <v>45334</v>
      </c>
      <c r="B1267" t="s">
        <v>12</v>
      </c>
      <c r="C1267" t="s">
        <v>13</v>
      </c>
      <c r="D1267" t="s">
        <v>28</v>
      </c>
      <c r="E1267" t="s">
        <v>29</v>
      </c>
      <c r="F1267">
        <v>32</v>
      </c>
      <c r="G1267">
        <v>34.700000000000003</v>
      </c>
      <c r="H1267" t="s">
        <v>46</v>
      </c>
      <c r="I1267" t="s">
        <v>47</v>
      </c>
    </row>
    <row r="1268" spans="1:9" x14ac:dyDescent="0.35">
      <c r="A1268" s="1">
        <v>45334</v>
      </c>
      <c r="B1268" t="s">
        <v>30</v>
      </c>
      <c r="C1268" t="s">
        <v>31</v>
      </c>
      <c r="D1268" t="s">
        <v>15</v>
      </c>
      <c r="E1268" t="s">
        <v>16</v>
      </c>
      <c r="F1268">
        <v>34</v>
      </c>
      <c r="G1268">
        <v>33.200000000000003</v>
      </c>
      <c r="H1268" t="s">
        <v>46</v>
      </c>
      <c r="I1268" t="s">
        <v>47</v>
      </c>
    </row>
    <row r="1269" spans="1:9" x14ac:dyDescent="0.35">
      <c r="A1269" s="1">
        <v>45334</v>
      </c>
      <c r="B1269" t="s">
        <v>30</v>
      </c>
      <c r="C1269" t="s">
        <v>31</v>
      </c>
      <c r="D1269" t="s">
        <v>18</v>
      </c>
      <c r="E1269" t="s">
        <v>19</v>
      </c>
      <c r="F1269">
        <v>38</v>
      </c>
      <c r="G1269">
        <v>38.799999999999997</v>
      </c>
      <c r="H1269" t="s">
        <v>46</v>
      </c>
      <c r="I1269" t="s">
        <v>47</v>
      </c>
    </row>
    <row r="1270" spans="1:9" x14ac:dyDescent="0.35">
      <c r="A1270" s="1">
        <v>45334</v>
      </c>
      <c r="B1270" t="s">
        <v>30</v>
      </c>
      <c r="C1270" t="s">
        <v>31</v>
      </c>
      <c r="D1270" t="s">
        <v>21</v>
      </c>
      <c r="E1270" t="s">
        <v>22</v>
      </c>
      <c r="F1270">
        <v>32</v>
      </c>
      <c r="G1270">
        <v>34</v>
      </c>
      <c r="H1270" t="s">
        <v>46</v>
      </c>
      <c r="I1270" t="s">
        <v>47</v>
      </c>
    </row>
    <row r="1271" spans="1:9" x14ac:dyDescent="0.35">
      <c r="A1271" s="1">
        <v>45334</v>
      </c>
      <c r="B1271" t="s">
        <v>30</v>
      </c>
      <c r="C1271" t="s">
        <v>31</v>
      </c>
      <c r="D1271" t="s">
        <v>24</v>
      </c>
      <c r="E1271" t="s">
        <v>25</v>
      </c>
      <c r="F1271">
        <v>50</v>
      </c>
      <c r="G1271">
        <v>52.4</v>
      </c>
      <c r="H1271" t="s">
        <v>46</v>
      </c>
      <c r="I1271" t="s">
        <v>47</v>
      </c>
    </row>
    <row r="1272" spans="1:9" x14ac:dyDescent="0.35">
      <c r="A1272" s="1">
        <v>45334</v>
      </c>
      <c r="B1272" t="s">
        <v>30</v>
      </c>
      <c r="C1272" t="s">
        <v>31</v>
      </c>
      <c r="D1272" t="s">
        <v>26</v>
      </c>
      <c r="E1272" t="s">
        <v>27</v>
      </c>
      <c r="F1272">
        <v>38</v>
      </c>
      <c r="G1272">
        <v>40.4</v>
      </c>
      <c r="H1272" t="s">
        <v>46</v>
      </c>
      <c r="I1272" t="s">
        <v>47</v>
      </c>
    </row>
    <row r="1273" spans="1:9" x14ac:dyDescent="0.35">
      <c r="A1273" s="1">
        <v>45334</v>
      </c>
      <c r="B1273" t="s">
        <v>30</v>
      </c>
      <c r="C1273" t="s">
        <v>31</v>
      </c>
      <c r="D1273" t="s">
        <v>28</v>
      </c>
      <c r="E1273" t="s">
        <v>29</v>
      </c>
      <c r="F1273">
        <v>32</v>
      </c>
      <c r="G1273">
        <v>33.5</v>
      </c>
      <c r="H1273" t="s">
        <v>46</v>
      </c>
      <c r="I1273" t="s">
        <v>47</v>
      </c>
    </row>
    <row r="1274" spans="1:9" x14ac:dyDescent="0.35">
      <c r="A1274" s="1">
        <v>45334</v>
      </c>
      <c r="B1274" t="s">
        <v>33</v>
      </c>
      <c r="C1274" t="s">
        <v>34</v>
      </c>
      <c r="D1274" t="s">
        <v>15</v>
      </c>
      <c r="E1274" t="s">
        <v>16</v>
      </c>
      <c r="F1274">
        <v>34</v>
      </c>
      <c r="G1274">
        <v>34.1</v>
      </c>
      <c r="H1274" t="s">
        <v>46</v>
      </c>
      <c r="I1274" t="s">
        <v>47</v>
      </c>
    </row>
    <row r="1275" spans="1:9" x14ac:dyDescent="0.35">
      <c r="A1275" s="1">
        <v>45334</v>
      </c>
      <c r="B1275" t="s">
        <v>33</v>
      </c>
      <c r="C1275" t="s">
        <v>34</v>
      </c>
      <c r="D1275" t="s">
        <v>18</v>
      </c>
      <c r="E1275" t="s">
        <v>19</v>
      </c>
      <c r="F1275">
        <v>38</v>
      </c>
      <c r="G1275">
        <v>37.6</v>
      </c>
      <c r="H1275" t="s">
        <v>46</v>
      </c>
      <c r="I1275" t="s">
        <v>47</v>
      </c>
    </row>
    <row r="1276" spans="1:9" x14ac:dyDescent="0.35">
      <c r="A1276" s="1">
        <v>45334</v>
      </c>
      <c r="B1276" t="s">
        <v>33</v>
      </c>
      <c r="C1276" t="s">
        <v>34</v>
      </c>
      <c r="D1276" t="s">
        <v>21</v>
      </c>
      <c r="E1276" t="s">
        <v>22</v>
      </c>
      <c r="F1276">
        <v>32</v>
      </c>
      <c r="G1276">
        <v>31.9</v>
      </c>
      <c r="H1276" t="s">
        <v>46</v>
      </c>
      <c r="I1276" t="s">
        <v>47</v>
      </c>
    </row>
    <row r="1277" spans="1:9" x14ac:dyDescent="0.35">
      <c r="A1277" s="1">
        <v>45334</v>
      </c>
      <c r="B1277" t="s">
        <v>33</v>
      </c>
      <c r="C1277" t="s">
        <v>34</v>
      </c>
      <c r="D1277" t="s">
        <v>24</v>
      </c>
      <c r="E1277" t="s">
        <v>25</v>
      </c>
      <c r="F1277">
        <v>50</v>
      </c>
      <c r="G1277">
        <v>49.6</v>
      </c>
      <c r="H1277" t="s">
        <v>46</v>
      </c>
      <c r="I1277" t="s">
        <v>47</v>
      </c>
    </row>
    <row r="1278" spans="1:9" x14ac:dyDescent="0.35">
      <c r="A1278" s="1">
        <v>45334</v>
      </c>
      <c r="B1278" t="s">
        <v>33</v>
      </c>
      <c r="C1278" t="s">
        <v>34</v>
      </c>
      <c r="D1278" t="s">
        <v>26</v>
      </c>
      <c r="E1278" t="s">
        <v>27</v>
      </c>
      <c r="F1278">
        <v>38</v>
      </c>
      <c r="G1278">
        <v>50.4</v>
      </c>
      <c r="H1278" t="s">
        <v>48</v>
      </c>
      <c r="I1278" t="s">
        <v>49</v>
      </c>
    </row>
    <row r="1279" spans="1:9" x14ac:dyDescent="0.35">
      <c r="A1279" s="1">
        <v>45334</v>
      </c>
      <c r="B1279" t="s">
        <v>33</v>
      </c>
      <c r="C1279" t="s">
        <v>34</v>
      </c>
      <c r="D1279" t="s">
        <v>28</v>
      </c>
      <c r="E1279" t="s">
        <v>29</v>
      </c>
      <c r="F1279">
        <v>32</v>
      </c>
      <c r="G1279">
        <v>32.9</v>
      </c>
      <c r="H1279" t="s">
        <v>46</v>
      </c>
      <c r="I1279" t="s">
        <v>47</v>
      </c>
    </row>
    <row r="1280" spans="1:9" x14ac:dyDescent="0.35">
      <c r="A1280" s="1">
        <v>45334</v>
      </c>
      <c r="B1280" t="s">
        <v>36</v>
      </c>
      <c r="C1280" t="s">
        <v>37</v>
      </c>
      <c r="D1280" t="s">
        <v>15</v>
      </c>
      <c r="E1280" t="s">
        <v>16</v>
      </c>
      <c r="F1280">
        <v>34</v>
      </c>
      <c r="G1280">
        <v>34.700000000000003</v>
      </c>
      <c r="H1280" t="s">
        <v>46</v>
      </c>
      <c r="I1280" t="s">
        <v>47</v>
      </c>
    </row>
    <row r="1281" spans="1:9" x14ac:dyDescent="0.35">
      <c r="A1281" s="1">
        <v>45334</v>
      </c>
      <c r="B1281" t="s">
        <v>36</v>
      </c>
      <c r="C1281" t="s">
        <v>37</v>
      </c>
      <c r="D1281" t="s">
        <v>18</v>
      </c>
      <c r="E1281" t="s">
        <v>19</v>
      </c>
      <c r="F1281">
        <v>38</v>
      </c>
      <c r="G1281">
        <v>37.799999999999997</v>
      </c>
      <c r="H1281" t="s">
        <v>46</v>
      </c>
      <c r="I1281" t="s">
        <v>47</v>
      </c>
    </row>
    <row r="1282" spans="1:9" x14ac:dyDescent="0.35">
      <c r="A1282" s="1">
        <v>45334</v>
      </c>
      <c r="B1282" t="s">
        <v>36</v>
      </c>
      <c r="C1282" t="s">
        <v>37</v>
      </c>
      <c r="D1282" t="s">
        <v>21</v>
      </c>
      <c r="E1282" t="s">
        <v>22</v>
      </c>
      <c r="F1282">
        <v>32</v>
      </c>
      <c r="G1282">
        <v>31.1</v>
      </c>
      <c r="H1282" t="s">
        <v>46</v>
      </c>
      <c r="I1282" t="s">
        <v>47</v>
      </c>
    </row>
    <row r="1283" spans="1:9" x14ac:dyDescent="0.35">
      <c r="A1283" s="1">
        <v>45334</v>
      </c>
      <c r="B1283" t="s">
        <v>36</v>
      </c>
      <c r="C1283" t="s">
        <v>37</v>
      </c>
      <c r="D1283" t="s">
        <v>24</v>
      </c>
      <c r="E1283" t="s">
        <v>25</v>
      </c>
      <c r="F1283">
        <v>50</v>
      </c>
      <c r="G1283">
        <v>50.1</v>
      </c>
      <c r="H1283" t="s">
        <v>46</v>
      </c>
      <c r="I1283" t="s">
        <v>47</v>
      </c>
    </row>
    <row r="1284" spans="1:9" x14ac:dyDescent="0.35">
      <c r="A1284" s="1">
        <v>45334</v>
      </c>
      <c r="B1284" t="s">
        <v>36</v>
      </c>
      <c r="C1284" t="s">
        <v>37</v>
      </c>
      <c r="D1284" t="s">
        <v>26</v>
      </c>
      <c r="E1284" t="s">
        <v>27</v>
      </c>
      <c r="F1284">
        <v>38</v>
      </c>
      <c r="G1284">
        <v>39.6</v>
      </c>
      <c r="H1284" t="s">
        <v>46</v>
      </c>
      <c r="I1284" t="s">
        <v>47</v>
      </c>
    </row>
    <row r="1285" spans="1:9" x14ac:dyDescent="0.35">
      <c r="A1285" s="1">
        <v>45334</v>
      </c>
      <c r="B1285" t="s">
        <v>36</v>
      </c>
      <c r="C1285" t="s">
        <v>37</v>
      </c>
      <c r="D1285" t="s">
        <v>28</v>
      </c>
      <c r="E1285" t="s">
        <v>29</v>
      </c>
      <c r="F1285">
        <v>32</v>
      </c>
      <c r="G1285">
        <v>43.8</v>
      </c>
      <c r="H1285" t="s">
        <v>48</v>
      </c>
      <c r="I1285" t="s">
        <v>49</v>
      </c>
    </row>
    <row r="1286" spans="1:9" x14ac:dyDescent="0.35">
      <c r="A1286" s="1">
        <v>45334</v>
      </c>
      <c r="B1286" t="s">
        <v>39</v>
      </c>
      <c r="C1286" t="s">
        <v>40</v>
      </c>
      <c r="D1286" t="s">
        <v>15</v>
      </c>
      <c r="E1286" t="s">
        <v>16</v>
      </c>
      <c r="F1286">
        <v>34</v>
      </c>
      <c r="G1286">
        <v>33.200000000000003</v>
      </c>
      <c r="H1286" t="s">
        <v>46</v>
      </c>
      <c r="I1286" t="s">
        <v>47</v>
      </c>
    </row>
    <row r="1287" spans="1:9" x14ac:dyDescent="0.35">
      <c r="A1287" s="1">
        <v>45334</v>
      </c>
      <c r="B1287" t="s">
        <v>39</v>
      </c>
      <c r="C1287" t="s">
        <v>40</v>
      </c>
      <c r="D1287" t="s">
        <v>18</v>
      </c>
      <c r="E1287" t="s">
        <v>19</v>
      </c>
      <c r="F1287">
        <v>38</v>
      </c>
      <c r="G1287">
        <v>38.299999999999997</v>
      </c>
      <c r="H1287" t="s">
        <v>46</v>
      </c>
      <c r="I1287" t="s">
        <v>47</v>
      </c>
    </row>
    <row r="1288" spans="1:9" x14ac:dyDescent="0.35">
      <c r="A1288" s="1">
        <v>45334</v>
      </c>
      <c r="B1288" t="s">
        <v>39</v>
      </c>
      <c r="C1288" t="s">
        <v>40</v>
      </c>
      <c r="D1288" t="s">
        <v>21</v>
      </c>
      <c r="E1288" t="s">
        <v>22</v>
      </c>
      <c r="F1288">
        <v>32</v>
      </c>
      <c r="G1288">
        <v>31.3</v>
      </c>
      <c r="H1288" t="s">
        <v>46</v>
      </c>
      <c r="I1288" t="s">
        <v>47</v>
      </c>
    </row>
    <row r="1289" spans="1:9" x14ac:dyDescent="0.35">
      <c r="A1289" s="1">
        <v>45334</v>
      </c>
      <c r="B1289" t="s">
        <v>39</v>
      </c>
      <c r="C1289" t="s">
        <v>40</v>
      </c>
      <c r="D1289" t="s">
        <v>24</v>
      </c>
      <c r="E1289" t="s">
        <v>25</v>
      </c>
      <c r="F1289">
        <v>50</v>
      </c>
      <c r="G1289">
        <v>52.6</v>
      </c>
      <c r="H1289" t="s">
        <v>46</v>
      </c>
      <c r="I1289" t="s">
        <v>47</v>
      </c>
    </row>
    <row r="1290" spans="1:9" x14ac:dyDescent="0.35">
      <c r="A1290" s="1">
        <v>45334</v>
      </c>
      <c r="B1290" t="s">
        <v>39</v>
      </c>
      <c r="C1290" t="s">
        <v>40</v>
      </c>
      <c r="D1290" t="s">
        <v>26</v>
      </c>
      <c r="E1290" t="s">
        <v>27</v>
      </c>
      <c r="F1290">
        <v>38</v>
      </c>
      <c r="G1290">
        <v>40.5</v>
      </c>
      <c r="H1290" t="s">
        <v>46</v>
      </c>
      <c r="I1290" t="s">
        <v>47</v>
      </c>
    </row>
    <row r="1291" spans="1:9" x14ac:dyDescent="0.35">
      <c r="A1291" s="1">
        <v>45334</v>
      </c>
      <c r="B1291" t="s">
        <v>39</v>
      </c>
      <c r="C1291" t="s">
        <v>40</v>
      </c>
      <c r="D1291" t="s">
        <v>28</v>
      </c>
      <c r="E1291" t="s">
        <v>29</v>
      </c>
      <c r="F1291">
        <v>32</v>
      </c>
      <c r="G1291">
        <v>34.4</v>
      </c>
      <c r="H1291" t="s">
        <v>46</v>
      </c>
      <c r="I1291" t="s">
        <v>47</v>
      </c>
    </row>
    <row r="1292" spans="1:9" x14ac:dyDescent="0.35">
      <c r="A1292" s="1">
        <v>45335</v>
      </c>
      <c r="B1292" t="s">
        <v>12</v>
      </c>
      <c r="C1292" t="s">
        <v>13</v>
      </c>
      <c r="D1292" t="s">
        <v>15</v>
      </c>
      <c r="E1292" t="s">
        <v>16</v>
      </c>
      <c r="F1292">
        <v>34</v>
      </c>
      <c r="G1292">
        <v>33.9</v>
      </c>
      <c r="H1292" t="s">
        <v>46</v>
      </c>
      <c r="I1292" t="s">
        <v>47</v>
      </c>
    </row>
    <row r="1293" spans="1:9" x14ac:dyDescent="0.35">
      <c r="A1293" s="1">
        <v>45335</v>
      </c>
      <c r="B1293" t="s">
        <v>12</v>
      </c>
      <c r="C1293" t="s">
        <v>13</v>
      </c>
      <c r="D1293" t="s">
        <v>18</v>
      </c>
      <c r="E1293" t="s">
        <v>19</v>
      </c>
      <c r="F1293">
        <v>38</v>
      </c>
      <c r="G1293">
        <v>39</v>
      </c>
      <c r="H1293" t="s">
        <v>46</v>
      </c>
      <c r="I1293" t="s">
        <v>47</v>
      </c>
    </row>
    <row r="1294" spans="1:9" x14ac:dyDescent="0.35">
      <c r="A1294" s="1">
        <v>45335</v>
      </c>
      <c r="B1294" t="s">
        <v>12</v>
      </c>
      <c r="C1294" t="s">
        <v>13</v>
      </c>
      <c r="D1294" t="s">
        <v>21</v>
      </c>
      <c r="E1294" t="s">
        <v>22</v>
      </c>
      <c r="F1294">
        <v>32</v>
      </c>
      <c r="G1294">
        <v>43.3</v>
      </c>
      <c r="H1294" t="s">
        <v>48</v>
      </c>
      <c r="I1294" t="s">
        <v>49</v>
      </c>
    </row>
    <row r="1295" spans="1:9" x14ac:dyDescent="0.35">
      <c r="A1295" s="1">
        <v>45335</v>
      </c>
      <c r="B1295" t="s">
        <v>12</v>
      </c>
      <c r="C1295" t="s">
        <v>13</v>
      </c>
      <c r="D1295" t="s">
        <v>24</v>
      </c>
      <c r="E1295" t="s">
        <v>25</v>
      </c>
      <c r="F1295">
        <v>50</v>
      </c>
      <c r="G1295">
        <v>52.1</v>
      </c>
      <c r="H1295" t="s">
        <v>46</v>
      </c>
      <c r="I1295" t="s">
        <v>47</v>
      </c>
    </row>
    <row r="1296" spans="1:9" x14ac:dyDescent="0.35">
      <c r="A1296" s="1">
        <v>45335</v>
      </c>
      <c r="B1296" t="s">
        <v>12</v>
      </c>
      <c r="C1296" t="s">
        <v>13</v>
      </c>
      <c r="D1296" t="s">
        <v>26</v>
      </c>
      <c r="E1296" t="s">
        <v>27</v>
      </c>
      <c r="F1296">
        <v>38</v>
      </c>
      <c r="G1296">
        <v>39</v>
      </c>
      <c r="H1296" t="s">
        <v>46</v>
      </c>
      <c r="I1296" t="s">
        <v>47</v>
      </c>
    </row>
    <row r="1297" spans="1:9" x14ac:dyDescent="0.35">
      <c r="A1297" s="1">
        <v>45335</v>
      </c>
      <c r="B1297" t="s">
        <v>12</v>
      </c>
      <c r="C1297" t="s">
        <v>13</v>
      </c>
      <c r="D1297" t="s">
        <v>28</v>
      </c>
      <c r="E1297" t="s">
        <v>29</v>
      </c>
      <c r="F1297">
        <v>32</v>
      </c>
      <c r="G1297">
        <v>42.8</v>
      </c>
      <c r="H1297" t="s">
        <v>48</v>
      </c>
      <c r="I1297" t="s">
        <v>49</v>
      </c>
    </row>
    <row r="1298" spans="1:9" x14ac:dyDescent="0.35">
      <c r="A1298" s="1">
        <v>45335</v>
      </c>
      <c r="B1298" t="s">
        <v>30</v>
      </c>
      <c r="C1298" t="s">
        <v>31</v>
      </c>
      <c r="D1298" t="s">
        <v>15</v>
      </c>
      <c r="E1298" t="s">
        <v>16</v>
      </c>
      <c r="F1298">
        <v>34</v>
      </c>
      <c r="G1298">
        <v>34.299999999999997</v>
      </c>
      <c r="H1298" t="s">
        <v>46</v>
      </c>
      <c r="I1298" t="s">
        <v>47</v>
      </c>
    </row>
    <row r="1299" spans="1:9" x14ac:dyDescent="0.35">
      <c r="A1299" s="1">
        <v>45335</v>
      </c>
      <c r="B1299" t="s">
        <v>30</v>
      </c>
      <c r="C1299" t="s">
        <v>31</v>
      </c>
      <c r="D1299" t="s">
        <v>18</v>
      </c>
      <c r="E1299" t="s">
        <v>19</v>
      </c>
      <c r="F1299">
        <v>38</v>
      </c>
      <c r="G1299">
        <v>39.9</v>
      </c>
      <c r="H1299" t="s">
        <v>46</v>
      </c>
      <c r="I1299" t="s">
        <v>47</v>
      </c>
    </row>
    <row r="1300" spans="1:9" x14ac:dyDescent="0.35">
      <c r="A1300" s="1">
        <v>45335</v>
      </c>
      <c r="B1300" t="s">
        <v>30</v>
      </c>
      <c r="C1300" t="s">
        <v>31</v>
      </c>
      <c r="D1300" t="s">
        <v>21</v>
      </c>
      <c r="E1300" t="s">
        <v>22</v>
      </c>
      <c r="F1300">
        <v>32</v>
      </c>
      <c r="G1300">
        <v>34</v>
      </c>
      <c r="H1300" t="s">
        <v>46</v>
      </c>
      <c r="I1300" t="s">
        <v>47</v>
      </c>
    </row>
    <row r="1301" spans="1:9" x14ac:dyDescent="0.35">
      <c r="A1301" s="1">
        <v>45335</v>
      </c>
      <c r="B1301" t="s">
        <v>30</v>
      </c>
      <c r="C1301" t="s">
        <v>31</v>
      </c>
      <c r="D1301" t="s">
        <v>24</v>
      </c>
      <c r="E1301" t="s">
        <v>25</v>
      </c>
      <c r="F1301">
        <v>50</v>
      </c>
      <c r="G1301">
        <v>49.9</v>
      </c>
      <c r="H1301" t="s">
        <v>46</v>
      </c>
      <c r="I1301" t="s">
        <v>47</v>
      </c>
    </row>
    <row r="1302" spans="1:9" x14ac:dyDescent="0.35">
      <c r="A1302" s="1">
        <v>45335</v>
      </c>
      <c r="B1302" t="s">
        <v>30</v>
      </c>
      <c r="C1302" t="s">
        <v>31</v>
      </c>
      <c r="D1302" t="s">
        <v>26</v>
      </c>
      <c r="E1302" t="s">
        <v>27</v>
      </c>
      <c r="F1302">
        <v>38</v>
      </c>
      <c r="G1302">
        <v>45.7</v>
      </c>
      <c r="H1302" t="s">
        <v>48</v>
      </c>
      <c r="I1302" t="s">
        <v>50</v>
      </c>
    </row>
    <row r="1303" spans="1:9" x14ac:dyDescent="0.35">
      <c r="A1303" s="1">
        <v>45335</v>
      </c>
      <c r="B1303" t="s">
        <v>30</v>
      </c>
      <c r="C1303" t="s">
        <v>31</v>
      </c>
      <c r="D1303" t="s">
        <v>28</v>
      </c>
      <c r="E1303" t="s">
        <v>29</v>
      </c>
      <c r="F1303">
        <v>32</v>
      </c>
      <c r="G1303">
        <v>32.6</v>
      </c>
      <c r="H1303" t="s">
        <v>46</v>
      </c>
      <c r="I1303" t="s">
        <v>47</v>
      </c>
    </row>
    <row r="1304" spans="1:9" x14ac:dyDescent="0.35">
      <c r="A1304" s="1">
        <v>45335</v>
      </c>
      <c r="B1304" t="s">
        <v>33</v>
      </c>
      <c r="C1304" t="s">
        <v>34</v>
      </c>
      <c r="D1304" t="s">
        <v>15</v>
      </c>
      <c r="E1304" t="s">
        <v>16</v>
      </c>
      <c r="F1304">
        <v>34</v>
      </c>
      <c r="G1304">
        <v>33.200000000000003</v>
      </c>
      <c r="H1304" t="s">
        <v>46</v>
      </c>
      <c r="I1304" t="s">
        <v>47</v>
      </c>
    </row>
    <row r="1305" spans="1:9" x14ac:dyDescent="0.35">
      <c r="A1305" s="1">
        <v>45335</v>
      </c>
      <c r="B1305" t="s">
        <v>33</v>
      </c>
      <c r="C1305" t="s">
        <v>34</v>
      </c>
      <c r="D1305" t="s">
        <v>18</v>
      </c>
      <c r="E1305" t="s">
        <v>19</v>
      </c>
      <c r="F1305">
        <v>38</v>
      </c>
      <c r="G1305">
        <v>39.799999999999997</v>
      </c>
      <c r="H1305" t="s">
        <v>46</v>
      </c>
      <c r="I1305" t="s">
        <v>47</v>
      </c>
    </row>
    <row r="1306" spans="1:9" x14ac:dyDescent="0.35">
      <c r="A1306" s="1">
        <v>45335</v>
      </c>
      <c r="B1306" t="s">
        <v>33</v>
      </c>
      <c r="C1306" t="s">
        <v>34</v>
      </c>
      <c r="D1306" t="s">
        <v>21</v>
      </c>
      <c r="E1306" t="s">
        <v>22</v>
      </c>
      <c r="F1306">
        <v>32</v>
      </c>
      <c r="G1306">
        <v>42.4</v>
      </c>
      <c r="H1306" t="s">
        <v>48</v>
      </c>
      <c r="I1306" t="s">
        <v>49</v>
      </c>
    </row>
    <row r="1307" spans="1:9" x14ac:dyDescent="0.35">
      <c r="A1307" s="1">
        <v>45335</v>
      </c>
      <c r="B1307" t="s">
        <v>33</v>
      </c>
      <c r="C1307" t="s">
        <v>34</v>
      </c>
      <c r="D1307" t="s">
        <v>24</v>
      </c>
      <c r="E1307" t="s">
        <v>25</v>
      </c>
      <c r="F1307">
        <v>50</v>
      </c>
      <c r="G1307">
        <v>50</v>
      </c>
      <c r="H1307" t="s">
        <v>46</v>
      </c>
      <c r="I1307" t="s">
        <v>47</v>
      </c>
    </row>
    <row r="1308" spans="1:9" x14ac:dyDescent="0.35">
      <c r="A1308" s="1">
        <v>45335</v>
      </c>
      <c r="B1308" t="s">
        <v>33</v>
      </c>
      <c r="C1308" t="s">
        <v>34</v>
      </c>
      <c r="D1308" t="s">
        <v>26</v>
      </c>
      <c r="E1308" t="s">
        <v>27</v>
      </c>
      <c r="F1308">
        <v>38</v>
      </c>
      <c r="G1308">
        <v>40.1</v>
      </c>
      <c r="H1308" t="s">
        <v>46</v>
      </c>
      <c r="I1308" t="s">
        <v>47</v>
      </c>
    </row>
    <row r="1309" spans="1:9" x14ac:dyDescent="0.35">
      <c r="A1309" s="1">
        <v>45335</v>
      </c>
      <c r="B1309" t="s">
        <v>33</v>
      </c>
      <c r="C1309" t="s">
        <v>34</v>
      </c>
      <c r="D1309" t="s">
        <v>28</v>
      </c>
      <c r="E1309" t="s">
        <v>29</v>
      </c>
      <c r="F1309">
        <v>32</v>
      </c>
      <c r="G1309">
        <v>41.8</v>
      </c>
      <c r="H1309" t="s">
        <v>48</v>
      </c>
      <c r="I1309" t="s">
        <v>50</v>
      </c>
    </row>
    <row r="1310" spans="1:9" x14ac:dyDescent="0.35">
      <c r="A1310" s="1">
        <v>45335</v>
      </c>
      <c r="B1310" t="s">
        <v>36</v>
      </c>
      <c r="C1310" t="s">
        <v>37</v>
      </c>
      <c r="D1310" t="s">
        <v>15</v>
      </c>
      <c r="E1310" t="s">
        <v>16</v>
      </c>
      <c r="F1310">
        <v>34</v>
      </c>
      <c r="G1310">
        <v>34.200000000000003</v>
      </c>
      <c r="H1310" t="s">
        <v>46</v>
      </c>
      <c r="I1310" t="s">
        <v>47</v>
      </c>
    </row>
    <row r="1311" spans="1:9" x14ac:dyDescent="0.35">
      <c r="A1311" s="1">
        <v>45335</v>
      </c>
      <c r="B1311" t="s">
        <v>36</v>
      </c>
      <c r="C1311" t="s">
        <v>37</v>
      </c>
      <c r="D1311" t="s">
        <v>18</v>
      </c>
      <c r="E1311" t="s">
        <v>19</v>
      </c>
      <c r="F1311">
        <v>38</v>
      </c>
      <c r="G1311">
        <v>40.6</v>
      </c>
      <c r="H1311" t="s">
        <v>46</v>
      </c>
      <c r="I1311" t="s">
        <v>47</v>
      </c>
    </row>
    <row r="1312" spans="1:9" x14ac:dyDescent="0.35">
      <c r="A1312" s="1">
        <v>45335</v>
      </c>
      <c r="B1312" t="s">
        <v>36</v>
      </c>
      <c r="C1312" t="s">
        <v>37</v>
      </c>
      <c r="D1312" t="s">
        <v>21</v>
      </c>
      <c r="E1312" t="s">
        <v>22</v>
      </c>
      <c r="F1312">
        <v>32</v>
      </c>
      <c r="G1312">
        <v>43.9</v>
      </c>
      <c r="H1312" t="s">
        <v>48</v>
      </c>
      <c r="I1312" t="s">
        <v>49</v>
      </c>
    </row>
    <row r="1313" spans="1:9" x14ac:dyDescent="0.35">
      <c r="A1313" s="1">
        <v>45335</v>
      </c>
      <c r="B1313" t="s">
        <v>36</v>
      </c>
      <c r="C1313" t="s">
        <v>37</v>
      </c>
      <c r="D1313" t="s">
        <v>24</v>
      </c>
      <c r="E1313" t="s">
        <v>25</v>
      </c>
      <c r="F1313">
        <v>50</v>
      </c>
      <c r="G1313">
        <v>49.2</v>
      </c>
      <c r="H1313" t="s">
        <v>46</v>
      </c>
      <c r="I1313" t="s">
        <v>47</v>
      </c>
    </row>
    <row r="1314" spans="1:9" x14ac:dyDescent="0.35">
      <c r="A1314" s="1">
        <v>45335</v>
      </c>
      <c r="B1314" t="s">
        <v>36</v>
      </c>
      <c r="C1314" t="s">
        <v>37</v>
      </c>
      <c r="D1314" t="s">
        <v>26</v>
      </c>
      <c r="E1314" t="s">
        <v>27</v>
      </c>
      <c r="F1314">
        <v>38</v>
      </c>
      <c r="G1314">
        <v>39.700000000000003</v>
      </c>
      <c r="H1314" t="s">
        <v>46</v>
      </c>
      <c r="I1314" t="s">
        <v>47</v>
      </c>
    </row>
    <row r="1315" spans="1:9" x14ac:dyDescent="0.35">
      <c r="A1315" s="1">
        <v>45335</v>
      </c>
      <c r="B1315" t="s">
        <v>36</v>
      </c>
      <c r="C1315" t="s">
        <v>37</v>
      </c>
      <c r="D1315" t="s">
        <v>28</v>
      </c>
      <c r="E1315" t="s">
        <v>29</v>
      </c>
      <c r="F1315">
        <v>32</v>
      </c>
      <c r="G1315">
        <v>32.5</v>
      </c>
      <c r="H1315" t="s">
        <v>46</v>
      </c>
      <c r="I1315" t="s">
        <v>47</v>
      </c>
    </row>
    <row r="1316" spans="1:9" x14ac:dyDescent="0.35">
      <c r="A1316" s="1">
        <v>45335</v>
      </c>
      <c r="B1316" t="s">
        <v>39</v>
      </c>
      <c r="C1316" t="s">
        <v>40</v>
      </c>
      <c r="D1316" t="s">
        <v>15</v>
      </c>
      <c r="E1316" t="s">
        <v>16</v>
      </c>
      <c r="F1316">
        <v>34</v>
      </c>
      <c r="G1316">
        <v>35.799999999999997</v>
      </c>
      <c r="H1316" t="s">
        <v>46</v>
      </c>
      <c r="I1316" t="s">
        <v>47</v>
      </c>
    </row>
    <row r="1317" spans="1:9" x14ac:dyDescent="0.35">
      <c r="A1317" s="1">
        <v>45335</v>
      </c>
      <c r="B1317" t="s">
        <v>39</v>
      </c>
      <c r="C1317" t="s">
        <v>40</v>
      </c>
      <c r="D1317" t="s">
        <v>18</v>
      </c>
      <c r="E1317" t="s">
        <v>19</v>
      </c>
      <c r="F1317">
        <v>38</v>
      </c>
      <c r="G1317">
        <v>39.700000000000003</v>
      </c>
      <c r="H1317" t="s">
        <v>46</v>
      </c>
      <c r="I1317" t="s">
        <v>47</v>
      </c>
    </row>
    <row r="1318" spans="1:9" x14ac:dyDescent="0.35">
      <c r="A1318" s="1">
        <v>45335</v>
      </c>
      <c r="B1318" t="s">
        <v>39</v>
      </c>
      <c r="C1318" t="s">
        <v>40</v>
      </c>
      <c r="D1318" t="s">
        <v>21</v>
      </c>
      <c r="E1318" t="s">
        <v>22</v>
      </c>
      <c r="F1318">
        <v>32</v>
      </c>
      <c r="G1318">
        <v>31.9</v>
      </c>
      <c r="H1318" t="s">
        <v>46</v>
      </c>
      <c r="I1318" t="s">
        <v>47</v>
      </c>
    </row>
    <row r="1319" spans="1:9" x14ac:dyDescent="0.35">
      <c r="A1319" s="1">
        <v>45335</v>
      </c>
      <c r="B1319" t="s">
        <v>39</v>
      </c>
      <c r="C1319" t="s">
        <v>40</v>
      </c>
      <c r="D1319" t="s">
        <v>24</v>
      </c>
      <c r="E1319" t="s">
        <v>25</v>
      </c>
      <c r="F1319">
        <v>50</v>
      </c>
      <c r="G1319">
        <v>49</v>
      </c>
      <c r="H1319" t="s">
        <v>46</v>
      </c>
      <c r="I1319" t="s">
        <v>47</v>
      </c>
    </row>
    <row r="1320" spans="1:9" x14ac:dyDescent="0.35">
      <c r="A1320" s="1">
        <v>45335</v>
      </c>
      <c r="B1320" t="s">
        <v>39</v>
      </c>
      <c r="C1320" t="s">
        <v>40</v>
      </c>
      <c r="D1320" t="s">
        <v>26</v>
      </c>
      <c r="E1320" t="s">
        <v>27</v>
      </c>
      <c r="F1320">
        <v>38</v>
      </c>
      <c r="G1320">
        <v>40.700000000000003</v>
      </c>
      <c r="H1320" t="s">
        <v>46</v>
      </c>
      <c r="I1320" t="s">
        <v>47</v>
      </c>
    </row>
    <row r="1321" spans="1:9" x14ac:dyDescent="0.35">
      <c r="A1321" s="1">
        <v>45335</v>
      </c>
      <c r="B1321" t="s">
        <v>39</v>
      </c>
      <c r="C1321" t="s">
        <v>40</v>
      </c>
      <c r="D1321" t="s">
        <v>28</v>
      </c>
      <c r="E1321" t="s">
        <v>29</v>
      </c>
      <c r="F1321">
        <v>32</v>
      </c>
      <c r="G1321">
        <v>32.200000000000003</v>
      </c>
      <c r="H1321" t="s">
        <v>46</v>
      </c>
      <c r="I1321" t="s">
        <v>47</v>
      </c>
    </row>
    <row r="1322" spans="1:9" x14ac:dyDescent="0.35">
      <c r="A1322" s="1">
        <v>45336</v>
      </c>
      <c r="B1322" t="s">
        <v>12</v>
      </c>
      <c r="C1322" t="s">
        <v>13</v>
      </c>
      <c r="D1322" t="s">
        <v>15</v>
      </c>
      <c r="E1322" t="s">
        <v>16</v>
      </c>
      <c r="F1322">
        <v>34</v>
      </c>
      <c r="G1322">
        <v>36</v>
      </c>
      <c r="H1322" t="s">
        <v>46</v>
      </c>
      <c r="I1322" t="s">
        <v>47</v>
      </c>
    </row>
    <row r="1323" spans="1:9" x14ac:dyDescent="0.35">
      <c r="A1323" s="1">
        <v>45336</v>
      </c>
      <c r="B1323" t="s">
        <v>12</v>
      </c>
      <c r="C1323" t="s">
        <v>13</v>
      </c>
      <c r="D1323" t="s">
        <v>18</v>
      </c>
      <c r="E1323" t="s">
        <v>19</v>
      </c>
      <c r="F1323">
        <v>38</v>
      </c>
      <c r="G1323">
        <v>40.4</v>
      </c>
      <c r="H1323" t="s">
        <v>46</v>
      </c>
      <c r="I1323" t="s">
        <v>47</v>
      </c>
    </row>
    <row r="1324" spans="1:9" x14ac:dyDescent="0.35">
      <c r="A1324" s="1">
        <v>45336</v>
      </c>
      <c r="B1324" t="s">
        <v>12</v>
      </c>
      <c r="C1324" t="s">
        <v>13</v>
      </c>
      <c r="D1324" t="s">
        <v>21</v>
      </c>
      <c r="E1324" t="s">
        <v>22</v>
      </c>
      <c r="F1324">
        <v>32</v>
      </c>
      <c r="G1324">
        <v>41.5</v>
      </c>
      <c r="H1324" t="s">
        <v>48</v>
      </c>
      <c r="I1324" t="s">
        <v>50</v>
      </c>
    </row>
    <row r="1325" spans="1:9" x14ac:dyDescent="0.35">
      <c r="A1325" s="1">
        <v>45336</v>
      </c>
      <c r="B1325" t="s">
        <v>12</v>
      </c>
      <c r="C1325" t="s">
        <v>13</v>
      </c>
      <c r="D1325" t="s">
        <v>24</v>
      </c>
      <c r="E1325" t="s">
        <v>25</v>
      </c>
      <c r="F1325">
        <v>50</v>
      </c>
      <c r="G1325">
        <v>52.2</v>
      </c>
      <c r="H1325" t="s">
        <v>46</v>
      </c>
      <c r="I1325" t="s">
        <v>47</v>
      </c>
    </row>
    <row r="1326" spans="1:9" x14ac:dyDescent="0.35">
      <c r="A1326" s="1">
        <v>45336</v>
      </c>
      <c r="B1326" t="s">
        <v>12</v>
      </c>
      <c r="C1326" t="s">
        <v>13</v>
      </c>
      <c r="D1326" t="s">
        <v>26</v>
      </c>
      <c r="E1326" t="s">
        <v>27</v>
      </c>
      <c r="F1326">
        <v>38</v>
      </c>
      <c r="G1326">
        <v>40.200000000000003</v>
      </c>
      <c r="H1326" t="s">
        <v>46</v>
      </c>
      <c r="I1326" t="s">
        <v>47</v>
      </c>
    </row>
    <row r="1327" spans="1:9" x14ac:dyDescent="0.35">
      <c r="A1327" s="1">
        <v>45336</v>
      </c>
      <c r="B1327" t="s">
        <v>12</v>
      </c>
      <c r="C1327" t="s">
        <v>13</v>
      </c>
      <c r="D1327" t="s">
        <v>28</v>
      </c>
      <c r="E1327" t="s">
        <v>29</v>
      </c>
      <c r="F1327">
        <v>32</v>
      </c>
      <c r="G1327">
        <v>31.3</v>
      </c>
      <c r="H1327" t="s">
        <v>46</v>
      </c>
      <c r="I1327" t="s">
        <v>47</v>
      </c>
    </row>
    <row r="1328" spans="1:9" x14ac:dyDescent="0.35">
      <c r="A1328" s="1">
        <v>45336</v>
      </c>
      <c r="B1328" t="s">
        <v>30</v>
      </c>
      <c r="C1328" t="s">
        <v>31</v>
      </c>
      <c r="D1328" t="s">
        <v>15</v>
      </c>
      <c r="E1328" t="s">
        <v>16</v>
      </c>
      <c r="F1328">
        <v>34</v>
      </c>
      <c r="G1328">
        <v>35</v>
      </c>
      <c r="H1328" t="s">
        <v>46</v>
      </c>
      <c r="I1328" t="s">
        <v>47</v>
      </c>
    </row>
    <row r="1329" spans="1:9" x14ac:dyDescent="0.35">
      <c r="A1329" s="1">
        <v>45336</v>
      </c>
      <c r="B1329" t="s">
        <v>30</v>
      </c>
      <c r="C1329" t="s">
        <v>31</v>
      </c>
      <c r="D1329" t="s">
        <v>18</v>
      </c>
      <c r="E1329" t="s">
        <v>19</v>
      </c>
      <c r="F1329">
        <v>38</v>
      </c>
      <c r="G1329">
        <v>40.700000000000003</v>
      </c>
      <c r="H1329" t="s">
        <v>46</v>
      </c>
      <c r="I1329" t="s">
        <v>47</v>
      </c>
    </row>
    <row r="1330" spans="1:9" x14ac:dyDescent="0.35">
      <c r="A1330" s="1">
        <v>45336</v>
      </c>
      <c r="B1330" t="s">
        <v>30</v>
      </c>
      <c r="C1330" t="s">
        <v>31</v>
      </c>
      <c r="D1330" t="s">
        <v>21</v>
      </c>
      <c r="E1330" t="s">
        <v>22</v>
      </c>
      <c r="F1330">
        <v>32</v>
      </c>
      <c r="G1330">
        <v>32.700000000000003</v>
      </c>
      <c r="H1330" t="s">
        <v>46</v>
      </c>
      <c r="I1330" t="s">
        <v>47</v>
      </c>
    </row>
    <row r="1331" spans="1:9" x14ac:dyDescent="0.35">
      <c r="A1331" s="1">
        <v>45336</v>
      </c>
      <c r="B1331" t="s">
        <v>30</v>
      </c>
      <c r="C1331" t="s">
        <v>31</v>
      </c>
      <c r="D1331" t="s">
        <v>24</v>
      </c>
      <c r="E1331" t="s">
        <v>25</v>
      </c>
      <c r="F1331">
        <v>50</v>
      </c>
      <c r="G1331">
        <v>49.4</v>
      </c>
      <c r="H1331" t="s">
        <v>46</v>
      </c>
      <c r="I1331" t="s">
        <v>47</v>
      </c>
    </row>
    <row r="1332" spans="1:9" x14ac:dyDescent="0.35">
      <c r="A1332" s="1">
        <v>45336</v>
      </c>
      <c r="B1332" t="s">
        <v>30</v>
      </c>
      <c r="C1332" t="s">
        <v>31</v>
      </c>
      <c r="D1332" t="s">
        <v>26</v>
      </c>
      <c r="E1332" t="s">
        <v>27</v>
      </c>
      <c r="F1332">
        <v>38</v>
      </c>
      <c r="G1332">
        <v>46.1</v>
      </c>
      <c r="H1332" t="s">
        <v>48</v>
      </c>
      <c r="I1332" t="s">
        <v>50</v>
      </c>
    </row>
    <row r="1333" spans="1:9" x14ac:dyDescent="0.35">
      <c r="A1333" s="1">
        <v>45336</v>
      </c>
      <c r="B1333" t="s">
        <v>30</v>
      </c>
      <c r="C1333" t="s">
        <v>31</v>
      </c>
      <c r="D1333" t="s">
        <v>28</v>
      </c>
      <c r="E1333" t="s">
        <v>29</v>
      </c>
      <c r="F1333">
        <v>32</v>
      </c>
      <c r="G1333">
        <v>41.4</v>
      </c>
      <c r="H1333" t="s">
        <v>48</v>
      </c>
      <c r="I1333" t="s">
        <v>50</v>
      </c>
    </row>
    <row r="1334" spans="1:9" x14ac:dyDescent="0.35">
      <c r="A1334" s="1">
        <v>45336</v>
      </c>
      <c r="B1334" t="s">
        <v>33</v>
      </c>
      <c r="C1334" t="s">
        <v>34</v>
      </c>
      <c r="D1334" t="s">
        <v>15</v>
      </c>
      <c r="E1334" t="s">
        <v>16</v>
      </c>
      <c r="F1334">
        <v>34</v>
      </c>
      <c r="G1334">
        <v>35.200000000000003</v>
      </c>
      <c r="H1334" t="s">
        <v>46</v>
      </c>
      <c r="I1334" t="s">
        <v>47</v>
      </c>
    </row>
    <row r="1335" spans="1:9" x14ac:dyDescent="0.35">
      <c r="A1335" s="1">
        <v>45336</v>
      </c>
      <c r="B1335" t="s">
        <v>33</v>
      </c>
      <c r="C1335" t="s">
        <v>34</v>
      </c>
      <c r="D1335" t="s">
        <v>18</v>
      </c>
      <c r="E1335" t="s">
        <v>19</v>
      </c>
      <c r="F1335">
        <v>38</v>
      </c>
      <c r="G1335">
        <v>39.799999999999997</v>
      </c>
      <c r="H1335" t="s">
        <v>46</v>
      </c>
      <c r="I1335" t="s">
        <v>47</v>
      </c>
    </row>
    <row r="1336" spans="1:9" x14ac:dyDescent="0.35">
      <c r="A1336" s="1">
        <v>45336</v>
      </c>
      <c r="B1336" t="s">
        <v>33</v>
      </c>
      <c r="C1336" t="s">
        <v>34</v>
      </c>
      <c r="D1336" t="s">
        <v>21</v>
      </c>
      <c r="E1336" t="s">
        <v>22</v>
      </c>
      <c r="F1336">
        <v>32</v>
      </c>
      <c r="G1336">
        <v>33.6</v>
      </c>
      <c r="H1336" t="s">
        <v>46</v>
      </c>
      <c r="I1336" t="s">
        <v>47</v>
      </c>
    </row>
    <row r="1337" spans="1:9" x14ac:dyDescent="0.35">
      <c r="A1337" s="1">
        <v>45336</v>
      </c>
      <c r="B1337" t="s">
        <v>33</v>
      </c>
      <c r="C1337" t="s">
        <v>34</v>
      </c>
      <c r="D1337" t="s">
        <v>24</v>
      </c>
      <c r="E1337" t="s">
        <v>25</v>
      </c>
      <c r="F1337">
        <v>50</v>
      </c>
      <c r="G1337">
        <v>50.8</v>
      </c>
      <c r="H1337" t="s">
        <v>46</v>
      </c>
      <c r="I1337" t="s">
        <v>47</v>
      </c>
    </row>
    <row r="1338" spans="1:9" x14ac:dyDescent="0.35">
      <c r="A1338" s="1">
        <v>45336</v>
      </c>
      <c r="B1338" t="s">
        <v>33</v>
      </c>
      <c r="C1338" t="s">
        <v>34</v>
      </c>
      <c r="D1338" t="s">
        <v>26</v>
      </c>
      <c r="E1338" t="s">
        <v>27</v>
      </c>
      <c r="F1338">
        <v>38</v>
      </c>
      <c r="G1338">
        <v>37</v>
      </c>
      <c r="H1338" t="s">
        <v>46</v>
      </c>
      <c r="I1338" t="s">
        <v>47</v>
      </c>
    </row>
    <row r="1339" spans="1:9" x14ac:dyDescent="0.35">
      <c r="A1339" s="1">
        <v>45336</v>
      </c>
      <c r="B1339" t="s">
        <v>33</v>
      </c>
      <c r="C1339" t="s">
        <v>34</v>
      </c>
      <c r="D1339" t="s">
        <v>28</v>
      </c>
      <c r="E1339" t="s">
        <v>29</v>
      </c>
      <c r="F1339">
        <v>32</v>
      </c>
      <c r="G1339">
        <v>32.200000000000003</v>
      </c>
      <c r="H1339" t="s">
        <v>46</v>
      </c>
      <c r="I1339" t="s">
        <v>47</v>
      </c>
    </row>
    <row r="1340" spans="1:9" x14ac:dyDescent="0.35">
      <c r="A1340" s="1">
        <v>45336</v>
      </c>
      <c r="B1340" t="s">
        <v>36</v>
      </c>
      <c r="C1340" t="s">
        <v>37</v>
      </c>
      <c r="D1340" t="s">
        <v>15</v>
      </c>
      <c r="E1340" t="s">
        <v>16</v>
      </c>
      <c r="F1340">
        <v>34</v>
      </c>
      <c r="G1340">
        <v>33.4</v>
      </c>
      <c r="H1340" t="s">
        <v>46</v>
      </c>
      <c r="I1340" t="s">
        <v>47</v>
      </c>
    </row>
    <row r="1341" spans="1:9" x14ac:dyDescent="0.35">
      <c r="A1341" s="1">
        <v>45336</v>
      </c>
      <c r="B1341" t="s">
        <v>36</v>
      </c>
      <c r="C1341" t="s">
        <v>37</v>
      </c>
      <c r="D1341" t="s">
        <v>18</v>
      </c>
      <c r="E1341" t="s">
        <v>19</v>
      </c>
      <c r="F1341">
        <v>38</v>
      </c>
      <c r="G1341">
        <v>39.9</v>
      </c>
      <c r="H1341" t="s">
        <v>46</v>
      </c>
      <c r="I1341" t="s">
        <v>47</v>
      </c>
    </row>
    <row r="1342" spans="1:9" x14ac:dyDescent="0.35">
      <c r="A1342" s="1">
        <v>45336</v>
      </c>
      <c r="B1342" t="s">
        <v>36</v>
      </c>
      <c r="C1342" t="s">
        <v>37</v>
      </c>
      <c r="D1342" t="s">
        <v>21</v>
      </c>
      <c r="E1342" t="s">
        <v>22</v>
      </c>
      <c r="F1342">
        <v>32</v>
      </c>
      <c r="G1342">
        <v>33.6</v>
      </c>
      <c r="H1342" t="s">
        <v>46</v>
      </c>
      <c r="I1342" t="s">
        <v>47</v>
      </c>
    </row>
    <row r="1343" spans="1:9" x14ac:dyDescent="0.35">
      <c r="A1343" s="1">
        <v>45336</v>
      </c>
      <c r="B1343" t="s">
        <v>36</v>
      </c>
      <c r="C1343" t="s">
        <v>37</v>
      </c>
      <c r="D1343" t="s">
        <v>24</v>
      </c>
      <c r="E1343" t="s">
        <v>25</v>
      </c>
      <c r="F1343">
        <v>50</v>
      </c>
      <c r="G1343">
        <v>60.8</v>
      </c>
      <c r="H1343" t="s">
        <v>48</v>
      </c>
      <c r="I1343" t="s">
        <v>49</v>
      </c>
    </row>
    <row r="1344" spans="1:9" x14ac:dyDescent="0.35">
      <c r="A1344" s="1">
        <v>45336</v>
      </c>
      <c r="B1344" t="s">
        <v>36</v>
      </c>
      <c r="C1344" t="s">
        <v>37</v>
      </c>
      <c r="D1344" t="s">
        <v>26</v>
      </c>
      <c r="E1344" t="s">
        <v>27</v>
      </c>
      <c r="F1344">
        <v>38</v>
      </c>
      <c r="G1344">
        <v>40.799999999999997</v>
      </c>
      <c r="H1344" t="s">
        <v>46</v>
      </c>
      <c r="I1344" t="s">
        <v>47</v>
      </c>
    </row>
    <row r="1345" spans="1:9" x14ac:dyDescent="0.35">
      <c r="A1345" s="1">
        <v>45336</v>
      </c>
      <c r="B1345" t="s">
        <v>36</v>
      </c>
      <c r="C1345" t="s">
        <v>37</v>
      </c>
      <c r="D1345" t="s">
        <v>28</v>
      </c>
      <c r="E1345" t="s">
        <v>29</v>
      </c>
      <c r="F1345">
        <v>32</v>
      </c>
      <c r="G1345">
        <v>34.5</v>
      </c>
      <c r="H1345" t="s">
        <v>46</v>
      </c>
      <c r="I1345" t="s">
        <v>47</v>
      </c>
    </row>
    <row r="1346" spans="1:9" x14ac:dyDescent="0.35">
      <c r="A1346" s="1">
        <v>45336</v>
      </c>
      <c r="B1346" t="s">
        <v>39</v>
      </c>
      <c r="C1346" t="s">
        <v>40</v>
      </c>
      <c r="D1346" t="s">
        <v>15</v>
      </c>
      <c r="E1346" t="s">
        <v>16</v>
      </c>
      <c r="F1346">
        <v>34</v>
      </c>
      <c r="G1346">
        <v>41.4</v>
      </c>
      <c r="H1346" t="s">
        <v>48</v>
      </c>
      <c r="I1346" t="s">
        <v>50</v>
      </c>
    </row>
    <row r="1347" spans="1:9" x14ac:dyDescent="0.35">
      <c r="A1347" s="1">
        <v>45336</v>
      </c>
      <c r="B1347" t="s">
        <v>39</v>
      </c>
      <c r="C1347" t="s">
        <v>40</v>
      </c>
      <c r="D1347" t="s">
        <v>18</v>
      </c>
      <c r="E1347" t="s">
        <v>19</v>
      </c>
      <c r="F1347">
        <v>38</v>
      </c>
      <c r="G1347">
        <v>38.299999999999997</v>
      </c>
      <c r="H1347" t="s">
        <v>46</v>
      </c>
      <c r="I1347" t="s">
        <v>47</v>
      </c>
    </row>
    <row r="1348" spans="1:9" x14ac:dyDescent="0.35">
      <c r="A1348" s="1">
        <v>45336</v>
      </c>
      <c r="B1348" t="s">
        <v>39</v>
      </c>
      <c r="C1348" t="s">
        <v>40</v>
      </c>
      <c r="D1348" t="s">
        <v>21</v>
      </c>
      <c r="E1348" t="s">
        <v>22</v>
      </c>
      <c r="F1348">
        <v>32</v>
      </c>
      <c r="G1348">
        <v>31.3</v>
      </c>
      <c r="H1348" t="s">
        <v>46</v>
      </c>
      <c r="I1348" t="s">
        <v>47</v>
      </c>
    </row>
    <row r="1349" spans="1:9" x14ac:dyDescent="0.35">
      <c r="A1349" s="1">
        <v>45336</v>
      </c>
      <c r="B1349" t="s">
        <v>39</v>
      </c>
      <c r="C1349" t="s">
        <v>40</v>
      </c>
      <c r="D1349" t="s">
        <v>24</v>
      </c>
      <c r="E1349" t="s">
        <v>25</v>
      </c>
      <c r="F1349">
        <v>50</v>
      </c>
      <c r="G1349">
        <v>50.6</v>
      </c>
      <c r="H1349" t="s">
        <v>46</v>
      </c>
      <c r="I1349" t="s">
        <v>47</v>
      </c>
    </row>
    <row r="1350" spans="1:9" x14ac:dyDescent="0.35">
      <c r="A1350" s="1">
        <v>45336</v>
      </c>
      <c r="B1350" t="s">
        <v>39</v>
      </c>
      <c r="C1350" t="s">
        <v>40</v>
      </c>
      <c r="D1350" t="s">
        <v>26</v>
      </c>
      <c r="E1350" t="s">
        <v>27</v>
      </c>
      <c r="F1350">
        <v>38</v>
      </c>
      <c r="G1350">
        <v>40.299999999999997</v>
      </c>
      <c r="H1350" t="s">
        <v>46</v>
      </c>
      <c r="I1350" t="s">
        <v>47</v>
      </c>
    </row>
    <row r="1351" spans="1:9" x14ac:dyDescent="0.35">
      <c r="A1351" s="1">
        <v>45336</v>
      </c>
      <c r="B1351" t="s">
        <v>39</v>
      </c>
      <c r="C1351" t="s">
        <v>40</v>
      </c>
      <c r="D1351" t="s">
        <v>28</v>
      </c>
      <c r="E1351" t="s">
        <v>29</v>
      </c>
      <c r="F1351">
        <v>32</v>
      </c>
      <c r="G1351">
        <v>31.1</v>
      </c>
      <c r="H1351" t="s">
        <v>46</v>
      </c>
      <c r="I1351" t="s">
        <v>47</v>
      </c>
    </row>
    <row r="1352" spans="1:9" x14ac:dyDescent="0.35">
      <c r="A1352" s="1">
        <v>45337</v>
      </c>
      <c r="B1352" t="s">
        <v>12</v>
      </c>
      <c r="C1352" t="s">
        <v>13</v>
      </c>
      <c r="D1352" t="s">
        <v>15</v>
      </c>
      <c r="E1352" t="s">
        <v>16</v>
      </c>
      <c r="F1352">
        <v>34</v>
      </c>
      <c r="G1352">
        <v>44.5</v>
      </c>
      <c r="H1352" t="s">
        <v>48</v>
      </c>
      <c r="I1352" t="s">
        <v>49</v>
      </c>
    </row>
    <row r="1353" spans="1:9" x14ac:dyDescent="0.35">
      <c r="A1353" s="1">
        <v>45337</v>
      </c>
      <c r="B1353" t="s">
        <v>12</v>
      </c>
      <c r="C1353" t="s">
        <v>13</v>
      </c>
      <c r="D1353" t="s">
        <v>18</v>
      </c>
      <c r="E1353" t="s">
        <v>19</v>
      </c>
      <c r="F1353">
        <v>38</v>
      </c>
      <c r="G1353">
        <v>37.9</v>
      </c>
      <c r="H1353" t="s">
        <v>46</v>
      </c>
      <c r="I1353" t="s">
        <v>47</v>
      </c>
    </row>
    <row r="1354" spans="1:9" x14ac:dyDescent="0.35">
      <c r="A1354" s="1">
        <v>45337</v>
      </c>
      <c r="B1354" t="s">
        <v>12</v>
      </c>
      <c r="C1354" t="s">
        <v>13</v>
      </c>
      <c r="D1354" t="s">
        <v>21</v>
      </c>
      <c r="E1354" t="s">
        <v>22</v>
      </c>
      <c r="F1354">
        <v>32</v>
      </c>
      <c r="G1354">
        <v>41.7</v>
      </c>
      <c r="H1354" t="s">
        <v>48</v>
      </c>
      <c r="I1354" t="s">
        <v>50</v>
      </c>
    </row>
    <row r="1355" spans="1:9" x14ac:dyDescent="0.35">
      <c r="A1355" s="1">
        <v>45337</v>
      </c>
      <c r="B1355" t="s">
        <v>12</v>
      </c>
      <c r="C1355" t="s">
        <v>13</v>
      </c>
      <c r="D1355" t="s">
        <v>24</v>
      </c>
      <c r="E1355" t="s">
        <v>25</v>
      </c>
      <c r="F1355">
        <v>50</v>
      </c>
      <c r="G1355">
        <v>52.4</v>
      </c>
      <c r="H1355" t="s">
        <v>46</v>
      </c>
      <c r="I1355" t="s">
        <v>47</v>
      </c>
    </row>
    <row r="1356" spans="1:9" x14ac:dyDescent="0.35">
      <c r="A1356" s="1">
        <v>45337</v>
      </c>
      <c r="B1356" t="s">
        <v>12</v>
      </c>
      <c r="C1356" t="s">
        <v>13</v>
      </c>
      <c r="D1356" t="s">
        <v>26</v>
      </c>
      <c r="E1356" t="s">
        <v>27</v>
      </c>
      <c r="F1356">
        <v>38</v>
      </c>
      <c r="G1356">
        <v>48.9</v>
      </c>
      <c r="H1356" t="s">
        <v>48</v>
      </c>
      <c r="I1356" t="s">
        <v>49</v>
      </c>
    </row>
    <row r="1357" spans="1:9" x14ac:dyDescent="0.35">
      <c r="A1357" s="1">
        <v>45337</v>
      </c>
      <c r="B1357" t="s">
        <v>12</v>
      </c>
      <c r="C1357" t="s">
        <v>13</v>
      </c>
      <c r="D1357" t="s">
        <v>28</v>
      </c>
      <c r="E1357" t="s">
        <v>29</v>
      </c>
      <c r="F1357">
        <v>32</v>
      </c>
      <c r="G1357">
        <v>31.6</v>
      </c>
      <c r="H1357" t="s">
        <v>46</v>
      </c>
      <c r="I1357" t="s">
        <v>47</v>
      </c>
    </row>
    <row r="1358" spans="1:9" x14ac:dyDescent="0.35">
      <c r="A1358" s="1">
        <v>45337</v>
      </c>
      <c r="B1358" t="s">
        <v>30</v>
      </c>
      <c r="C1358" t="s">
        <v>31</v>
      </c>
      <c r="D1358" t="s">
        <v>15</v>
      </c>
      <c r="E1358" t="s">
        <v>16</v>
      </c>
      <c r="F1358">
        <v>34</v>
      </c>
      <c r="G1358">
        <v>33.700000000000003</v>
      </c>
      <c r="H1358" t="s">
        <v>46</v>
      </c>
      <c r="I1358" t="s">
        <v>47</v>
      </c>
    </row>
    <row r="1359" spans="1:9" x14ac:dyDescent="0.35">
      <c r="A1359" s="1">
        <v>45337</v>
      </c>
      <c r="B1359" t="s">
        <v>30</v>
      </c>
      <c r="C1359" t="s">
        <v>31</v>
      </c>
      <c r="D1359" t="s">
        <v>18</v>
      </c>
      <c r="E1359" t="s">
        <v>19</v>
      </c>
      <c r="F1359">
        <v>38</v>
      </c>
      <c r="G1359">
        <v>37.1</v>
      </c>
      <c r="H1359" t="s">
        <v>46</v>
      </c>
      <c r="I1359" t="s">
        <v>47</v>
      </c>
    </row>
    <row r="1360" spans="1:9" x14ac:dyDescent="0.35">
      <c r="A1360" s="1">
        <v>45337</v>
      </c>
      <c r="B1360" t="s">
        <v>30</v>
      </c>
      <c r="C1360" t="s">
        <v>31</v>
      </c>
      <c r="D1360" t="s">
        <v>21</v>
      </c>
      <c r="E1360" t="s">
        <v>22</v>
      </c>
      <c r="F1360">
        <v>32</v>
      </c>
      <c r="G1360">
        <v>34.1</v>
      </c>
      <c r="H1360" t="s">
        <v>46</v>
      </c>
      <c r="I1360" t="s">
        <v>47</v>
      </c>
    </row>
    <row r="1361" spans="1:9" x14ac:dyDescent="0.35">
      <c r="A1361" s="1">
        <v>45337</v>
      </c>
      <c r="B1361" t="s">
        <v>30</v>
      </c>
      <c r="C1361" t="s">
        <v>31</v>
      </c>
      <c r="D1361" t="s">
        <v>24</v>
      </c>
      <c r="E1361" t="s">
        <v>25</v>
      </c>
      <c r="F1361">
        <v>50</v>
      </c>
      <c r="G1361">
        <v>52.3</v>
      </c>
      <c r="H1361" t="s">
        <v>46</v>
      </c>
      <c r="I1361" t="s">
        <v>47</v>
      </c>
    </row>
    <row r="1362" spans="1:9" x14ac:dyDescent="0.35">
      <c r="A1362" s="1">
        <v>45337</v>
      </c>
      <c r="B1362" t="s">
        <v>30</v>
      </c>
      <c r="C1362" t="s">
        <v>31</v>
      </c>
      <c r="D1362" t="s">
        <v>26</v>
      </c>
      <c r="E1362" t="s">
        <v>27</v>
      </c>
      <c r="F1362">
        <v>38</v>
      </c>
      <c r="G1362">
        <v>37.9</v>
      </c>
      <c r="H1362" t="s">
        <v>46</v>
      </c>
      <c r="I1362" t="s">
        <v>47</v>
      </c>
    </row>
    <row r="1363" spans="1:9" x14ac:dyDescent="0.35">
      <c r="A1363" s="1">
        <v>45337</v>
      </c>
      <c r="B1363" t="s">
        <v>30</v>
      </c>
      <c r="C1363" t="s">
        <v>31</v>
      </c>
      <c r="D1363" t="s">
        <v>28</v>
      </c>
      <c r="E1363" t="s">
        <v>29</v>
      </c>
      <c r="F1363">
        <v>32</v>
      </c>
      <c r="G1363">
        <v>34.799999999999997</v>
      </c>
      <c r="H1363" t="s">
        <v>46</v>
      </c>
      <c r="I1363" t="s">
        <v>47</v>
      </c>
    </row>
    <row r="1364" spans="1:9" x14ac:dyDescent="0.35">
      <c r="A1364" s="1">
        <v>45337</v>
      </c>
      <c r="B1364" t="s">
        <v>33</v>
      </c>
      <c r="C1364" t="s">
        <v>34</v>
      </c>
      <c r="D1364" t="s">
        <v>15</v>
      </c>
      <c r="E1364" t="s">
        <v>16</v>
      </c>
      <c r="F1364">
        <v>34</v>
      </c>
      <c r="G1364">
        <v>34.1</v>
      </c>
      <c r="H1364" t="s">
        <v>46</v>
      </c>
      <c r="I1364" t="s">
        <v>47</v>
      </c>
    </row>
    <row r="1365" spans="1:9" x14ac:dyDescent="0.35">
      <c r="A1365" s="1">
        <v>45337</v>
      </c>
      <c r="B1365" t="s">
        <v>33</v>
      </c>
      <c r="C1365" t="s">
        <v>34</v>
      </c>
      <c r="D1365" t="s">
        <v>18</v>
      </c>
      <c r="E1365" t="s">
        <v>19</v>
      </c>
      <c r="F1365">
        <v>38</v>
      </c>
      <c r="G1365">
        <v>38.5</v>
      </c>
      <c r="H1365" t="s">
        <v>46</v>
      </c>
      <c r="I1365" t="s">
        <v>47</v>
      </c>
    </row>
    <row r="1366" spans="1:9" x14ac:dyDescent="0.35">
      <c r="A1366" s="1">
        <v>45337</v>
      </c>
      <c r="B1366" t="s">
        <v>33</v>
      </c>
      <c r="C1366" t="s">
        <v>34</v>
      </c>
      <c r="D1366" t="s">
        <v>21</v>
      </c>
      <c r="E1366" t="s">
        <v>22</v>
      </c>
      <c r="F1366">
        <v>32</v>
      </c>
      <c r="G1366">
        <v>31.8</v>
      </c>
      <c r="H1366" t="s">
        <v>46</v>
      </c>
      <c r="I1366" t="s">
        <v>47</v>
      </c>
    </row>
    <row r="1367" spans="1:9" x14ac:dyDescent="0.35">
      <c r="A1367" s="1">
        <v>45337</v>
      </c>
      <c r="B1367" t="s">
        <v>33</v>
      </c>
      <c r="C1367" t="s">
        <v>34</v>
      </c>
      <c r="D1367" t="s">
        <v>24</v>
      </c>
      <c r="E1367" t="s">
        <v>25</v>
      </c>
      <c r="F1367">
        <v>50</v>
      </c>
      <c r="G1367">
        <v>52.3</v>
      </c>
      <c r="H1367" t="s">
        <v>46</v>
      </c>
      <c r="I1367" t="s">
        <v>47</v>
      </c>
    </row>
    <row r="1368" spans="1:9" x14ac:dyDescent="0.35">
      <c r="A1368" s="1">
        <v>45337</v>
      </c>
      <c r="B1368" t="s">
        <v>33</v>
      </c>
      <c r="C1368" t="s">
        <v>34</v>
      </c>
      <c r="D1368" t="s">
        <v>26</v>
      </c>
      <c r="E1368" t="s">
        <v>27</v>
      </c>
      <c r="F1368">
        <v>38</v>
      </c>
      <c r="G1368">
        <v>37.799999999999997</v>
      </c>
      <c r="H1368" t="s">
        <v>46</v>
      </c>
      <c r="I1368" t="s">
        <v>47</v>
      </c>
    </row>
    <row r="1369" spans="1:9" x14ac:dyDescent="0.35">
      <c r="A1369" s="1">
        <v>45337</v>
      </c>
      <c r="B1369" t="s">
        <v>33</v>
      </c>
      <c r="C1369" t="s">
        <v>34</v>
      </c>
      <c r="D1369" t="s">
        <v>28</v>
      </c>
      <c r="E1369" t="s">
        <v>29</v>
      </c>
      <c r="F1369">
        <v>32</v>
      </c>
      <c r="G1369">
        <v>34.200000000000003</v>
      </c>
      <c r="H1369" t="s">
        <v>46</v>
      </c>
      <c r="I1369" t="s">
        <v>47</v>
      </c>
    </row>
    <row r="1370" spans="1:9" x14ac:dyDescent="0.35">
      <c r="A1370" s="1">
        <v>45337</v>
      </c>
      <c r="B1370" t="s">
        <v>36</v>
      </c>
      <c r="C1370" t="s">
        <v>37</v>
      </c>
      <c r="D1370" t="s">
        <v>15</v>
      </c>
      <c r="E1370" t="s">
        <v>16</v>
      </c>
      <c r="F1370">
        <v>34</v>
      </c>
      <c r="G1370">
        <v>47.8</v>
      </c>
      <c r="H1370" t="s">
        <v>48</v>
      </c>
      <c r="I1370" t="s">
        <v>49</v>
      </c>
    </row>
    <row r="1371" spans="1:9" x14ac:dyDescent="0.35">
      <c r="A1371" s="1">
        <v>45337</v>
      </c>
      <c r="B1371" t="s">
        <v>36</v>
      </c>
      <c r="C1371" t="s">
        <v>37</v>
      </c>
      <c r="D1371" t="s">
        <v>18</v>
      </c>
      <c r="E1371" t="s">
        <v>19</v>
      </c>
      <c r="F1371">
        <v>38</v>
      </c>
      <c r="G1371">
        <v>38.799999999999997</v>
      </c>
      <c r="H1371" t="s">
        <v>46</v>
      </c>
      <c r="I1371" t="s">
        <v>47</v>
      </c>
    </row>
    <row r="1372" spans="1:9" x14ac:dyDescent="0.35">
      <c r="A1372" s="1">
        <v>45337</v>
      </c>
      <c r="B1372" t="s">
        <v>36</v>
      </c>
      <c r="C1372" t="s">
        <v>37</v>
      </c>
      <c r="D1372" t="s">
        <v>21</v>
      </c>
      <c r="E1372" t="s">
        <v>22</v>
      </c>
      <c r="F1372">
        <v>32</v>
      </c>
      <c r="G1372">
        <v>33.299999999999997</v>
      </c>
      <c r="H1372" t="s">
        <v>46</v>
      </c>
      <c r="I1372" t="s">
        <v>47</v>
      </c>
    </row>
    <row r="1373" spans="1:9" x14ac:dyDescent="0.35">
      <c r="A1373" s="1">
        <v>45337</v>
      </c>
      <c r="B1373" t="s">
        <v>36</v>
      </c>
      <c r="C1373" t="s">
        <v>37</v>
      </c>
      <c r="D1373" t="s">
        <v>24</v>
      </c>
      <c r="E1373" t="s">
        <v>25</v>
      </c>
      <c r="F1373">
        <v>50</v>
      </c>
      <c r="G1373">
        <v>49.3</v>
      </c>
      <c r="H1373" t="s">
        <v>46</v>
      </c>
      <c r="I1373" t="s">
        <v>47</v>
      </c>
    </row>
    <row r="1374" spans="1:9" x14ac:dyDescent="0.35">
      <c r="A1374" s="1">
        <v>45337</v>
      </c>
      <c r="B1374" t="s">
        <v>36</v>
      </c>
      <c r="C1374" t="s">
        <v>37</v>
      </c>
      <c r="D1374" t="s">
        <v>26</v>
      </c>
      <c r="E1374" t="s">
        <v>27</v>
      </c>
      <c r="F1374">
        <v>38</v>
      </c>
      <c r="G1374">
        <v>40.5</v>
      </c>
      <c r="H1374" t="s">
        <v>46</v>
      </c>
      <c r="I1374" t="s">
        <v>47</v>
      </c>
    </row>
    <row r="1375" spans="1:9" x14ac:dyDescent="0.35">
      <c r="A1375" s="1">
        <v>45337</v>
      </c>
      <c r="B1375" t="s">
        <v>36</v>
      </c>
      <c r="C1375" t="s">
        <v>37</v>
      </c>
      <c r="D1375" t="s">
        <v>28</v>
      </c>
      <c r="E1375" t="s">
        <v>29</v>
      </c>
      <c r="F1375">
        <v>32</v>
      </c>
      <c r="G1375">
        <v>32.6</v>
      </c>
      <c r="H1375" t="s">
        <v>46</v>
      </c>
      <c r="I1375" t="s">
        <v>47</v>
      </c>
    </row>
    <row r="1376" spans="1:9" x14ac:dyDescent="0.35">
      <c r="A1376" s="1">
        <v>45337</v>
      </c>
      <c r="B1376" t="s">
        <v>39</v>
      </c>
      <c r="C1376" t="s">
        <v>40</v>
      </c>
      <c r="D1376" t="s">
        <v>15</v>
      </c>
      <c r="E1376" t="s">
        <v>16</v>
      </c>
      <c r="F1376">
        <v>34</v>
      </c>
      <c r="G1376">
        <v>34.5</v>
      </c>
      <c r="H1376" t="s">
        <v>46</v>
      </c>
      <c r="I1376" t="s">
        <v>47</v>
      </c>
    </row>
    <row r="1377" spans="1:9" x14ac:dyDescent="0.35">
      <c r="A1377" s="1">
        <v>45337</v>
      </c>
      <c r="B1377" t="s">
        <v>39</v>
      </c>
      <c r="C1377" t="s">
        <v>40</v>
      </c>
      <c r="D1377" t="s">
        <v>18</v>
      </c>
      <c r="E1377" t="s">
        <v>19</v>
      </c>
      <c r="F1377">
        <v>38</v>
      </c>
      <c r="G1377">
        <v>39.4</v>
      </c>
      <c r="H1377" t="s">
        <v>46</v>
      </c>
      <c r="I1377" t="s">
        <v>47</v>
      </c>
    </row>
    <row r="1378" spans="1:9" x14ac:dyDescent="0.35">
      <c r="A1378" s="1">
        <v>45337</v>
      </c>
      <c r="B1378" t="s">
        <v>39</v>
      </c>
      <c r="C1378" t="s">
        <v>40</v>
      </c>
      <c r="D1378" t="s">
        <v>21</v>
      </c>
      <c r="E1378" t="s">
        <v>22</v>
      </c>
      <c r="F1378">
        <v>32</v>
      </c>
      <c r="G1378">
        <v>42.5</v>
      </c>
      <c r="H1378" t="s">
        <v>48</v>
      </c>
      <c r="I1378" t="s">
        <v>49</v>
      </c>
    </row>
    <row r="1379" spans="1:9" x14ac:dyDescent="0.35">
      <c r="A1379" s="1">
        <v>45337</v>
      </c>
      <c r="B1379" t="s">
        <v>39</v>
      </c>
      <c r="C1379" t="s">
        <v>40</v>
      </c>
      <c r="D1379" t="s">
        <v>24</v>
      </c>
      <c r="E1379" t="s">
        <v>25</v>
      </c>
      <c r="F1379">
        <v>50</v>
      </c>
      <c r="G1379">
        <v>63.4</v>
      </c>
      <c r="H1379" t="s">
        <v>48</v>
      </c>
      <c r="I1379" t="s">
        <v>49</v>
      </c>
    </row>
    <row r="1380" spans="1:9" x14ac:dyDescent="0.35">
      <c r="A1380" s="1">
        <v>45337</v>
      </c>
      <c r="B1380" t="s">
        <v>39</v>
      </c>
      <c r="C1380" t="s">
        <v>40</v>
      </c>
      <c r="D1380" t="s">
        <v>26</v>
      </c>
      <c r="E1380" t="s">
        <v>27</v>
      </c>
      <c r="F1380">
        <v>38</v>
      </c>
      <c r="G1380">
        <v>38.4</v>
      </c>
      <c r="H1380" t="s">
        <v>46</v>
      </c>
      <c r="I1380" t="s">
        <v>47</v>
      </c>
    </row>
    <row r="1381" spans="1:9" x14ac:dyDescent="0.35">
      <c r="A1381" s="1">
        <v>45337</v>
      </c>
      <c r="B1381" t="s">
        <v>39</v>
      </c>
      <c r="C1381" t="s">
        <v>40</v>
      </c>
      <c r="D1381" t="s">
        <v>28</v>
      </c>
      <c r="E1381" t="s">
        <v>29</v>
      </c>
      <c r="F1381">
        <v>32</v>
      </c>
      <c r="G1381">
        <v>33.700000000000003</v>
      </c>
      <c r="H1381" t="s">
        <v>46</v>
      </c>
      <c r="I1381" t="s">
        <v>47</v>
      </c>
    </row>
    <row r="1382" spans="1:9" x14ac:dyDescent="0.35">
      <c r="A1382" s="1">
        <v>45338</v>
      </c>
      <c r="B1382" t="s">
        <v>12</v>
      </c>
      <c r="C1382" t="s">
        <v>13</v>
      </c>
      <c r="D1382" t="s">
        <v>15</v>
      </c>
      <c r="E1382" t="s">
        <v>16</v>
      </c>
      <c r="F1382">
        <v>34</v>
      </c>
      <c r="G1382">
        <v>35.799999999999997</v>
      </c>
      <c r="H1382" t="s">
        <v>46</v>
      </c>
      <c r="I1382" t="s">
        <v>47</v>
      </c>
    </row>
    <row r="1383" spans="1:9" x14ac:dyDescent="0.35">
      <c r="A1383" s="1">
        <v>45338</v>
      </c>
      <c r="B1383" t="s">
        <v>12</v>
      </c>
      <c r="C1383" t="s">
        <v>13</v>
      </c>
      <c r="D1383" t="s">
        <v>18</v>
      </c>
      <c r="E1383" t="s">
        <v>19</v>
      </c>
      <c r="F1383">
        <v>38</v>
      </c>
      <c r="G1383">
        <v>37</v>
      </c>
      <c r="H1383" t="s">
        <v>46</v>
      </c>
      <c r="I1383" t="s">
        <v>47</v>
      </c>
    </row>
    <row r="1384" spans="1:9" x14ac:dyDescent="0.35">
      <c r="A1384" s="1">
        <v>45338</v>
      </c>
      <c r="B1384" t="s">
        <v>12</v>
      </c>
      <c r="C1384" t="s">
        <v>13</v>
      </c>
      <c r="D1384" t="s">
        <v>21</v>
      </c>
      <c r="E1384" t="s">
        <v>22</v>
      </c>
      <c r="F1384">
        <v>32</v>
      </c>
      <c r="G1384">
        <v>32.5</v>
      </c>
      <c r="H1384" t="s">
        <v>46</v>
      </c>
      <c r="I1384" t="s">
        <v>47</v>
      </c>
    </row>
    <row r="1385" spans="1:9" x14ac:dyDescent="0.35">
      <c r="A1385" s="1">
        <v>45338</v>
      </c>
      <c r="B1385" t="s">
        <v>12</v>
      </c>
      <c r="C1385" t="s">
        <v>13</v>
      </c>
      <c r="D1385" t="s">
        <v>24</v>
      </c>
      <c r="E1385" t="s">
        <v>25</v>
      </c>
      <c r="F1385">
        <v>50</v>
      </c>
      <c r="G1385">
        <v>51.7</v>
      </c>
      <c r="H1385" t="s">
        <v>46</v>
      </c>
      <c r="I1385" t="s">
        <v>47</v>
      </c>
    </row>
    <row r="1386" spans="1:9" x14ac:dyDescent="0.35">
      <c r="A1386" s="1">
        <v>45338</v>
      </c>
      <c r="B1386" t="s">
        <v>12</v>
      </c>
      <c r="C1386" t="s">
        <v>13</v>
      </c>
      <c r="D1386" t="s">
        <v>26</v>
      </c>
      <c r="E1386" t="s">
        <v>27</v>
      </c>
      <c r="F1386">
        <v>38</v>
      </c>
      <c r="G1386">
        <v>51.1</v>
      </c>
      <c r="H1386" t="s">
        <v>48</v>
      </c>
      <c r="I1386" t="s">
        <v>49</v>
      </c>
    </row>
    <row r="1387" spans="1:9" x14ac:dyDescent="0.35">
      <c r="A1387" s="1">
        <v>45338</v>
      </c>
      <c r="B1387" t="s">
        <v>12</v>
      </c>
      <c r="C1387" t="s">
        <v>13</v>
      </c>
      <c r="D1387" t="s">
        <v>28</v>
      </c>
      <c r="E1387" t="s">
        <v>29</v>
      </c>
      <c r="F1387">
        <v>32</v>
      </c>
      <c r="G1387">
        <v>39.4</v>
      </c>
      <c r="H1387" t="s">
        <v>48</v>
      </c>
      <c r="I1387" t="s">
        <v>50</v>
      </c>
    </row>
    <row r="1388" spans="1:9" x14ac:dyDescent="0.35">
      <c r="A1388" s="1">
        <v>45338</v>
      </c>
      <c r="B1388" t="s">
        <v>30</v>
      </c>
      <c r="C1388" t="s">
        <v>31</v>
      </c>
      <c r="D1388" t="s">
        <v>15</v>
      </c>
      <c r="E1388" t="s">
        <v>16</v>
      </c>
      <c r="F1388">
        <v>34</v>
      </c>
      <c r="G1388">
        <v>43.9</v>
      </c>
      <c r="H1388" t="s">
        <v>48</v>
      </c>
      <c r="I1388" t="s">
        <v>50</v>
      </c>
    </row>
    <row r="1389" spans="1:9" x14ac:dyDescent="0.35">
      <c r="A1389" s="1">
        <v>45338</v>
      </c>
      <c r="B1389" t="s">
        <v>30</v>
      </c>
      <c r="C1389" t="s">
        <v>31</v>
      </c>
      <c r="D1389" t="s">
        <v>18</v>
      </c>
      <c r="E1389" t="s">
        <v>19</v>
      </c>
      <c r="F1389">
        <v>38</v>
      </c>
      <c r="G1389">
        <v>38.9</v>
      </c>
      <c r="H1389" t="s">
        <v>46</v>
      </c>
      <c r="I1389" t="s">
        <v>47</v>
      </c>
    </row>
    <row r="1390" spans="1:9" x14ac:dyDescent="0.35">
      <c r="A1390" s="1">
        <v>45338</v>
      </c>
      <c r="B1390" t="s">
        <v>30</v>
      </c>
      <c r="C1390" t="s">
        <v>31</v>
      </c>
      <c r="D1390" t="s">
        <v>21</v>
      </c>
      <c r="E1390" t="s">
        <v>22</v>
      </c>
      <c r="F1390">
        <v>32</v>
      </c>
      <c r="G1390">
        <v>43.7</v>
      </c>
      <c r="H1390" t="s">
        <v>48</v>
      </c>
      <c r="I1390" t="s">
        <v>49</v>
      </c>
    </row>
    <row r="1391" spans="1:9" x14ac:dyDescent="0.35">
      <c r="A1391" s="1">
        <v>45338</v>
      </c>
      <c r="B1391" t="s">
        <v>30</v>
      </c>
      <c r="C1391" t="s">
        <v>31</v>
      </c>
      <c r="D1391" t="s">
        <v>24</v>
      </c>
      <c r="E1391" t="s">
        <v>25</v>
      </c>
      <c r="F1391">
        <v>50</v>
      </c>
      <c r="G1391">
        <v>50</v>
      </c>
      <c r="H1391" t="s">
        <v>46</v>
      </c>
      <c r="I1391" t="s">
        <v>47</v>
      </c>
    </row>
    <row r="1392" spans="1:9" x14ac:dyDescent="0.35">
      <c r="A1392" s="1">
        <v>45338</v>
      </c>
      <c r="B1392" t="s">
        <v>30</v>
      </c>
      <c r="C1392" t="s">
        <v>31</v>
      </c>
      <c r="D1392" t="s">
        <v>26</v>
      </c>
      <c r="E1392" t="s">
        <v>27</v>
      </c>
      <c r="F1392">
        <v>38</v>
      </c>
      <c r="G1392">
        <v>40.9</v>
      </c>
      <c r="H1392" t="s">
        <v>46</v>
      </c>
      <c r="I1392" t="s">
        <v>47</v>
      </c>
    </row>
    <row r="1393" spans="1:9" x14ac:dyDescent="0.35">
      <c r="A1393" s="1">
        <v>45338</v>
      </c>
      <c r="B1393" t="s">
        <v>30</v>
      </c>
      <c r="C1393" t="s">
        <v>31</v>
      </c>
      <c r="D1393" t="s">
        <v>28</v>
      </c>
      <c r="E1393" t="s">
        <v>29</v>
      </c>
      <c r="F1393">
        <v>32</v>
      </c>
      <c r="G1393">
        <v>34.9</v>
      </c>
      <c r="H1393" t="s">
        <v>46</v>
      </c>
      <c r="I1393" t="s">
        <v>47</v>
      </c>
    </row>
    <row r="1394" spans="1:9" x14ac:dyDescent="0.35">
      <c r="A1394" s="1">
        <v>45338</v>
      </c>
      <c r="B1394" t="s">
        <v>33</v>
      </c>
      <c r="C1394" t="s">
        <v>34</v>
      </c>
      <c r="D1394" t="s">
        <v>15</v>
      </c>
      <c r="E1394" t="s">
        <v>16</v>
      </c>
      <c r="F1394">
        <v>34</v>
      </c>
      <c r="G1394">
        <v>34.4</v>
      </c>
      <c r="H1394" t="s">
        <v>46</v>
      </c>
      <c r="I1394" t="s">
        <v>47</v>
      </c>
    </row>
    <row r="1395" spans="1:9" x14ac:dyDescent="0.35">
      <c r="A1395" s="1">
        <v>45338</v>
      </c>
      <c r="B1395" t="s">
        <v>33</v>
      </c>
      <c r="C1395" t="s">
        <v>34</v>
      </c>
      <c r="D1395" t="s">
        <v>18</v>
      </c>
      <c r="E1395" t="s">
        <v>19</v>
      </c>
      <c r="F1395">
        <v>38</v>
      </c>
      <c r="G1395">
        <v>40.6</v>
      </c>
      <c r="H1395" t="s">
        <v>46</v>
      </c>
      <c r="I1395" t="s">
        <v>47</v>
      </c>
    </row>
    <row r="1396" spans="1:9" x14ac:dyDescent="0.35">
      <c r="A1396" s="1">
        <v>45338</v>
      </c>
      <c r="B1396" t="s">
        <v>33</v>
      </c>
      <c r="C1396" t="s">
        <v>34</v>
      </c>
      <c r="D1396" t="s">
        <v>21</v>
      </c>
      <c r="E1396" t="s">
        <v>22</v>
      </c>
      <c r="F1396">
        <v>32</v>
      </c>
      <c r="G1396">
        <v>34.299999999999997</v>
      </c>
      <c r="H1396" t="s">
        <v>46</v>
      </c>
      <c r="I1396" t="s">
        <v>47</v>
      </c>
    </row>
    <row r="1397" spans="1:9" x14ac:dyDescent="0.35">
      <c r="A1397" s="1">
        <v>45338</v>
      </c>
      <c r="B1397" t="s">
        <v>33</v>
      </c>
      <c r="C1397" t="s">
        <v>34</v>
      </c>
      <c r="D1397" t="s">
        <v>24</v>
      </c>
      <c r="E1397" t="s">
        <v>25</v>
      </c>
      <c r="F1397">
        <v>50</v>
      </c>
      <c r="G1397">
        <v>51.1</v>
      </c>
      <c r="H1397" t="s">
        <v>46</v>
      </c>
      <c r="I1397" t="s">
        <v>47</v>
      </c>
    </row>
    <row r="1398" spans="1:9" x14ac:dyDescent="0.35">
      <c r="A1398" s="1">
        <v>45338</v>
      </c>
      <c r="B1398" t="s">
        <v>33</v>
      </c>
      <c r="C1398" t="s">
        <v>34</v>
      </c>
      <c r="D1398" t="s">
        <v>26</v>
      </c>
      <c r="E1398" t="s">
        <v>27</v>
      </c>
      <c r="F1398">
        <v>38</v>
      </c>
      <c r="G1398">
        <v>37.700000000000003</v>
      </c>
      <c r="H1398" t="s">
        <v>46</v>
      </c>
      <c r="I1398" t="s">
        <v>47</v>
      </c>
    </row>
    <row r="1399" spans="1:9" x14ac:dyDescent="0.35">
      <c r="A1399" s="1">
        <v>45338</v>
      </c>
      <c r="B1399" t="s">
        <v>33</v>
      </c>
      <c r="C1399" t="s">
        <v>34</v>
      </c>
      <c r="D1399" t="s">
        <v>28</v>
      </c>
      <c r="E1399" t="s">
        <v>29</v>
      </c>
      <c r="F1399">
        <v>32</v>
      </c>
      <c r="G1399">
        <v>33</v>
      </c>
      <c r="H1399" t="s">
        <v>46</v>
      </c>
      <c r="I1399" t="s">
        <v>47</v>
      </c>
    </row>
    <row r="1400" spans="1:9" x14ac:dyDescent="0.35">
      <c r="A1400" s="1">
        <v>45338</v>
      </c>
      <c r="B1400" t="s">
        <v>36</v>
      </c>
      <c r="C1400" t="s">
        <v>37</v>
      </c>
      <c r="D1400" t="s">
        <v>15</v>
      </c>
      <c r="E1400" t="s">
        <v>16</v>
      </c>
      <c r="F1400">
        <v>34</v>
      </c>
      <c r="G1400">
        <v>35.200000000000003</v>
      </c>
      <c r="H1400" t="s">
        <v>46</v>
      </c>
      <c r="I1400" t="s">
        <v>47</v>
      </c>
    </row>
    <row r="1401" spans="1:9" x14ac:dyDescent="0.35">
      <c r="A1401" s="1">
        <v>45338</v>
      </c>
      <c r="B1401" t="s">
        <v>36</v>
      </c>
      <c r="C1401" t="s">
        <v>37</v>
      </c>
      <c r="D1401" t="s">
        <v>18</v>
      </c>
      <c r="E1401" t="s">
        <v>19</v>
      </c>
      <c r="F1401">
        <v>38</v>
      </c>
      <c r="G1401">
        <v>39.5</v>
      </c>
      <c r="H1401" t="s">
        <v>46</v>
      </c>
      <c r="I1401" t="s">
        <v>47</v>
      </c>
    </row>
    <row r="1402" spans="1:9" x14ac:dyDescent="0.35">
      <c r="A1402" s="1">
        <v>45338</v>
      </c>
      <c r="B1402" t="s">
        <v>36</v>
      </c>
      <c r="C1402" t="s">
        <v>37</v>
      </c>
      <c r="D1402" t="s">
        <v>21</v>
      </c>
      <c r="E1402" t="s">
        <v>22</v>
      </c>
      <c r="F1402">
        <v>32</v>
      </c>
      <c r="G1402">
        <v>31.8</v>
      </c>
      <c r="H1402" t="s">
        <v>46</v>
      </c>
      <c r="I1402" t="s">
        <v>47</v>
      </c>
    </row>
    <row r="1403" spans="1:9" x14ac:dyDescent="0.35">
      <c r="A1403" s="1">
        <v>45338</v>
      </c>
      <c r="B1403" t="s">
        <v>36</v>
      </c>
      <c r="C1403" t="s">
        <v>37</v>
      </c>
      <c r="D1403" t="s">
        <v>24</v>
      </c>
      <c r="E1403" t="s">
        <v>25</v>
      </c>
      <c r="F1403">
        <v>50</v>
      </c>
      <c r="G1403">
        <v>57.5</v>
      </c>
      <c r="H1403" t="s">
        <v>48</v>
      </c>
      <c r="I1403" t="s">
        <v>50</v>
      </c>
    </row>
    <row r="1404" spans="1:9" x14ac:dyDescent="0.35">
      <c r="A1404" s="1">
        <v>45338</v>
      </c>
      <c r="B1404" t="s">
        <v>36</v>
      </c>
      <c r="C1404" t="s">
        <v>37</v>
      </c>
      <c r="D1404" t="s">
        <v>26</v>
      </c>
      <c r="E1404" t="s">
        <v>27</v>
      </c>
      <c r="F1404">
        <v>38</v>
      </c>
      <c r="G1404">
        <v>37.700000000000003</v>
      </c>
      <c r="H1404" t="s">
        <v>46</v>
      </c>
      <c r="I1404" t="s">
        <v>47</v>
      </c>
    </row>
    <row r="1405" spans="1:9" x14ac:dyDescent="0.35">
      <c r="A1405" s="1">
        <v>45338</v>
      </c>
      <c r="B1405" t="s">
        <v>36</v>
      </c>
      <c r="C1405" t="s">
        <v>37</v>
      </c>
      <c r="D1405" t="s">
        <v>28</v>
      </c>
      <c r="E1405" t="s">
        <v>29</v>
      </c>
      <c r="F1405">
        <v>32</v>
      </c>
      <c r="G1405">
        <v>31.5</v>
      </c>
      <c r="H1405" t="s">
        <v>46</v>
      </c>
      <c r="I1405" t="s">
        <v>47</v>
      </c>
    </row>
    <row r="1406" spans="1:9" x14ac:dyDescent="0.35">
      <c r="A1406" s="1">
        <v>45338</v>
      </c>
      <c r="B1406" t="s">
        <v>39</v>
      </c>
      <c r="C1406" t="s">
        <v>40</v>
      </c>
      <c r="D1406" t="s">
        <v>15</v>
      </c>
      <c r="E1406" t="s">
        <v>16</v>
      </c>
      <c r="F1406">
        <v>34</v>
      </c>
      <c r="G1406">
        <v>35</v>
      </c>
      <c r="H1406" t="s">
        <v>46</v>
      </c>
      <c r="I1406" t="s">
        <v>47</v>
      </c>
    </row>
    <row r="1407" spans="1:9" x14ac:dyDescent="0.35">
      <c r="A1407" s="1">
        <v>45338</v>
      </c>
      <c r="B1407" t="s">
        <v>39</v>
      </c>
      <c r="C1407" t="s">
        <v>40</v>
      </c>
      <c r="D1407" t="s">
        <v>18</v>
      </c>
      <c r="E1407" t="s">
        <v>19</v>
      </c>
      <c r="F1407">
        <v>38</v>
      </c>
      <c r="G1407">
        <v>41</v>
      </c>
      <c r="H1407" t="s">
        <v>46</v>
      </c>
      <c r="I1407" t="s">
        <v>47</v>
      </c>
    </row>
    <row r="1408" spans="1:9" x14ac:dyDescent="0.35">
      <c r="A1408" s="1">
        <v>45338</v>
      </c>
      <c r="B1408" t="s">
        <v>39</v>
      </c>
      <c r="C1408" t="s">
        <v>40</v>
      </c>
      <c r="D1408" t="s">
        <v>21</v>
      </c>
      <c r="E1408" t="s">
        <v>22</v>
      </c>
      <c r="F1408">
        <v>32</v>
      </c>
      <c r="G1408">
        <v>32.799999999999997</v>
      </c>
      <c r="H1408" t="s">
        <v>46</v>
      </c>
      <c r="I1408" t="s">
        <v>47</v>
      </c>
    </row>
    <row r="1409" spans="1:9" x14ac:dyDescent="0.35">
      <c r="A1409" s="1">
        <v>45338</v>
      </c>
      <c r="B1409" t="s">
        <v>39</v>
      </c>
      <c r="C1409" t="s">
        <v>40</v>
      </c>
      <c r="D1409" t="s">
        <v>24</v>
      </c>
      <c r="E1409" t="s">
        <v>25</v>
      </c>
      <c r="F1409">
        <v>50</v>
      </c>
      <c r="G1409">
        <v>61.8</v>
      </c>
      <c r="H1409" t="s">
        <v>48</v>
      </c>
      <c r="I1409" t="s">
        <v>49</v>
      </c>
    </row>
    <row r="1410" spans="1:9" x14ac:dyDescent="0.35">
      <c r="A1410" s="1">
        <v>45338</v>
      </c>
      <c r="B1410" t="s">
        <v>39</v>
      </c>
      <c r="C1410" t="s">
        <v>40</v>
      </c>
      <c r="D1410" t="s">
        <v>26</v>
      </c>
      <c r="E1410" t="s">
        <v>27</v>
      </c>
      <c r="F1410">
        <v>38</v>
      </c>
      <c r="G1410">
        <v>46.8</v>
      </c>
      <c r="H1410" t="s">
        <v>48</v>
      </c>
      <c r="I1410" t="s">
        <v>50</v>
      </c>
    </row>
    <row r="1411" spans="1:9" x14ac:dyDescent="0.35">
      <c r="A1411" s="1">
        <v>45338</v>
      </c>
      <c r="B1411" t="s">
        <v>39</v>
      </c>
      <c r="C1411" t="s">
        <v>40</v>
      </c>
      <c r="D1411" t="s">
        <v>28</v>
      </c>
      <c r="E1411" t="s">
        <v>29</v>
      </c>
      <c r="F1411">
        <v>32</v>
      </c>
      <c r="G1411">
        <v>32.1</v>
      </c>
      <c r="H1411" t="s">
        <v>46</v>
      </c>
      <c r="I1411" t="s">
        <v>47</v>
      </c>
    </row>
    <row r="1412" spans="1:9" x14ac:dyDescent="0.35">
      <c r="A1412" s="1">
        <v>45339</v>
      </c>
      <c r="B1412" t="s">
        <v>12</v>
      </c>
      <c r="C1412" t="s">
        <v>13</v>
      </c>
      <c r="D1412" t="s">
        <v>15</v>
      </c>
      <c r="E1412" t="s">
        <v>16</v>
      </c>
      <c r="F1412">
        <v>34</v>
      </c>
      <c r="G1412">
        <v>36</v>
      </c>
      <c r="H1412" t="s">
        <v>46</v>
      </c>
      <c r="I1412" t="s">
        <v>47</v>
      </c>
    </row>
    <row r="1413" spans="1:9" x14ac:dyDescent="0.35">
      <c r="A1413" s="1">
        <v>45339</v>
      </c>
      <c r="B1413" t="s">
        <v>12</v>
      </c>
      <c r="C1413" t="s">
        <v>13</v>
      </c>
      <c r="D1413" t="s">
        <v>18</v>
      </c>
      <c r="E1413" t="s">
        <v>19</v>
      </c>
      <c r="F1413">
        <v>38</v>
      </c>
      <c r="G1413">
        <v>39.299999999999997</v>
      </c>
      <c r="H1413" t="s">
        <v>46</v>
      </c>
      <c r="I1413" t="s">
        <v>47</v>
      </c>
    </row>
    <row r="1414" spans="1:9" x14ac:dyDescent="0.35">
      <c r="A1414" s="1">
        <v>45339</v>
      </c>
      <c r="B1414" t="s">
        <v>12</v>
      </c>
      <c r="C1414" t="s">
        <v>13</v>
      </c>
      <c r="D1414" t="s">
        <v>21</v>
      </c>
      <c r="E1414" t="s">
        <v>22</v>
      </c>
      <c r="F1414">
        <v>32</v>
      </c>
      <c r="G1414">
        <v>31.8</v>
      </c>
      <c r="H1414" t="s">
        <v>46</v>
      </c>
      <c r="I1414" t="s">
        <v>47</v>
      </c>
    </row>
    <row r="1415" spans="1:9" x14ac:dyDescent="0.35">
      <c r="A1415" s="1">
        <v>45339</v>
      </c>
      <c r="B1415" t="s">
        <v>12</v>
      </c>
      <c r="C1415" t="s">
        <v>13</v>
      </c>
      <c r="D1415" t="s">
        <v>24</v>
      </c>
      <c r="E1415" t="s">
        <v>25</v>
      </c>
      <c r="F1415">
        <v>50</v>
      </c>
      <c r="G1415">
        <v>49</v>
      </c>
      <c r="H1415" t="s">
        <v>46</v>
      </c>
      <c r="I1415" t="s">
        <v>47</v>
      </c>
    </row>
    <row r="1416" spans="1:9" x14ac:dyDescent="0.35">
      <c r="A1416" s="1">
        <v>45339</v>
      </c>
      <c r="B1416" t="s">
        <v>12</v>
      </c>
      <c r="C1416" t="s">
        <v>13</v>
      </c>
      <c r="D1416" t="s">
        <v>26</v>
      </c>
      <c r="E1416" t="s">
        <v>27</v>
      </c>
      <c r="F1416">
        <v>38</v>
      </c>
      <c r="G1416">
        <v>37.700000000000003</v>
      </c>
      <c r="H1416" t="s">
        <v>46</v>
      </c>
      <c r="I1416" t="s">
        <v>47</v>
      </c>
    </row>
    <row r="1417" spans="1:9" x14ac:dyDescent="0.35">
      <c r="A1417" s="1">
        <v>45339</v>
      </c>
      <c r="B1417" t="s">
        <v>12</v>
      </c>
      <c r="C1417" t="s">
        <v>13</v>
      </c>
      <c r="D1417" t="s">
        <v>28</v>
      </c>
      <c r="E1417" t="s">
        <v>29</v>
      </c>
      <c r="F1417">
        <v>32</v>
      </c>
      <c r="G1417">
        <v>32</v>
      </c>
      <c r="H1417" t="s">
        <v>46</v>
      </c>
      <c r="I1417" t="s">
        <v>47</v>
      </c>
    </row>
    <row r="1418" spans="1:9" x14ac:dyDescent="0.35">
      <c r="A1418" s="1">
        <v>45339</v>
      </c>
      <c r="B1418" t="s">
        <v>30</v>
      </c>
      <c r="C1418" t="s">
        <v>31</v>
      </c>
      <c r="D1418" t="s">
        <v>15</v>
      </c>
      <c r="E1418" t="s">
        <v>16</v>
      </c>
      <c r="F1418">
        <v>34</v>
      </c>
      <c r="G1418">
        <v>33.4</v>
      </c>
      <c r="H1418" t="s">
        <v>46</v>
      </c>
      <c r="I1418" t="s">
        <v>47</v>
      </c>
    </row>
    <row r="1419" spans="1:9" x14ac:dyDescent="0.35">
      <c r="A1419" s="1">
        <v>45339</v>
      </c>
      <c r="B1419" t="s">
        <v>30</v>
      </c>
      <c r="C1419" t="s">
        <v>31</v>
      </c>
      <c r="D1419" t="s">
        <v>18</v>
      </c>
      <c r="E1419" t="s">
        <v>19</v>
      </c>
      <c r="F1419">
        <v>38</v>
      </c>
      <c r="G1419">
        <v>38.1</v>
      </c>
      <c r="H1419" t="s">
        <v>46</v>
      </c>
      <c r="I1419" t="s">
        <v>47</v>
      </c>
    </row>
    <row r="1420" spans="1:9" x14ac:dyDescent="0.35">
      <c r="A1420" s="1">
        <v>45339</v>
      </c>
      <c r="B1420" t="s">
        <v>30</v>
      </c>
      <c r="C1420" t="s">
        <v>31</v>
      </c>
      <c r="D1420" t="s">
        <v>21</v>
      </c>
      <c r="E1420" t="s">
        <v>22</v>
      </c>
      <c r="F1420">
        <v>32</v>
      </c>
      <c r="G1420">
        <v>31.5</v>
      </c>
      <c r="H1420" t="s">
        <v>46</v>
      </c>
      <c r="I1420" t="s">
        <v>47</v>
      </c>
    </row>
    <row r="1421" spans="1:9" x14ac:dyDescent="0.35">
      <c r="A1421" s="1">
        <v>45339</v>
      </c>
      <c r="B1421" t="s">
        <v>30</v>
      </c>
      <c r="C1421" t="s">
        <v>31</v>
      </c>
      <c r="D1421" t="s">
        <v>24</v>
      </c>
      <c r="E1421" t="s">
        <v>25</v>
      </c>
      <c r="F1421">
        <v>50</v>
      </c>
      <c r="G1421">
        <v>52.7</v>
      </c>
      <c r="H1421" t="s">
        <v>46</v>
      </c>
      <c r="I1421" t="s">
        <v>47</v>
      </c>
    </row>
    <row r="1422" spans="1:9" x14ac:dyDescent="0.35">
      <c r="A1422" s="1">
        <v>45339</v>
      </c>
      <c r="B1422" t="s">
        <v>30</v>
      </c>
      <c r="C1422" t="s">
        <v>31</v>
      </c>
      <c r="D1422" t="s">
        <v>26</v>
      </c>
      <c r="E1422" t="s">
        <v>27</v>
      </c>
      <c r="F1422">
        <v>38</v>
      </c>
      <c r="G1422">
        <v>46.6</v>
      </c>
      <c r="H1422" t="s">
        <v>48</v>
      </c>
      <c r="I1422" t="s">
        <v>50</v>
      </c>
    </row>
    <row r="1423" spans="1:9" x14ac:dyDescent="0.35">
      <c r="A1423" s="1">
        <v>45339</v>
      </c>
      <c r="B1423" t="s">
        <v>30</v>
      </c>
      <c r="C1423" t="s">
        <v>31</v>
      </c>
      <c r="D1423" t="s">
        <v>28</v>
      </c>
      <c r="E1423" t="s">
        <v>29</v>
      </c>
      <c r="F1423">
        <v>32</v>
      </c>
      <c r="G1423">
        <v>41.7</v>
      </c>
      <c r="H1423" t="s">
        <v>48</v>
      </c>
      <c r="I1423" t="s">
        <v>50</v>
      </c>
    </row>
    <row r="1424" spans="1:9" x14ac:dyDescent="0.35">
      <c r="A1424" s="1">
        <v>45339</v>
      </c>
      <c r="B1424" t="s">
        <v>33</v>
      </c>
      <c r="C1424" t="s">
        <v>34</v>
      </c>
      <c r="D1424" t="s">
        <v>15</v>
      </c>
      <c r="E1424" t="s">
        <v>16</v>
      </c>
      <c r="F1424">
        <v>34</v>
      </c>
      <c r="G1424">
        <v>34.9</v>
      </c>
      <c r="H1424" t="s">
        <v>46</v>
      </c>
      <c r="I1424" t="s">
        <v>47</v>
      </c>
    </row>
    <row r="1425" spans="1:9" x14ac:dyDescent="0.35">
      <c r="A1425" s="1">
        <v>45339</v>
      </c>
      <c r="B1425" t="s">
        <v>33</v>
      </c>
      <c r="C1425" t="s">
        <v>34</v>
      </c>
      <c r="D1425" t="s">
        <v>18</v>
      </c>
      <c r="E1425" t="s">
        <v>19</v>
      </c>
      <c r="F1425">
        <v>38</v>
      </c>
      <c r="G1425">
        <v>38.1</v>
      </c>
      <c r="H1425" t="s">
        <v>46</v>
      </c>
      <c r="I1425" t="s">
        <v>47</v>
      </c>
    </row>
    <row r="1426" spans="1:9" x14ac:dyDescent="0.35">
      <c r="A1426" s="1">
        <v>45339</v>
      </c>
      <c r="B1426" t="s">
        <v>33</v>
      </c>
      <c r="C1426" t="s">
        <v>34</v>
      </c>
      <c r="D1426" t="s">
        <v>21</v>
      </c>
      <c r="E1426" t="s">
        <v>22</v>
      </c>
      <c r="F1426">
        <v>32</v>
      </c>
      <c r="G1426">
        <v>32.299999999999997</v>
      </c>
      <c r="H1426" t="s">
        <v>46</v>
      </c>
      <c r="I1426" t="s">
        <v>47</v>
      </c>
    </row>
    <row r="1427" spans="1:9" x14ac:dyDescent="0.35">
      <c r="A1427" s="1">
        <v>45339</v>
      </c>
      <c r="B1427" t="s">
        <v>33</v>
      </c>
      <c r="C1427" t="s">
        <v>34</v>
      </c>
      <c r="D1427" t="s">
        <v>24</v>
      </c>
      <c r="E1427" t="s">
        <v>25</v>
      </c>
      <c r="F1427">
        <v>50</v>
      </c>
      <c r="G1427">
        <v>61</v>
      </c>
      <c r="H1427" t="s">
        <v>48</v>
      </c>
      <c r="I1427" t="s">
        <v>49</v>
      </c>
    </row>
    <row r="1428" spans="1:9" x14ac:dyDescent="0.35">
      <c r="A1428" s="1">
        <v>45339</v>
      </c>
      <c r="B1428" t="s">
        <v>33</v>
      </c>
      <c r="C1428" t="s">
        <v>34</v>
      </c>
      <c r="D1428" t="s">
        <v>26</v>
      </c>
      <c r="E1428" t="s">
        <v>27</v>
      </c>
      <c r="F1428">
        <v>38</v>
      </c>
      <c r="G1428">
        <v>40.799999999999997</v>
      </c>
      <c r="H1428" t="s">
        <v>46</v>
      </c>
      <c r="I1428" t="s">
        <v>47</v>
      </c>
    </row>
    <row r="1429" spans="1:9" x14ac:dyDescent="0.35">
      <c r="A1429" s="1">
        <v>45339</v>
      </c>
      <c r="B1429" t="s">
        <v>33</v>
      </c>
      <c r="C1429" t="s">
        <v>34</v>
      </c>
      <c r="D1429" t="s">
        <v>28</v>
      </c>
      <c r="E1429" t="s">
        <v>29</v>
      </c>
      <c r="F1429">
        <v>32</v>
      </c>
      <c r="G1429">
        <v>34.6</v>
      </c>
      <c r="H1429" t="s">
        <v>46</v>
      </c>
      <c r="I1429" t="s">
        <v>47</v>
      </c>
    </row>
    <row r="1430" spans="1:9" x14ac:dyDescent="0.35">
      <c r="A1430" s="1">
        <v>45339</v>
      </c>
      <c r="B1430" t="s">
        <v>36</v>
      </c>
      <c r="C1430" t="s">
        <v>37</v>
      </c>
      <c r="D1430" t="s">
        <v>15</v>
      </c>
      <c r="E1430" t="s">
        <v>16</v>
      </c>
      <c r="F1430">
        <v>34</v>
      </c>
      <c r="G1430">
        <v>33.5</v>
      </c>
      <c r="H1430" t="s">
        <v>46</v>
      </c>
      <c r="I1430" t="s">
        <v>47</v>
      </c>
    </row>
    <row r="1431" spans="1:9" x14ac:dyDescent="0.35">
      <c r="A1431" s="1">
        <v>45339</v>
      </c>
      <c r="B1431" t="s">
        <v>36</v>
      </c>
      <c r="C1431" t="s">
        <v>37</v>
      </c>
      <c r="D1431" t="s">
        <v>18</v>
      </c>
      <c r="E1431" t="s">
        <v>19</v>
      </c>
      <c r="F1431">
        <v>38</v>
      </c>
      <c r="G1431">
        <v>40.200000000000003</v>
      </c>
      <c r="H1431" t="s">
        <v>46</v>
      </c>
      <c r="I1431" t="s">
        <v>47</v>
      </c>
    </row>
    <row r="1432" spans="1:9" x14ac:dyDescent="0.35">
      <c r="A1432" s="1">
        <v>45339</v>
      </c>
      <c r="B1432" t="s">
        <v>36</v>
      </c>
      <c r="C1432" t="s">
        <v>37</v>
      </c>
      <c r="D1432" t="s">
        <v>21</v>
      </c>
      <c r="E1432" t="s">
        <v>22</v>
      </c>
      <c r="F1432">
        <v>32</v>
      </c>
      <c r="G1432">
        <v>34.200000000000003</v>
      </c>
      <c r="H1432" t="s">
        <v>46</v>
      </c>
      <c r="I1432" t="s">
        <v>47</v>
      </c>
    </row>
    <row r="1433" spans="1:9" x14ac:dyDescent="0.35">
      <c r="A1433" s="1">
        <v>45339</v>
      </c>
      <c r="B1433" t="s">
        <v>36</v>
      </c>
      <c r="C1433" t="s">
        <v>37</v>
      </c>
      <c r="D1433" t="s">
        <v>24</v>
      </c>
      <c r="E1433" t="s">
        <v>25</v>
      </c>
      <c r="F1433">
        <v>50</v>
      </c>
      <c r="G1433">
        <v>51.2</v>
      </c>
      <c r="H1433" t="s">
        <v>46</v>
      </c>
      <c r="I1433" t="s">
        <v>47</v>
      </c>
    </row>
    <row r="1434" spans="1:9" x14ac:dyDescent="0.35">
      <c r="A1434" s="1">
        <v>45339</v>
      </c>
      <c r="B1434" t="s">
        <v>36</v>
      </c>
      <c r="C1434" t="s">
        <v>37</v>
      </c>
      <c r="D1434" t="s">
        <v>26</v>
      </c>
      <c r="E1434" t="s">
        <v>27</v>
      </c>
      <c r="F1434">
        <v>38</v>
      </c>
      <c r="G1434">
        <v>37.4</v>
      </c>
      <c r="H1434" t="s">
        <v>46</v>
      </c>
      <c r="I1434" t="s">
        <v>47</v>
      </c>
    </row>
    <row r="1435" spans="1:9" x14ac:dyDescent="0.35">
      <c r="A1435" s="1">
        <v>45339</v>
      </c>
      <c r="B1435" t="s">
        <v>36</v>
      </c>
      <c r="C1435" t="s">
        <v>37</v>
      </c>
      <c r="D1435" t="s">
        <v>28</v>
      </c>
      <c r="E1435" t="s">
        <v>29</v>
      </c>
      <c r="F1435">
        <v>32</v>
      </c>
      <c r="G1435">
        <v>32</v>
      </c>
      <c r="H1435" t="s">
        <v>46</v>
      </c>
      <c r="I1435" t="s">
        <v>47</v>
      </c>
    </row>
    <row r="1436" spans="1:9" x14ac:dyDescent="0.35">
      <c r="A1436" s="1">
        <v>45339</v>
      </c>
      <c r="B1436" t="s">
        <v>39</v>
      </c>
      <c r="C1436" t="s">
        <v>40</v>
      </c>
      <c r="D1436" t="s">
        <v>15</v>
      </c>
      <c r="E1436" t="s">
        <v>16</v>
      </c>
      <c r="F1436">
        <v>34</v>
      </c>
      <c r="G1436">
        <v>34.6</v>
      </c>
      <c r="H1436" t="s">
        <v>46</v>
      </c>
      <c r="I1436" t="s">
        <v>47</v>
      </c>
    </row>
    <row r="1437" spans="1:9" x14ac:dyDescent="0.35">
      <c r="A1437" s="1">
        <v>45339</v>
      </c>
      <c r="B1437" t="s">
        <v>39</v>
      </c>
      <c r="C1437" t="s">
        <v>40</v>
      </c>
      <c r="D1437" t="s">
        <v>18</v>
      </c>
      <c r="E1437" t="s">
        <v>19</v>
      </c>
      <c r="F1437">
        <v>38</v>
      </c>
      <c r="G1437">
        <v>45.7</v>
      </c>
      <c r="H1437" t="s">
        <v>48</v>
      </c>
      <c r="I1437" t="s">
        <v>50</v>
      </c>
    </row>
    <row r="1438" spans="1:9" x14ac:dyDescent="0.35">
      <c r="A1438" s="1">
        <v>45339</v>
      </c>
      <c r="B1438" t="s">
        <v>39</v>
      </c>
      <c r="C1438" t="s">
        <v>40</v>
      </c>
      <c r="D1438" t="s">
        <v>21</v>
      </c>
      <c r="E1438" t="s">
        <v>22</v>
      </c>
      <c r="F1438">
        <v>32</v>
      </c>
      <c r="G1438">
        <v>32.6</v>
      </c>
      <c r="H1438" t="s">
        <v>46</v>
      </c>
      <c r="I1438" t="s">
        <v>47</v>
      </c>
    </row>
    <row r="1439" spans="1:9" x14ac:dyDescent="0.35">
      <c r="A1439" s="1">
        <v>45339</v>
      </c>
      <c r="B1439" t="s">
        <v>39</v>
      </c>
      <c r="C1439" t="s">
        <v>40</v>
      </c>
      <c r="D1439" t="s">
        <v>24</v>
      </c>
      <c r="E1439" t="s">
        <v>25</v>
      </c>
      <c r="F1439">
        <v>50</v>
      </c>
      <c r="G1439">
        <v>52.8</v>
      </c>
      <c r="H1439" t="s">
        <v>46</v>
      </c>
      <c r="I1439" t="s">
        <v>47</v>
      </c>
    </row>
    <row r="1440" spans="1:9" x14ac:dyDescent="0.35">
      <c r="A1440" s="1">
        <v>45339</v>
      </c>
      <c r="B1440" t="s">
        <v>39</v>
      </c>
      <c r="C1440" t="s">
        <v>40</v>
      </c>
      <c r="D1440" t="s">
        <v>26</v>
      </c>
      <c r="E1440" t="s">
        <v>27</v>
      </c>
      <c r="F1440">
        <v>38</v>
      </c>
      <c r="G1440">
        <v>46.4</v>
      </c>
      <c r="H1440" t="s">
        <v>48</v>
      </c>
      <c r="I1440" t="s">
        <v>50</v>
      </c>
    </row>
    <row r="1441" spans="1:9" x14ac:dyDescent="0.35">
      <c r="A1441" s="1">
        <v>45339</v>
      </c>
      <c r="B1441" t="s">
        <v>39</v>
      </c>
      <c r="C1441" t="s">
        <v>40</v>
      </c>
      <c r="D1441" t="s">
        <v>28</v>
      </c>
      <c r="E1441" t="s">
        <v>29</v>
      </c>
      <c r="F1441">
        <v>32</v>
      </c>
      <c r="G1441">
        <v>33.9</v>
      </c>
      <c r="H1441" t="s">
        <v>46</v>
      </c>
      <c r="I1441" t="s">
        <v>47</v>
      </c>
    </row>
    <row r="1442" spans="1:9" x14ac:dyDescent="0.35">
      <c r="A1442" s="1">
        <v>45340</v>
      </c>
      <c r="B1442" t="s">
        <v>12</v>
      </c>
      <c r="C1442" t="s">
        <v>13</v>
      </c>
      <c r="D1442" t="s">
        <v>15</v>
      </c>
      <c r="E1442" t="s">
        <v>16</v>
      </c>
      <c r="F1442">
        <v>34</v>
      </c>
      <c r="G1442">
        <v>36.6</v>
      </c>
      <c r="H1442" t="s">
        <v>46</v>
      </c>
      <c r="I1442" t="s">
        <v>47</v>
      </c>
    </row>
    <row r="1443" spans="1:9" x14ac:dyDescent="0.35">
      <c r="A1443" s="1">
        <v>45340</v>
      </c>
      <c r="B1443" t="s">
        <v>12</v>
      </c>
      <c r="C1443" t="s">
        <v>13</v>
      </c>
      <c r="D1443" t="s">
        <v>18</v>
      </c>
      <c r="E1443" t="s">
        <v>19</v>
      </c>
      <c r="F1443">
        <v>38</v>
      </c>
      <c r="G1443">
        <v>38.4</v>
      </c>
      <c r="H1443" t="s">
        <v>46</v>
      </c>
      <c r="I1443" t="s">
        <v>47</v>
      </c>
    </row>
    <row r="1444" spans="1:9" x14ac:dyDescent="0.35">
      <c r="A1444" s="1">
        <v>45340</v>
      </c>
      <c r="B1444" t="s">
        <v>12</v>
      </c>
      <c r="C1444" t="s">
        <v>13</v>
      </c>
      <c r="D1444" t="s">
        <v>21</v>
      </c>
      <c r="E1444" t="s">
        <v>22</v>
      </c>
      <c r="F1444">
        <v>32</v>
      </c>
      <c r="G1444">
        <v>40.9</v>
      </c>
      <c r="H1444" t="s">
        <v>48</v>
      </c>
      <c r="I1444" t="s">
        <v>50</v>
      </c>
    </row>
    <row r="1445" spans="1:9" x14ac:dyDescent="0.35">
      <c r="A1445" s="1">
        <v>45340</v>
      </c>
      <c r="B1445" t="s">
        <v>12</v>
      </c>
      <c r="C1445" t="s">
        <v>13</v>
      </c>
      <c r="D1445" t="s">
        <v>24</v>
      </c>
      <c r="E1445" t="s">
        <v>25</v>
      </c>
      <c r="F1445">
        <v>50</v>
      </c>
      <c r="G1445">
        <v>50.8</v>
      </c>
      <c r="H1445" t="s">
        <v>46</v>
      </c>
      <c r="I1445" t="s">
        <v>47</v>
      </c>
    </row>
    <row r="1446" spans="1:9" x14ac:dyDescent="0.35">
      <c r="A1446" s="1">
        <v>45340</v>
      </c>
      <c r="B1446" t="s">
        <v>12</v>
      </c>
      <c r="C1446" t="s">
        <v>13</v>
      </c>
      <c r="D1446" t="s">
        <v>26</v>
      </c>
      <c r="E1446" t="s">
        <v>27</v>
      </c>
      <c r="F1446">
        <v>38</v>
      </c>
      <c r="G1446">
        <v>38.1</v>
      </c>
      <c r="H1446" t="s">
        <v>46</v>
      </c>
      <c r="I1446" t="s">
        <v>47</v>
      </c>
    </row>
    <row r="1447" spans="1:9" x14ac:dyDescent="0.35">
      <c r="A1447" s="1">
        <v>45340</v>
      </c>
      <c r="B1447" t="s">
        <v>12</v>
      </c>
      <c r="C1447" t="s">
        <v>13</v>
      </c>
      <c r="D1447" t="s">
        <v>28</v>
      </c>
      <c r="E1447" t="s">
        <v>29</v>
      </c>
      <c r="F1447">
        <v>32</v>
      </c>
      <c r="G1447">
        <v>31.4</v>
      </c>
      <c r="H1447" t="s">
        <v>46</v>
      </c>
      <c r="I1447" t="s">
        <v>47</v>
      </c>
    </row>
    <row r="1448" spans="1:9" x14ac:dyDescent="0.35">
      <c r="A1448" s="1">
        <v>45340</v>
      </c>
      <c r="B1448" t="s">
        <v>30</v>
      </c>
      <c r="C1448" t="s">
        <v>31</v>
      </c>
      <c r="D1448" t="s">
        <v>15</v>
      </c>
      <c r="E1448" t="s">
        <v>16</v>
      </c>
      <c r="F1448">
        <v>34</v>
      </c>
      <c r="G1448">
        <v>34.5</v>
      </c>
      <c r="H1448" t="s">
        <v>46</v>
      </c>
      <c r="I1448" t="s">
        <v>47</v>
      </c>
    </row>
    <row r="1449" spans="1:9" x14ac:dyDescent="0.35">
      <c r="A1449" s="1">
        <v>45340</v>
      </c>
      <c r="B1449" t="s">
        <v>30</v>
      </c>
      <c r="C1449" t="s">
        <v>31</v>
      </c>
      <c r="D1449" t="s">
        <v>18</v>
      </c>
      <c r="E1449" t="s">
        <v>19</v>
      </c>
      <c r="F1449">
        <v>38</v>
      </c>
      <c r="G1449">
        <v>39.5</v>
      </c>
      <c r="H1449" t="s">
        <v>46</v>
      </c>
      <c r="I1449" t="s">
        <v>47</v>
      </c>
    </row>
    <row r="1450" spans="1:9" x14ac:dyDescent="0.35">
      <c r="A1450" s="1">
        <v>45340</v>
      </c>
      <c r="B1450" t="s">
        <v>30</v>
      </c>
      <c r="C1450" t="s">
        <v>31</v>
      </c>
      <c r="D1450" t="s">
        <v>21</v>
      </c>
      <c r="E1450" t="s">
        <v>22</v>
      </c>
      <c r="F1450">
        <v>32</v>
      </c>
      <c r="G1450">
        <v>42.1</v>
      </c>
      <c r="H1450" t="s">
        <v>48</v>
      </c>
      <c r="I1450" t="s">
        <v>49</v>
      </c>
    </row>
    <row r="1451" spans="1:9" x14ac:dyDescent="0.35">
      <c r="A1451" s="1">
        <v>45340</v>
      </c>
      <c r="B1451" t="s">
        <v>30</v>
      </c>
      <c r="C1451" t="s">
        <v>31</v>
      </c>
      <c r="D1451" t="s">
        <v>24</v>
      </c>
      <c r="E1451" t="s">
        <v>25</v>
      </c>
      <c r="F1451">
        <v>50</v>
      </c>
      <c r="G1451">
        <v>51.7</v>
      </c>
      <c r="H1451" t="s">
        <v>46</v>
      </c>
      <c r="I1451" t="s">
        <v>47</v>
      </c>
    </row>
    <row r="1452" spans="1:9" x14ac:dyDescent="0.35">
      <c r="A1452" s="1">
        <v>45340</v>
      </c>
      <c r="B1452" t="s">
        <v>30</v>
      </c>
      <c r="C1452" t="s">
        <v>31</v>
      </c>
      <c r="D1452" t="s">
        <v>26</v>
      </c>
      <c r="E1452" t="s">
        <v>27</v>
      </c>
      <c r="F1452">
        <v>38</v>
      </c>
      <c r="G1452">
        <v>39.9</v>
      </c>
      <c r="H1452" t="s">
        <v>46</v>
      </c>
      <c r="I1452" t="s">
        <v>47</v>
      </c>
    </row>
    <row r="1453" spans="1:9" x14ac:dyDescent="0.35">
      <c r="A1453" s="1">
        <v>45340</v>
      </c>
      <c r="B1453" t="s">
        <v>30</v>
      </c>
      <c r="C1453" t="s">
        <v>31</v>
      </c>
      <c r="D1453" t="s">
        <v>28</v>
      </c>
      <c r="E1453" t="s">
        <v>29</v>
      </c>
      <c r="F1453">
        <v>32</v>
      </c>
      <c r="G1453">
        <v>33.1</v>
      </c>
      <c r="H1453" t="s">
        <v>46</v>
      </c>
      <c r="I1453" t="s">
        <v>47</v>
      </c>
    </row>
    <row r="1454" spans="1:9" x14ac:dyDescent="0.35">
      <c r="A1454" s="1">
        <v>45340</v>
      </c>
      <c r="B1454" t="s">
        <v>33</v>
      </c>
      <c r="C1454" t="s">
        <v>34</v>
      </c>
      <c r="D1454" t="s">
        <v>15</v>
      </c>
      <c r="E1454" t="s">
        <v>16</v>
      </c>
      <c r="F1454">
        <v>34</v>
      </c>
      <c r="G1454">
        <v>33.299999999999997</v>
      </c>
      <c r="H1454" t="s">
        <v>46</v>
      </c>
      <c r="I1454" t="s">
        <v>47</v>
      </c>
    </row>
    <row r="1455" spans="1:9" x14ac:dyDescent="0.35">
      <c r="A1455" s="1">
        <v>45340</v>
      </c>
      <c r="B1455" t="s">
        <v>33</v>
      </c>
      <c r="C1455" t="s">
        <v>34</v>
      </c>
      <c r="D1455" t="s">
        <v>18</v>
      </c>
      <c r="E1455" t="s">
        <v>19</v>
      </c>
      <c r="F1455">
        <v>38</v>
      </c>
      <c r="G1455">
        <v>37.299999999999997</v>
      </c>
      <c r="H1455" t="s">
        <v>46</v>
      </c>
      <c r="I1455" t="s">
        <v>47</v>
      </c>
    </row>
    <row r="1456" spans="1:9" x14ac:dyDescent="0.35">
      <c r="A1456" s="1">
        <v>45340</v>
      </c>
      <c r="B1456" t="s">
        <v>33</v>
      </c>
      <c r="C1456" t="s">
        <v>34</v>
      </c>
      <c r="D1456" t="s">
        <v>21</v>
      </c>
      <c r="E1456" t="s">
        <v>22</v>
      </c>
      <c r="F1456">
        <v>32</v>
      </c>
      <c r="G1456">
        <v>32.200000000000003</v>
      </c>
      <c r="H1456" t="s">
        <v>46</v>
      </c>
      <c r="I1456" t="s">
        <v>47</v>
      </c>
    </row>
    <row r="1457" spans="1:9" x14ac:dyDescent="0.35">
      <c r="A1457" s="1">
        <v>45340</v>
      </c>
      <c r="B1457" t="s">
        <v>33</v>
      </c>
      <c r="C1457" t="s">
        <v>34</v>
      </c>
      <c r="D1457" t="s">
        <v>24</v>
      </c>
      <c r="E1457" t="s">
        <v>25</v>
      </c>
      <c r="F1457">
        <v>50</v>
      </c>
      <c r="G1457">
        <v>51.7</v>
      </c>
      <c r="H1457" t="s">
        <v>46</v>
      </c>
      <c r="I1457" t="s">
        <v>47</v>
      </c>
    </row>
    <row r="1458" spans="1:9" x14ac:dyDescent="0.35">
      <c r="A1458" s="1">
        <v>45340</v>
      </c>
      <c r="B1458" t="s">
        <v>33</v>
      </c>
      <c r="C1458" t="s">
        <v>34</v>
      </c>
      <c r="D1458" t="s">
        <v>26</v>
      </c>
      <c r="E1458" t="s">
        <v>27</v>
      </c>
      <c r="F1458">
        <v>38</v>
      </c>
      <c r="G1458">
        <v>38</v>
      </c>
      <c r="H1458" t="s">
        <v>46</v>
      </c>
      <c r="I1458" t="s">
        <v>47</v>
      </c>
    </row>
    <row r="1459" spans="1:9" x14ac:dyDescent="0.35">
      <c r="A1459" s="1">
        <v>45340</v>
      </c>
      <c r="B1459" t="s">
        <v>33</v>
      </c>
      <c r="C1459" t="s">
        <v>34</v>
      </c>
      <c r="D1459" t="s">
        <v>28</v>
      </c>
      <c r="E1459" t="s">
        <v>29</v>
      </c>
      <c r="F1459">
        <v>32</v>
      </c>
      <c r="G1459">
        <v>33.299999999999997</v>
      </c>
      <c r="H1459" t="s">
        <v>46</v>
      </c>
      <c r="I1459" t="s">
        <v>47</v>
      </c>
    </row>
    <row r="1460" spans="1:9" x14ac:dyDescent="0.35">
      <c r="A1460" s="1">
        <v>45340</v>
      </c>
      <c r="B1460" t="s">
        <v>36</v>
      </c>
      <c r="C1460" t="s">
        <v>37</v>
      </c>
      <c r="D1460" t="s">
        <v>15</v>
      </c>
      <c r="E1460" t="s">
        <v>16</v>
      </c>
      <c r="F1460">
        <v>34</v>
      </c>
      <c r="G1460">
        <v>36.700000000000003</v>
      </c>
      <c r="H1460" t="s">
        <v>46</v>
      </c>
      <c r="I1460" t="s">
        <v>47</v>
      </c>
    </row>
    <row r="1461" spans="1:9" x14ac:dyDescent="0.35">
      <c r="A1461" s="1">
        <v>45340</v>
      </c>
      <c r="B1461" t="s">
        <v>36</v>
      </c>
      <c r="C1461" t="s">
        <v>37</v>
      </c>
      <c r="D1461" t="s">
        <v>18</v>
      </c>
      <c r="E1461" t="s">
        <v>19</v>
      </c>
      <c r="F1461">
        <v>38</v>
      </c>
      <c r="G1461">
        <v>39</v>
      </c>
      <c r="H1461" t="s">
        <v>46</v>
      </c>
      <c r="I1461" t="s">
        <v>47</v>
      </c>
    </row>
    <row r="1462" spans="1:9" x14ac:dyDescent="0.35">
      <c r="A1462" s="1">
        <v>45340</v>
      </c>
      <c r="B1462" t="s">
        <v>36</v>
      </c>
      <c r="C1462" t="s">
        <v>37</v>
      </c>
      <c r="D1462" t="s">
        <v>21</v>
      </c>
      <c r="E1462" t="s">
        <v>22</v>
      </c>
      <c r="F1462">
        <v>32</v>
      </c>
      <c r="G1462">
        <v>32.9</v>
      </c>
      <c r="H1462" t="s">
        <v>46</v>
      </c>
      <c r="I1462" t="s">
        <v>47</v>
      </c>
    </row>
    <row r="1463" spans="1:9" x14ac:dyDescent="0.35">
      <c r="A1463" s="1">
        <v>45340</v>
      </c>
      <c r="B1463" t="s">
        <v>36</v>
      </c>
      <c r="C1463" t="s">
        <v>37</v>
      </c>
      <c r="D1463" t="s">
        <v>24</v>
      </c>
      <c r="E1463" t="s">
        <v>25</v>
      </c>
      <c r="F1463">
        <v>50</v>
      </c>
      <c r="G1463">
        <v>52.3</v>
      </c>
      <c r="H1463" t="s">
        <v>46</v>
      </c>
      <c r="I1463" t="s">
        <v>47</v>
      </c>
    </row>
    <row r="1464" spans="1:9" x14ac:dyDescent="0.35">
      <c r="A1464" s="1">
        <v>45340</v>
      </c>
      <c r="B1464" t="s">
        <v>36</v>
      </c>
      <c r="C1464" t="s">
        <v>37</v>
      </c>
      <c r="D1464" t="s">
        <v>26</v>
      </c>
      <c r="E1464" t="s">
        <v>27</v>
      </c>
      <c r="F1464">
        <v>38</v>
      </c>
      <c r="G1464">
        <v>39.299999999999997</v>
      </c>
      <c r="H1464" t="s">
        <v>46</v>
      </c>
      <c r="I1464" t="s">
        <v>47</v>
      </c>
    </row>
    <row r="1465" spans="1:9" x14ac:dyDescent="0.35">
      <c r="A1465" s="1">
        <v>45340</v>
      </c>
      <c r="B1465" t="s">
        <v>36</v>
      </c>
      <c r="C1465" t="s">
        <v>37</v>
      </c>
      <c r="D1465" t="s">
        <v>28</v>
      </c>
      <c r="E1465" t="s">
        <v>29</v>
      </c>
      <c r="F1465">
        <v>32</v>
      </c>
      <c r="G1465">
        <v>31.1</v>
      </c>
      <c r="H1465" t="s">
        <v>46</v>
      </c>
      <c r="I1465" t="s">
        <v>47</v>
      </c>
    </row>
    <row r="1466" spans="1:9" x14ac:dyDescent="0.35">
      <c r="A1466" s="1">
        <v>45340</v>
      </c>
      <c r="B1466" t="s">
        <v>39</v>
      </c>
      <c r="C1466" t="s">
        <v>40</v>
      </c>
      <c r="D1466" t="s">
        <v>15</v>
      </c>
      <c r="E1466" t="s">
        <v>16</v>
      </c>
      <c r="F1466">
        <v>34</v>
      </c>
      <c r="G1466">
        <v>34.9</v>
      </c>
      <c r="H1466" t="s">
        <v>46</v>
      </c>
      <c r="I1466" t="s">
        <v>47</v>
      </c>
    </row>
    <row r="1467" spans="1:9" x14ac:dyDescent="0.35">
      <c r="A1467" s="1">
        <v>45340</v>
      </c>
      <c r="B1467" t="s">
        <v>39</v>
      </c>
      <c r="C1467" t="s">
        <v>40</v>
      </c>
      <c r="D1467" t="s">
        <v>18</v>
      </c>
      <c r="E1467" t="s">
        <v>19</v>
      </c>
      <c r="F1467">
        <v>38</v>
      </c>
      <c r="G1467">
        <v>40.4</v>
      </c>
      <c r="H1467" t="s">
        <v>46</v>
      </c>
      <c r="I1467" t="s">
        <v>47</v>
      </c>
    </row>
    <row r="1468" spans="1:9" x14ac:dyDescent="0.35">
      <c r="A1468" s="1">
        <v>45340</v>
      </c>
      <c r="B1468" t="s">
        <v>39</v>
      </c>
      <c r="C1468" t="s">
        <v>40</v>
      </c>
      <c r="D1468" t="s">
        <v>21</v>
      </c>
      <c r="E1468" t="s">
        <v>22</v>
      </c>
      <c r="F1468">
        <v>32</v>
      </c>
      <c r="G1468">
        <v>41.3</v>
      </c>
      <c r="H1468" t="s">
        <v>48</v>
      </c>
      <c r="I1468" t="s">
        <v>50</v>
      </c>
    </row>
    <row r="1469" spans="1:9" x14ac:dyDescent="0.35">
      <c r="A1469" s="1">
        <v>45340</v>
      </c>
      <c r="B1469" t="s">
        <v>39</v>
      </c>
      <c r="C1469" t="s">
        <v>40</v>
      </c>
      <c r="D1469" t="s">
        <v>24</v>
      </c>
      <c r="E1469" t="s">
        <v>25</v>
      </c>
      <c r="F1469">
        <v>50</v>
      </c>
      <c r="G1469">
        <v>50.3</v>
      </c>
      <c r="H1469" t="s">
        <v>46</v>
      </c>
      <c r="I1469" t="s">
        <v>47</v>
      </c>
    </row>
    <row r="1470" spans="1:9" x14ac:dyDescent="0.35">
      <c r="A1470" s="1">
        <v>45340</v>
      </c>
      <c r="B1470" t="s">
        <v>39</v>
      </c>
      <c r="C1470" t="s">
        <v>40</v>
      </c>
      <c r="D1470" t="s">
        <v>26</v>
      </c>
      <c r="E1470" t="s">
        <v>27</v>
      </c>
      <c r="F1470">
        <v>38</v>
      </c>
      <c r="G1470">
        <v>40</v>
      </c>
      <c r="H1470" t="s">
        <v>46</v>
      </c>
      <c r="I1470" t="s">
        <v>47</v>
      </c>
    </row>
    <row r="1471" spans="1:9" x14ac:dyDescent="0.35">
      <c r="A1471" s="1">
        <v>45340</v>
      </c>
      <c r="B1471" t="s">
        <v>39</v>
      </c>
      <c r="C1471" t="s">
        <v>40</v>
      </c>
      <c r="D1471" t="s">
        <v>28</v>
      </c>
      <c r="E1471" t="s">
        <v>29</v>
      </c>
      <c r="F1471">
        <v>32</v>
      </c>
      <c r="G1471">
        <v>34.200000000000003</v>
      </c>
      <c r="H1471" t="s">
        <v>46</v>
      </c>
      <c r="I1471" t="s">
        <v>47</v>
      </c>
    </row>
    <row r="1472" spans="1:9" x14ac:dyDescent="0.35">
      <c r="A1472" s="1">
        <v>45341</v>
      </c>
      <c r="B1472" t="s">
        <v>12</v>
      </c>
      <c r="C1472" t="s">
        <v>13</v>
      </c>
      <c r="D1472" t="s">
        <v>15</v>
      </c>
      <c r="E1472" t="s">
        <v>16</v>
      </c>
      <c r="F1472">
        <v>34</v>
      </c>
      <c r="G1472">
        <v>36.700000000000003</v>
      </c>
      <c r="H1472" t="s">
        <v>46</v>
      </c>
      <c r="I1472" t="s">
        <v>47</v>
      </c>
    </row>
    <row r="1473" spans="1:9" x14ac:dyDescent="0.35">
      <c r="A1473" s="1">
        <v>45341</v>
      </c>
      <c r="B1473" t="s">
        <v>12</v>
      </c>
      <c r="C1473" t="s">
        <v>13</v>
      </c>
      <c r="D1473" t="s">
        <v>18</v>
      </c>
      <c r="E1473" t="s">
        <v>19</v>
      </c>
      <c r="F1473">
        <v>38</v>
      </c>
      <c r="G1473">
        <v>37.799999999999997</v>
      </c>
      <c r="H1473" t="s">
        <v>46</v>
      </c>
      <c r="I1473" t="s">
        <v>47</v>
      </c>
    </row>
    <row r="1474" spans="1:9" x14ac:dyDescent="0.35">
      <c r="A1474" s="1">
        <v>45341</v>
      </c>
      <c r="B1474" t="s">
        <v>12</v>
      </c>
      <c r="C1474" t="s">
        <v>13</v>
      </c>
      <c r="D1474" t="s">
        <v>21</v>
      </c>
      <c r="E1474" t="s">
        <v>22</v>
      </c>
      <c r="F1474">
        <v>32</v>
      </c>
      <c r="G1474">
        <v>45.9</v>
      </c>
      <c r="H1474" t="s">
        <v>48</v>
      </c>
      <c r="I1474" t="s">
        <v>49</v>
      </c>
    </row>
    <row r="1475" spans="1:9" x14ac:dyDescent="0.35">
      <c r="A1475" s="1">
        <v>45341</v>
      </c>
      <c r="B1475" t="s">
        <v>12</v>
      </c>
      <c r="C1475" t="s">
        <v>13</v>
      </c>
      <c r="D1475" t="s">
        <v>24</v>
      </c>
      <c r="E1475" t="s">
        <v>25</v>
      </c>
      <c r="F1475">
        <v>50</v>
      </c>
      <c r="G1475">
        <v>51.7</v>
      </c>
      <c r="H1475" t="s">
        <v>46</v>
      </c>
      <c r="I1475" t="s">
        <v>47</v>
      </c>
    </row>
    <row r="1476" spans="1:9" x14ac:dyDescent="0.35">
      <c r="A1476" s="1">
        <v>45341</v>
      </c>
      <c r="B1476" t="s">
        <v>12</v>
      </c>
      <c r="C1476" t="s">
        <v>13</v>
      </c>
      <c r="D1476" t="s">
        <v>26</v>
      </c>
      <c r="E1476" t="s">
        <v>27</v>
      </c>
      <c r="F1476">
        <v>38</v>
      </c>
      <c r="G1476">
        <v>37.1</v>
      </c>
      <c r="H1476" t="s">
        <v>46</v>
      </c>
      <c r="I1476" t="s">
        <v>47</v>
      </c>
    </row>
    <row r="1477" spans="1:9" x14ac:dyDescent="0.35">
      <c r="A1477" s="1">
        <v>45341</v>
      </c>
      <c r="B1477" t="s">
        <v>12</v>
      </c>
      <c r="C1477" t="s">
        <v>13</v>
      </c>
      <c r="D1477" t="s">
        <v>28</v>
      </c>
      <c r="E1477" t="s">
        <v>29</v>
      </c>
      <c r="F1477">
        <v>32</v>
      </c>
      <c r="G1477">
        <v>31.1</v>
      </c>
      <c r="H1477" t="s">
        <v>46</v>
      </c>
      <c r="I1477" t="s">
        <v>47</v>
      </c>
    </row>
    <row r="1478" spans="1:9" x14ac:dyDescent="0.35">
      <c r="A1478" s="1">
        <v>45341</v>
      </c>
      <c r="B1478" t="s">
        <v>30</v>
      </c>
      <c r="C1478" t="s">
        <v>31</v>
      </c>
      <c r="D1478" t="s">
        <v>15</v>
      </c>
      <c r="E1478" t="s">
        <v>16</v>
      </c>
      <c r="F1478">
        <v>34</v>
      </c>
      <c r="G1478">
        <v>34.799999999999997</v>
      </c>
      <c r="H1478" t="s">
        <v>46</v>
      </c>
      <c r="I1478" t="s">
        <v>47</v>
      </c>
    </row>
    <row r="1479" spans="1:9" x14ac:dyDescent="0.35">
      <c r="A1479" s="1">
        <v>45341</v>
      </c>
      <c r="B1479" t="s">
        <v>30</v>
      </c>
      <c r="C1479" t="s">
        <v>31</v>
      </c>
      <c r="D1479" t="s">
        <v>18</v>
      </c>
      <c r="E1479" t="s">
        <v>19</v>
      </c>
      <c r="F1479">
        <v>38</v>
      </c>
      <c r="G1479">
        <v>39.6</v>
      </c>
      <c r="H1479" t="s">
        <v>46</v>
      </c>
      <c r="I1479" t="s">
        <v>47</v>
      </c>
    </row>
    <row r="1480" spans="1:9" x14ac:dyDescent="0.35">
      <c r="A1480" s="1">
        <v>45341</v>
      </c>
      <c r="B1480" t="s">
        <v>30</v>
      </c>
      <c r="C1480" t="s">
        <v>31</v>
      </c>
      <c r="D1480" t="s">
        <v>21</v>
      </c>
      <c r="E1480" t="s">
        <v>22</v>
      </c>
      <c r="F1480">
        <v>32</v>
      </c>
      <c r="G1480">
        <v>33.9</v>
      </c>
      <c r="H1480" t="s">
        <v>46</v>
      </c>
      <c r="I1480" t="s">
        <v>47</v>
      </c>
    </row>
    <row r="1481" spans="1:9" x14ac:dyDescent="0.35">
      <c r="A1481" s="1">
        <v>45341</v>
      </c>
      <c r="B1481" t="s">
        <v>30</v>
      </c>
      <c r="C1481" t="s">
        <v>31</v>
      </c>
      <c r="D1481" t="s">
        <v>24</v>
      </c>
      <c r="E1481" t="s">
        <v>25</v>
      </c>
      <c r="F1481">
        <v>50</v>
      </c>
      <c r="G1481">
        <v>52.3</v>
      </c>
      <c r="H1481" t="s">
        <v>46</v>
      </c>
      <c r="I1481" t="s">
        <v>47</v>
      </c>
    </row>
    <row r="1482" spans="1:9" x14ac:dyDescent="0.35">
      <c r="A1482" s="1">
        <v>45341</v>
      </c>
      <c r="B1482" t="s">
        <v>30</v>
      </c>
      <c r="C1482" t="s">
        <v>31</v>
      </c>
      <c r="D1482" t="s">
        <v>26</v>
      </c>
      <c r="E1482" t="s">
        <v>27</v>
      </c>
      <c r="F1482">
        <v>38</v>
      </c>
      <c r="G1482">
        <v>39.799999999999997</v>
      </c>
      <c r="H1482" t="s">
        <v>46</v>
      </c>
      <c r="I1482" t="s">
        <v>47</v>
      </c>
    </row>
    <row r="1483" spans="1:9" x14ac:dyDescent="0.35">
      <c r="A1483" s="1">
        <v>45341</v>
      </c>
      <c r="B1483" t="s">
        <v>30</v>
      </c>
      <c r="C1483" t="s">
        <v>31</v>
      </c>
      <c r="D1483" t="s">
        <v>28</v>
      </c>
      <c r="E1483" t="s">
        <v>29</v>
      </c>
      <c r="F1483">
        <v>32</v>
      </c>
      <c r="G1483">
        <v>33.700000000000003</v>
      </c>
      <c r="H1483" t="s">
        <v>46</v>
      </c>
      <c r="I1483" t="s">
        <v>47</v>
      </c>
    </row>
    <row r="1484" spans="1:9" x14ac:dyDescent="0.35">
      <c r="A1484" s="1">
        <v>45341</v>
      </c>
      <c r="B1484" t="s">
        <v>33</v>
      </c>
      <c r="C1484" t="s">
        <v>34</v>
      </c>
      <c r="D1484" t="s">
        <v>15</v>
      </c>
      <c r="E1484" t="s">
        <v>16</v>
      </c>
      <c r="F1484">
        <v>34</v>
      </c>
      <c r="G1484">
        <v>33.4</v>
      </c>
      <c r="H1484" t="s">
        <v>46</v>
      </c>
      <c r="I1484" t="s">
        <v>47</v>
      </c>
    </row>
    <row r="1485" spans="1:9" x14ac:dyDescent="0.35">
      <c r="A1485" s="1">
        <v>45341</v>
      </c>
      <c r="B1485" t="s">
        <v>33</v>
      </c>
      <c r="C1485" t="s">
        <v>34</v>
      </c>
      <c r="D1485" t="s">
        <v>18</v>
      </c>
      <c r="E1485" t="s">
        <v>19</v>
      </c>
      <c r="F1485">
        <v>38</v>
      </c>
      <c r="G1485">
        <v>45.5</v>
      </c>
      <c r="H1485" t="s">
        <v>48</v>
      </c>
      <c r="I1485" t="s">
        <v>50</v>
      </c>
    </row>
    <row r="1486" spans="1:9" x14ac:dyDescent="0.35">
      <c r="A1486" s="1">
        <v>45341</v>
      </c>
      <c r="B1486" t="s">
        <v>33</v>
      </c>
      <c r="C1486" t="s">
        <v>34</v>
      </c>
      <c r="D1486" t="s">
        <v>21</v>
      </c>
      <c r="E1486" t="s">
        <v>22</v>
      </c>
      <c r="F1486">
        <v>32</v>
      </c>
      <c r="G1486">
        <v>33.799999999999997</v>
      </c>
      <c r="H1486" t="s">
        <v>46</v>
      </c>
      <c r="I1486" t="s">
        <v>47</v>
      </c>
    </row>
    <row r="1487" spans="1:9" x14ac:dyDescent="0.35">
      <c r="A1487" s="1">
        <v>45341</v>
      </c>
      <c r="B1487" t="s">
        <v>33</v>
      </c>
      <c r="C1487" t="s">
        <v>34</v>
      </c>
      <c r="D1487" t="s">
        <v>24</v>
      </c>
      <c r="E1487" t="s">
        <v>25</v>
      </c>
      <c r="F1487">
        <v>50</v>
      </c>
      <c r="G1487">
        <v>49.1</v>
      </c>
      <c r="H1487" t="s">
        <v>46</v>
      </c>
      <c r="I1487" t="s">
        <v>47</v>
      </c>
    </row>
    <row r="1488" spans="1:9" x14ac:dyDescent="0.35">
      <c r="A1488" s="1">
        <v>45341</v>
      </c>
      <c r="B1488" t="s">
        <v>33</v>
      </c>
      <c r="C1488" t="s">
        <v>34</v>
      </c>
      <c r="D1488" t="s">
        <v>26</v>
      </c>
      <c r="E1488" t="s">
        <v>27</v>
      </c>
      <c r="F1488">
        <v>38</v>
      </c>
      <c r="G1488">
        <v>37.6</v>
      </c>
      <c r="H1488" t="s">
        <v>46</v>
      </c>
      <c r="I1488" t="s">
        <v>47</v>
      </c>
    </row>
    <row r="1489" spans="1:9" x14ac:dyDescent="0.35">
      <c r="A1489" s="1">
        <v>45341</v>
      </c>
      <c r="B1489" t="s">
        <v>33</v>
      </c>
      <c r="C1489" t="s">
        <v>34</v>
      </c>
      <c r="D1489" t="s">
        <v>28</v>
      </c>
      <c r="E1489" t="s">
        <v>29</v>
      </c>
      <c r="F1489">
        <v>32</v>
      </c>
      <c r="G1489">
        <v>34.4</v>
      </c>
      <c r="H1489" t="s">
        <v>46</v>
      </c>
      <c r="I1489" t="s">
        <v>47</v>
      </c>
    </row>
    <row r="1490" spans="1:9" x14ac:dyDescent="0.35">
      <c r="A1490" s="1">
        <v>45341</v>
      </c>
      <c r="B1490" t="s">
        <v>36</v>
      </c>
      <c r="C1490" t="s">
        <v>37</v>
      </c>
      <c r="D1490" t="s">
        <v>15</v>
      </c>
      <c r="E1490" t="s">
        <v>16</v>
      </c>
      <c r="F1490">
        <v>34</v>
      </c>
      <c r="G1490">
        <v>35.200000000000003</v>
      </c>
      <c r="H1490" t="s">
        <v>46</v>
      </c>
      <c r="I1490" t="s">
        <v>47</v>
      </c>
    </row>
    <row r="1491" spans="1:9" x14ac:dyDescent="0.35">
      <c r="A1491" s="1">
        <v>45341</v>
      </c>
      <c r="B1491" t="s">
        <v>36</v>
      </c>
      <c r="C1491" t="s">
        <v>37</v>
      </c>
      <c r="D1491" t="s">
        <v>18</v>
      </c>
      <c r="E1491" t="s">
        <v>19</v>
      </c>
      <c r="F1491">
        <v>38</v>
      </c>
      <c r="G1491">
        <v>50.2</v>
      </c>
      <c r="H1491" t="s">
        <v>48</v>
      </c>
      <c r="I1491" t="s">
        <v>49</v>
      </c>
    </row>
    <row r="1492" spans="1:9" x14ac:dyDescent="0.35">
      <c r="A1492" s="1">
        <v>45341</v>
      </c>
      <c r="B1492" t="s">
        <v>36</v>
      </c>
      <c r="C1492" t="s">
        <v>37</v>
      </c>
      <c r="D1492" t="s">
        <v>21</v>
      </c>
      <c r="E1492" t="s">
        <v>22</v>
      </c>
      <c r="F1492">
        <v>32</v>
      </c>
      <c r="G1492">
        <v>41.4</v>
      </c>
      <c r="H1492" t="s">
        <v>48</v>
      </c>
      <c r="I1492" t="s">
        <v>50</v>
      </c>
    </row>
    <row r="1493" spans="1:9" x14ac:dyDescent="0.35">
      <c r="A1493" s="1">
        <v>45341</v>
      </c>
      <c r="B1493" t="s">
        <v>36</v>
      </c>
      <c r="C1493" t="s">
        <v>37</v>
      </c>
      <c r="D1493" t="s">
        <v>24</v>
      </c>
      <c r="E1493" t="s">
        <v>25</v>
      </c>
      <c r="F1493">
        <v>50</v>
      </c>
      <c r="G1493">
        <v>63.2</v>
      </c>
      <c r="H1493" t="s">
        <v>48</v>
      </c>
      <c r="I1493" t="s">
        <v>49</v>
      </c>
    </row>
    <row r="1494" spans="1:9" x14ac:dyDescent="0.35">
      <c r="A1494" s="1">
        <v>45341</v>
      </c>
      <c r="B1494" t="s">
        <v>36</v>
      </c>
      <c r="C1494" t="s">
        <v>37</v>
      </c>
      <c r="D1494" t="s">
        <v>26</v>
      </c>
      <c r="E1494" t="s">
        <v>27</v>
      </c>
      <c r="F1494">
        <v>38</v>
      </c>
      <c r="G1494">
        <v>38.799999999999997</v>
      </c>
      <c r="H1494" t="s">
        <v>46</v>
      </c>
      <c r="I1494" t="s">
        <v>47</v>
      </c>
    </row>
    <row r="1495" spans="1:9" x14ac:dyDescent="0.35">
      <c r="A1495" s="1">
        <v>45341</v>
      </c>
      <c r="B1495" t="s">
        <v>36</v>
      </c>
      <c r="C1495" t="s">
        <v>37</v>
      </c>
      <c r="D1495" t="s">
        <v>28</v>
      </c>
      <c r="E1495" t="s">
        <v>29</v>
      </c>
      <c r="F1495">
        <v>32</v>
      </c>
      <c r="G1495">
        <v>31.1</v>
      </c>
      <c r="H1495" t="s">
        <v>46</v>
      </c>
      <c r="I1495" t="s">
        <v>47</v>
      </c>
    </row>
    <row r="1496" spans="1:9" x14ac:dyDescent="0.35">
      <c r="A1496" s="1">
        <v>45341</v>
      </c>
      <c r="B1496" t="s">
        <v>39</v>
      </c>
      <c r="C1496" t="s">
        <v>40</v>
      </c>
      <c r="D1496" t="s">
        <v>15</v>
      </c>
      <c r="E1496" t="s">
        <v>16</v>
      </c>
      <c r="F1496">
        <v>34</v>
      </c>
      <c r="G1496">
        <v>34</v>
      </c>
      <c r="H1496" t="s">
        <v>46</v>
      </c>
      <c r="I1496" t="s">
        <v>47</v>
      </c>
    </row>
    <row r="1497" spans="1:9" x14ac:dyDescent="0.35">
      <c r="A1497" s="1">
        <v>45341</v>
      </c>
      <c r="B1497" t="s">
        <v>39</v>
      </c>
      <c r="C1497" t="s">
        <v>40</v>
      </c>
      <c r="D1497" t="s">
        <v>18</v>
      </c>
      <c r="E1497" t="s">
        <v>19</v>
      </c>
      <c r="F1497">
        <v>38</v>
      </c>
      <c r="G1497">
        <v>40.299999999999997</v>
      </c>
      <c r="H1497" t="s">
        <v>46</v>
      </c>
      <c r="I1497" t="s">
        <v>47</v>
      </c>
    </row>
    <row r="1498" spans="1:9" x14ac:dyDescent="0.35">
      <c r="A1498" s="1">
        <v>45341</v>
      </c>
      <c r="B1498" t="s">
        <v>39</v>
      </c>
      <c r="C1498" t="s">
        <v>40</v>
      </c>
      <c r="D1498" t="s">
        <v>21</v>
      </c>
      <c r="E1498" t="s">
        <v>22</v>
      </c>
      <c r="F1498">
        <v>32</v>
      </c>
      <c r="G1498">
        <v>32.299999999999997</v>
      </c>
      <c r="H1498" t="s">
        <v>46</v>
      </c>
      <c r="I1498" t="s">
        <v>47</v>
      </c>
    </row>
    <row r="1499" spans="1:9" x14ac:dyDescent="0.35">
      <c r="A1499" s="1">
        <v>45341</v>
      </c>
      <c r="B1499" t="s">
        <v>39</v>
      </c>
      <c r="C1499" t="s">
        <v>40</v>
      </c>
      <c r="D1499" t="s">
        <v>24</v>
      </c>
      <c r="E1499" t="s">
        <v>25</v>
      </c>
      <c r="F1499">
        <v>50</v>
      </c>
      <c r="G1499">
        <v>62.8</v>
      </c>
      <c r="H1499" t="s">
        <v>48</v>
      </c>
      <c r="I1499" t="s">
        <v>49</v>
      </c>
    </row>
    <row r="1500" spans="1:9" x14ac:dyDescent="0.35">
      <c r="A1500" s="1">
        <v>45341</v>
      </c>
      <c r="B1500" t="s">
        <v>39</v>
      </c>
      <c r="C1500" t="s">
        <v>40</v>
      </c>
      <c r="D1500" t="s">
        <v>26</v>
      </c>
      <c r="E1500" t="s">
        <v>27</v>
      </c>
      <c r="F1500">
        <v>38</v>
      </c>
      <c r="G1500">
        <v>38.700000000000003</v>
      </c>
      <c r="H1500" t="s">
        <v>46</v>
      </c>
      <c r="I1500" t="s">
        <v>47</v>
      </c>
    </row>
    <row r="1501" spans="1:9" x14ac:dyDescent="0.35">
      <c r="A1501" s="1">
        <v>45341</v>
      </c>
      <c r="B1501" t="s">
        <v>39</v>
      </c>
      <c r="C1501" t="s">
        <v>40</v>
      </c>
      <c r="D1501" t="s">
        <v>28</v>
      </c>
      <c r="E1501" t="s">
        <v>29</v>
      </c>
      <c r="F1501">
        <v>32</v>
      </c>
      <c r="G1501">
        <v>33.299999999999997</v>
      </c>
      <c r="H1501" t="s">
        <v>46</v>
      </c>
      <c r="I1501" t="s">
        <v>47</v>
      </c>
    </row>
    <row r="1502" spans="1:9" x14ac:dyDescent="0.35">
      <c r="A1502" s="1">
        <v>45342</v>
      </c>
      <c r="B1502" t="s">
        <v>12</v>
      </c>
      <c r="C1502" t="s">
        <v>13</v>
      </c>
      <c r="D1502" t="s">
        <v>15</v>
      </c>
      <c r="E1502" t="s">
        <v>16</v>
      </c>
      <c r="F1502">
        <v>34</v>
      </c>
      <c r="G1502">
        <v>37</v>
      </c>
      <c r="H1502" t="s">
        <v>46</v>
      </c>
      <c r="I1502" t="s">
        <v>47</v>
      </c>
    </row>
    <row r="1503" spans="1:9" x14ac:dyDescent="0.35">
      <c r="A1503" s="1">
        <v>45342</v>
      </c>
      <c r="B1503" t="s">
        <v>12</v>
      </c>
      <c r="C1503" t="s">
        <v>13</v>
      </c>
      <c r="D1503" t="s">
        <v>18</v>
      </c>
      <c r="E1503" t="s">
        <v>19</v>
      </c>
      <c r="F1503">
        <v>38</v>
      </c>
      <c r="G1503">
        <v>47.2</v>
      </c>
      <c r="H1503" t="s">
        <v>48</v>
      </c>
      <c r="I1503" t="s">
        <v>50</v>
      </c>
    </row>
    <row r="1504" spans="1:9" x14ac:dyDescent="0.35">
      <c r="A1504" s="1">
        <v>45342</v>
      </c>
      <c r="B1504" t="s">
        <v>12</v>
      </c>
      <c r="C1504" t="s">
        <v>13</v>
      </c>
      <c r="D1504" t="s">
        <v>21</v>
      </c>
      <c r="E1504" t="s">
        <v>22</v>
      </c>
      <c r="F1504">
        <v>32</v>
      </c>
      <c r="G1504">
        <v>33.9</v>
      </c>
      <c r="H1504" t="s">
        <v>46</v>
      </c>
      <c r="I1504" t="s">
        <v>47</v>
      </c>
    </row>
    <row r="1505" spans="1:9" x14ac:dyDescent="0.35">
      <c r="A1505" s="1">
        <v>45342</v>
      </c>
      <c r="B1505" t="s">
        <v>12</v>
      </c>
      <c r="C1505" t="s">
        <v>13</v>
      </c>
      <c r="D1505" t="s">
        <v>24</v>
      </c>
      <c r="E1505" t="s">
        <v>25</v>
      </c>
      <c r="F1505">
        <v>50</v>
      </c>
      <c r="G1505">
        <v>52.6</v>
      </c>
      <c r="H1505" t="s">
        <v>46</v>
      </c>
      <c r="I1505" t="s">
        <v>47</v>
      </c>
    </row>
    <row r="1506" spans="1:9" x14ac:dyDescent="0.35">
      <c r="A1506" s="1">
        <v>45342</v>
      </c>
      <c r="B1506" t="s">
        <v>12</v>
      </c>
      <c r="C1506" t="s">
        <v>13</v>
      </c>
      <c r="D1506" t="s">
        <v>26</v>
      </c>
      <c r="E1506" t="s">
        <v>27</v>
      </c>
      <c r="F1506">
        <v>38</v>
      </c>
      <c r="G1506">
        <v>37.9</v>
      </c>
      <c r="H1506" t="s">
        <v>46</v>
      </c>
      <c r="I1506" t="s">
        <v>47</v>
      </c>
    </row>
    <row r="1507" spans="1:9" x14ac:dyDescent="0.35">
      <c r="A1507" s="1">
        <v>45342</v>
      </c>
      <c r="B1507" t="s">
        <v>12</v>
      </c>
      <c r="C1507" t="s">
        <v>13</v>
      </c>
      <c r="D1507" t="s">
        <v>28</v>
      </c>
      <c r="E1507" t="s">
        <v>29</v>
      </c>
      <c r="F1507">
        <v>32</v>
      </c>
      <c r="G1507">
        <v>38.200000000000003</v>
      </c>
      <c r="H1507" t="s">
        <v>48</v>
      </c>
      <c r="I1507" t="s">
        <v>50</v>
      </c>
    </row>
    <row r="1508" spans="1:9" x14ac:dyDescent="0.35">
      <c r="A1508" s="1">
        <v>45342</v>
      </c>
      <c r="B1508" t="s">
        <v>30</v>
      </c>
      <c r="C1508" t="s">
        <v>31</v>
      </c>
      <c r="D1508" t="s">
        <v>15</v>
      </c>
      <c r="E1508" t="s">
        <v>16</v>
      </c>
      <c r="F1508">
        <v>34</v>
      </c>
      <c r="G1508">
        <v>35.200000000000003</v>
      </c>
      <c r="H1508" t="s">
        <v>46</v>
      </c>
      <c r="I1508" t="s">
        <v>47</v>
      </c>
    </row>
    <row r="1509" spans="1:9" x14ac:dyDescent="0.35">
      <c r="A1509" s="1">
        <v>45342</v>
      </c>
      <c r="B1509" t="s">
        <v>30</v>
      </c>
      <c r="C1509" t="s">
        <v>31</v>
      </c>
      <c r="D1509" t="s">
        <v>18</v>
      </c>
      <c r="E1509" t="s">
        <v>19</v>
      </c>
      <c r="F1509">
        <v>38</v>
      </c>
      <c r="G1509">
        <v>39.6</v>
      </c>
      <c r="H1509" t="s">
        <v>46</v>
      </c>
      <c r="I1509" t="s">
        <v>47</v>
      </c>
    </row>
    <row r="1510" spans="1:9" x14ac:dyDescent="0.35">
      <c r="A1510" s="1">
        <v>45342</v>
      </c>
      <c r="B1510" t="s">
        <v>30</v>
      </c>
      <c r="C1510" t="s">
        <v>31</v>
      </c>
      <c r="D1510" t="s">
        <v>21</v>
      </c>
      <c r="E1510" t="s">
        <v>22</v>
      </c>
      <c r="F1510">
        <v>32</v>
      </c>
      <c r="G1510">
        <v>31.5</v>
      </c>
      <c r="H1510" t="s">
        <v>46</v>
      </c>
      <c r="I1510" t="s">
        <v>47</v>
      </c>
    </row>
    <row r="1511" spans="1:9" x14ac:dyDescent="0.35">
      <c r="A1511" s="1">
        <v>45342</v>
      </c>
      <c r="B1511" t="s">
        <v>30</v>
      </c>
      <c r="C1511" t="s">
        <v>31</v>
      </c>
      <c r="D1511" t="s">
        <v>24</v>
      </c>
      <c r="E1511" t="s">
        <v>25</v>
      </c>
      <c r="F1511">
        <v>50</v>
      </c>
      <c r="G1511">
        <v>51.6</v>
      </c>
      <c r="H1511" t="s">
        <v>46</v>
      </c>
      <c r="I1511" t="s">
        <v>47</v>
      </c>
    </row>
    <row r="1512" spans="1:9" x14ac:dyDescent="0.35">
      <c r="A1512" s="1">
        <v>45342</v>
      </c>
      <c r="B1512" t="s">
        <v>30</v>
      </c>
      <c r="C1512" t="s">
        <v>31</v>
      </c>
      <c r="D1512" t="s">
        <v>26</v>
      </c>
      <c r="E1512" t="s">
        <v>27</v>
      </c>
      <c r="F1512">
        <v>38</v>
      </c>
      <c r="G1512">
        <v>38.700000000000003</v>
      </c>
      <c r="H1512" t="s">
        <v>46</v>
      </c>
      <c r="I1512" t="s">
        <v>47</v>
      </c>
    </row>
    <row r="1513" spans="1:9" x14ac:dyDescent="0.35">
      <c r="A1513" s="1">
        <v>45342</v>
      </c>
      <c r="B1513" t="s">
        <v>30</v>
      </c>
      <c r="C1513" t="s">
        <v>31</v>
      </c>
      <c r="D1513" t="s">
        <v>28</v>
      </c>
      <c r="E1513" t="s">
        <v>29</v>
      </c>
      <c r="F1513">
        <v>32</v>
      </c>
      <c r="G1513">
        <v>43.8</v>
      </c>
      <c r="H1513" t="s">
        <v>48</v>
      </c>
      <c r="I1513" t="s">
        <v>49</v>
      </c>
    </row>
    <row r="1514" spans="1:9" x14ac:dyDescent="0.35">
      <c r="A1514" s="1">
        <v>45342</v>
      </c>
      <c r="B1514" t="s">
        <v>33</v>
      </c>
      <c r="C1514" t="s">
        <v>34</v>
      </c>
      <c r="D1514" t="s">
        <v>15</v>
      </c>
      <c r="E1514" t="s">
        <v>16</v>
      </c>
      <c r="F1514">
        <v>34</v>
      </c>
      <c r="G1514">
        <v>34.799999999999997</v>
      </c>
      <c r="H1514" t="s">
        <v>46</v>
      </c>
      <c r="I1514" t="s">
        <v>47</v>
      </c>
    </row>
    <row r="1515" spans="1:9" x14ac:dyDescent="0.35">
      <c r="A1515" s="1">
        <v>45342</v>
      </c>
      <c r="B1515" t="s">
        <v>33</v>
      </c>
      <c r="C1515" t="s">
        <v>34</v>
      </c>
      <c r="D1515" t="s">
        <v>18</v>
      </c>
      <c r="E1515" t="s">
        <v>19</v>
      </c>
      <c r="F1515">
        <v>38</v>
      </c>
      <c r="G1515">
        <v>39.4</v>
      </c>
      <c r="H1515" t="s">
        <v>46</v>
      </c>
      <c r="I1515" t="s">
        <v>47</v>
      </c>
    </row>
    <row r="1516" spans="1:9" x14ac:dyDescent="0.35">
      <c r="A1516" s="1">
        <v>45342</v>
      </c>
      <c r="B1516" t="s">
        <v>33</v>
      </c>
      <c r="C1516" t="s">
        <v>34</v>
      </c>
      <c r="D1516" t="s">
        <v>21</v>
      </c>
      <c r="E1516" t="s">
        <v>22</v>
      </c>
      <c r="F1516">
        <v>32</v>
      </c>
      <c r="G1516">
        <v>34.700000000000003</v>
      </c>
      <c r="H1516" t="s">
        <v>46</v>
      </c>
      <c r="I1516" t="s">
        <v>47</v>
      </c>
    </row>
    <row r="1517" spans="1:9" x14ac:dyDescent="0.35">
      <c r="A1517" s="1">
        <v>45342</v>
      </c>
      <c r="B1517" t="s">
        <v>33</v>
      </c>
      <c r="C1517" t="s">
        <v>34</v>
      </c>
      <c r="D1517" t="s">
        <v>24</v>
      </c>
      <c r="E1517" t="s">
        <v>25</v>
      </c>
      <c r="F1517">
        <v>50</v>
      </c>
      <c r="G1517">
        <v>51.9</v>
      </c>
      <c r="H1517" t="s">
        <v>46</v>
      </c>
      <c r="I1517" t="s">
        <v>47</v>
      </c>
    </row>
    <row r="1518" spans="1:9" x14ac:dyDescent="0.35">
      <c r="A1518" s="1">
        <v>45342</v>
      </c>
      <c r="B1518" t="s">
        <v>33</v>
      </c>
      <c r="C1518" t="s">
        <v>34</v>
      </c>
      <c r="D1518" t="s">
        <v>26</v>
      </c>
      <c r="E1518" t="s">
        <v>27</v>
      </c>
      <c r="F1518">
        <v>38</v>
      </c>
      <c r="G1518">
        <v>40.5</v>
      </c>
      <c r="H1518" t="s">
        <v>46</v>
      </c>
      <c r="I1518" t="s">
        <v>47</v>
      </c>
    </row>
    <row r="1519" spans="1:9" x14ac:dyDescent="0.35">
      <c r="A1519" s="1">
        <v>45342</v>
      </c>
      <c r="B1519" t="s">
        <v>33</v>
      </c>
      <c r="C1519" t="s">
        <v>34</v>
      </c>
      <c r="D1519" t="s">
        <v>28</v>
      </c>
      <c r="E1519" t="s">
        <v>29</v>
      </c>
      <c r="F1519">
        <v>32</v>
      </c>
      <c r="G1519">
        <v>32.6</v>
      </c>
      <c r="H1519" t="s">
        <v>46</v>
      </c>
      <c r="I1519" t="s">
        <v>47</v>
      </c>
    </row>
    <row r="1520" spans="1:9" x14ac:dyDescent="0.35">
      <c r="A1520" s="1">
        <v>45342</v>
      </c>
      <c r="B1520" t="s">
        <v>36</v>
      </c>
      <c r="C1520" t="s">
        <v>37</v>
      </c>
      <c r="D1520" t="s">
        <v>15</v>
      </c>
      <c r="E1520" t="s">
        <v>16</v>
      </c>
      <c r="F1520">
        <v>34</v>
      </c>
      <c r="G1520">
        <v>36.799999999999997</v>
      </c>
      <c r="H1520" t="s">
        <v>46</v>
      </c>
      <c r="I1520" t="s">
        <v>47</v>
      </c>
    </row>
    <row r="1521" spans="1:9" x14ac:dyDescent="0.35">
      <c r="A1521" s="1">
        <v>45342</v>
      </c>
      <c r="B1521" t="s">
        <v>36</v>
      </c>
      <c r="C1521" t="s">
        <v>37</v>
      </c>
      <c r="D1521" t="s">
        <v>18</v>
      </c>
      <c r="E1521" t="s">
        <v>19</v>
      </c>
      <c r="F1521">
        <v>38</v>
      </c>
      <c r="G1521">
        <v>38.4</v>
      </c>
      <c r="H1521" t="s">
        <v>46</v>
      </c>
      <c r="I1521" t="s">
        <v>47</v>
      </c>
    </row>
    <row r="1522" spans="1:9" x14ac:dyDescent="0.35">
      <c r="A1522" s="1">
        <v>45342</v>
      </c>
      <c r="B1522" t="s">
        <v>36</v>
      </c>
      <c r="C1522" t="s">
        <v>37</v>
      </c>
      <c r="D1522" t="s">
        <v>21</v>
      </c>
      <c r="E1522" t="s">
        <v>22</v>
      </c>
      <c r="F1522">
        <v>32</v>
      </c>
      <c r="G1522">
        <v>34.9</v>
      </c>
      <c r="H1522" t="s">
        <v>46</v>
      </c>
      <c r="I1522" t="s">
        <v>47</v>
      </c>
    </row>
    <row r="1523" spans="1:9" x14ac:dyDescent="0.35">
      <c r="A1523" s="1">
        <v>45342</v>
      </c>
      <c r="B1523" t="s">
        <v>36</v>
      </c>
      <c r="C1523" t="s">
        <v>37</v>
      </c>
      <c r="D1523" t="s">
        <v>24</v>
      </c>
      <c r="E1523" t="s">
        <v>25</v>
      </c>
      <c r="F1523">
        <v>50</v>
      </c>
      <c r="G1523">
        <v>57.7</v>
      </c>
      <c r="H1523" t="s">
        <v>48</v>
      </c>
      <c r="I1523" t="s">
        <v>50</v>
      </c>
    </row>
    <row r="1524" spans="1:9" x14ac:dyDescent="0.35">
      <c r="A1524" s="1">
        <v>45342</v>
      </c>
      <c r="B1524" t="s">
        <v>36</v>
      </c>
      <c r="C1524" t="s">
        <v>37</v>
      </c>
      <c r="D1524" t="s">
        <v>26</v>
      </c>
      <c r="E1524" t="s">
        <v>27</v>
      </c>
      <c r="F1524">
        <v>38</v>
      </c>
      <c r="G1524">
        <v>37.299999999999997</v>
      </c>
      <c r="H1524" t="s">
        <v>46</v>
      </c>
      <c r="I1524" t="s">
        <v>47</v>
      </c>
    </row>
    <row r="1525" spans="1:9" x14ac:dyDescent="0.35">
      <c r="A1525" s="1">
        <v>45342</v>
      </c>
      <c r="B1525" t="s">
        <v>36</v>
      </c>
      <c r="C1525" t="s">
        <v>37</v>
      </c>
      <c r="D1525" t="s">
        <v>28</v>
      </c>
      <c r="E1525" t="s">
        <v>29</v>
      </c>
      <c r="F1525">
        <v>32</v>
      </c>
      <c r="G1525">
        <v>31.7</v>
      </c>
      <c r="H1525" t="s">
        <v>46</v>
      </c>
      <c r="I1525" t="s">
        <v>47</v>
      </c>
    </row>
    <row r="1526" spans="1:9" x14ac:dyDescent="0.35">
      <c r="A1526" s="1">
        <v>45342</v>
      </c>
      <c r="B1526" t="s">
        <v>39</v>
      </c>
      <c r="C1526" t="s">
        <v>40</v>
      </c>
      <c r="D1526" t="s">
        <v>15</v>
      </c>
      <c r="E1526" t="s">
        <v>16</v>
      </c>
      <c r="F1526">
        <v>34</v>
      </c>
      <c r="G1526">
        <v>43.9</v>
      </c>
      <c r="H1526" t="s">
        <v>48</v>
      </c>
      <c r="I1526" t="s">
        <v>50</v>
      </c>
    </row>
    <row r="1527" spans="1:9" x14ac:dyDescent="0.35">
      <c r="A1527" s="1">
        <v>45342</v>
      </c>
      <c r="B1527" t="s">
        <v>39</v>
      </c>
      <c r="C1527" t="s">
        <v>40</v>
      </c>
      <c r="D1527" t="s">
        <v>18</v>
      </c>
      <c r="E1527" t="s">
        <v>19</v>
      </c>
      <c r="F1527">
        <v>38</v>
      </c>
      <c r="G1527">
        <v>40.799999999999997</v>
      </c>
      <c r="H1527" t="s">
        <v>46</v>
      </c>
      <c r="I1527" t="s">
        <v>47</v>
      </c>
    </row>
    <row r="1528" spans="1:9" x14ac:dyDescent="0.35">
      <c r="A1528" s="1">
        <v>45342</v>
      </c>
      <c r="B1528" t="s">
        <v>39</v>
      </c>
      <c r="C1528" t="s">
        <v>40</v>
      </c>
      <c r="D1528" t="s">
        <v>21</v>
      </c>
      <c r="E1528" t="s">
        <v>22</v>
      </c>
      <c r="F1528">
        <v>32</v>
      </c>
      <c r="G1528">
        <v>31.9</v>
      </c>
      <c r="H1528" t="s">
        <v>46</v>
      </c>
      <c r="I1528" t="s">
        <v>47</v>
      </c>
    </row>
    <row r="1529" spans="1:9" x14ac:dyDescent="0.35">
      <c r="A1529" s="1">
        <v>45342</v>
      </c>
      <c r="B1529" t="s">
        <v>39</v>
      </c>
      <c r="C1529" t="s">
        <v>40</v>
      </c>
      <c r="D1529" t="s">
        <v>24</v>
      </c>
      <c r="E1529" t="s">
        <v>25</v>
      </c>
      <c r="F1529">
        <v>50</v>
      </c>
      <c r="G1529">
        <v>53</v>
      </c>
      <c r="H1529" t="s">
        <v>46</v>
      </c>
      <c r="I1529" t="s">
        <v>47</v>
      </c>
    </row>
    <row r="1530" spans="1:9" x14ac:dyDescent="0.35">
      <c r="A1530" s="1">
        <v>45342</v>
      </c>
      <c r="B1530" t="s">
        <v>39</v>
      </c>
      <c r="C1530" t="s">
        <v>40</v>
      </c>
      <c r="D1530" t="s">
        <v>26</v>
      </c>
      <c r="E1530" t="s">
        <v>27</v>
      </c>
      <c r="F1530">
        <v>38</v>
      </c>
      <c r="G1530">
        <v>38</v>
      </c>
      <c r="H1530" t="s">
        <v>46</v>
      </c>
      <c r="I1530" t="s">
        <v>47</v>
      </c>
    </row>
    <row r="1531" spans="1:9" x14ac:dyDescent="0.35">
      <c r="A1531" s="1">
        <v>45342</v>
      </c>
      <c r="B1531" t="s">
        <v>39</v>
      </c>
      <c r="C1531" t="s">
        <v>40</v>
      </c>
      <c r="D1531" t="s">
        <v>28</v>
      </c>
      <c r="E1531" t="s">
        <v>29</v>
      </c>
      <c r="F1531">
        <v>32</v>
      </c>
      <c r="G1531">
        <v>31.7</v>
      </c>
      <c r="H1531" t="s">
        <v>46</v>
      </c>
      <c r="I1531" t="s">
        <v>47</v>
      </c>
    </row>
    <row r="1532" spans="1:9" x14ac:dyDescent="0.35">
      <c r="A1532" s="1">
        <v>45343</v>
      </c>
      <c r="B1532" t="s">
        <v>12</v>
      </c>
      <c r="C1532" t="s">
        <v>13</v>
      </c>
      <c r="D1532" t="s">
        <v>15</v>
      </c>
      <c r="E1532" t="s">
        <v>16</v>
      </c>
      <c r="F1532">
        <v>34</v>
      </c>
      <c r="G1532">
        <v>35</v>
      </c>
      <c r="H1532" t="s">
        <v>46</v>
      </c>
      <c r="I1532" t="s">
        <v>47</v>
      </c>
    </row>
    <row r="1533" spans="1:9" x14ac:dyDescent="0.35">
      <c r="A1533" s="1">
        <v>45343</v>
      </c>
      <c r="B1533" t="s">
        <v>12</v>
      </c>
      <c r="C1533" t="s">
        <v>13</v>
      </c>
      <c r="D1533" t="s">
        <v>18</v>
      </c>
      <c r="E1533" t="s">
        <v>19</v>
      </c>
      <c r="F1533">
        <v>38</v>
      </c>
      <c r="G1533">
        <v>38.4</v>
      </c>
      <c r="H1533" t="s">
        <v>46</v>
      </c>
      <c r="I1533" t="s">
        <v>47</v>
      </c>
    </row>
    <row r="1534" spans="1:9" x14ac:dyDescent="0.35">
      <c r="A1534" s="1">
        <v>45343</v>
      </c>
      <c r="B1534" t="s">
        <v>12</v>
      </c>
      <c r="C1534" t="s">
        <v>13</v>
      </c>
      <c r="D1534" t="s">
        <v>21</v>
      </c>
      <c r="E1534" t="s">
        <v>22</v>
      </c>
      <c r="F1534">
        <v>32</v>
      </c>
      <c r="G1534">
        <v>39.799999999999997</v>
      </c>
      <c r="H1534" t="s">
        <v>48</v>
      </c>
      <c r="I1534" t="s">
        <v>50</v>
      </c>
    </row>
    <row r="1535" spans="1:9" x14ac:dyDescent="0.35">
      <c r="A1535" s="1">
        <v>45343</v>
      </c>
      <c r="B1535" t="s">
        <v>12</v>
      </c>
      <c r="C1535" t="s">
        <v>13</v>
      </c>
      <c r="D1535" t="s">
        <v>24</v>
      </c>
      <c r="E1535" t="s">
        <v>25</v>
      </c>
      <c r="F1535">
        <v>50</v>
      </c>
      <c r="G1535">
        <v>50.9</v>
      </c>
      <c r="H1535" t="s">
        <v>46</v>
      </c>
      <c r="I1535" t="s">
        <v>47</v>
      </c>
    </row>
    <row r="1536" spans="1:9" x14ac:dyDescent="0.35">
      <c r="A1536" s="1">
        <v>45343</v>
      </c>
      <c r="B1536" t="s">
        <v>12</v>
      </c>
      <c r="C1536" t="s">
        <v>13</v>
      </c>
      <c r="D1536" t="s">
        <v>26</v>
      </c>
      <c r="E1536" t="s">
        <v>27</v>
      </c>
      <c r="F1536">
        <v>38</v>
      </c>
      <c r="G1536">
        <v>40.1</v>
      </c>
      <c r="H1536" t="s">
        <v>46</v>
      </c>
      <c r="I1536" t="s">
        <v>47</v>
      </c>
    </row>
    <row r="1537" spans="1:9" x14ac:dyDescent="0.35">
      <c r="A1537" s="1">
        <v>45343</v>
      </c>
      <c r="B1537" t="s">
        <v>12</v>
      </c>
      <c r="C1537" t="s">
        <v>13</v>
      </c>
      <c r="D1537" t="s">
        <v>28</v>
      </c>
      <c r="E1537" t="s">
        <v>29</v>
      </c>
      <c r="F1537">
        <v>32</v>
      </c>
      <c r="G1537">
        <v>34.1</v>
      </c>
      <c r="H1537" t="s">
        <v>46</v>
      </c>
      <c r="I1537" t="s">
        <v>47</v>
      </c>
    </row>
    <row r="1538" spans="1:9" x14ac:dyDescent="0.35">
      <c r="A1538" s="1">
        <v>45343</v>
      </c>
      <c r="B1538" t="s">
        <v>30</v>
      </c>
      <c r="C1538" t="s">
        <v>31</v>
      </c>
      <c r="D1538" t="s">
        <v>15</v>
      </c>
      <c r="E1538" t="s">
        <v>16</v>
      </c>
      <c r="F1538">
        <v>34</v>
      </c>
      <c r="G1538">
        <v>36.6</v>
      </c>
      <c r="H1538" t="s">
        <v>46</v>
      </c>
      <c r="I1538" t="s">
        <v>47</v>
      </c>
    </row>
    <row r="1539" spans="1:9" x14ac:dyDescent="0.35">
      <c r="A1539" s="1">
        <v>45343</v>
      </c>
      <c r="B1539" t="s">
        <v>30</v>
      </c>
      <c r="C1539" t="s">
        <v>31</v>
      </c>
      <c r="D1539" t="s">
        <v>18</v>
      </c>
      <c r="E1539" t="s">
        <v>19</v>
      </c>
      <c r="F1539">
        <v>38</v>
      </c>
      <c r="G1539">
        <v>40.5</v>
      </c>
      <c r="H1539" t="s">
        <v>46</v>
      </c>
      <c r="I1539" t="s">
        <v>47</v>
      </c>
    </row>
    <row r="1540" spans="1:9" x14ac:dyDescent="0.35">
      <c r="A1540" s="1">
        <v>45343</v>
      </c>
      <c r="B1540" t="s">
        <v>30</v>
      </c>
      <c r="C1540" t="s">
        <v>31</v>
      </c>
      <c r="D1540" t="s">
        <v>21</v>
      </c>
      <c r="E1540" t="s">
        <v>22</v>
      </c>
      <c r="F1540">
        <v>32</v>
      </c>
      <c r="G1540">
        <v>31.4</v>
      </c>
      <c r="H1540" t="s">
        <v>46</v>
      </c>
      <c r="I1540" t="s">
        <v>47</v>
      </c>
    </row>
    <row r="1541" spans="1:9" x14ac:dyDescent="0.35">
      <c r="A1541" s="1">
        <v>45343</v>
      </c>
      <c r="B1541" t="s">
        <v>30</v>
      </c>
      <c r="C1541" t="s">
        <v>31</v>
      </c>
      <c r="D1541" t="s">
        <v>24</v>
      </c>
      <c r="E1541" t="s">
        <v>25</v>
      </c>
      <c r="F1541">
        <v>50</v>
      </c>
      <c r="G1541">
        <v>63.6</v>
      </c>
      <c r="H1541" t="s">
        <v>48</v>
      </c>
      <c r="I1541" t="s">
        <v>49</v>
      </c>
    </row>
    <row r="1542" spans="1:9" x14ac:dyDescent="0.35">
      <c r="A1542" s="1">
        <v>45343</v>
      </c>
      <c r="B1542" t="s">
        <v>30</v>
      </c>
      <c r="C1542" t="s">
        <v>31</v>
      </c>
      <c r="D1542" t="s">
        <v>26</v>
      </c>
      <c r="E1542" t="s">
        <v>27</v>
      </c>
      <c r="F1542">
        <v>38</v>
      </c>
      <c r="G1542">
        <v>40.9</v>
      </c>
      <c r="H1542" t="s">
        <v>46</v>
      </c>
      <c r="I1542" t="s">
        <v>47</v>
      </c>
    </row>
    <row r="1543" spans="1:9" x14ac:dyDescent="0.35">
      <c r="A1543" s="1">
        <v>45343</v>
      </c>
      <c r="B1543" t="s">
        <v>30</v>
      </c>
      <c r="C1543" t="s">
        <v>31</v>
      </c>
      <c r="D1543" t="s">
        <v>28</v>
      </c>
      <c r="E1543" t="s">
        <v>29</v>
      </c>
      <c r="F1543">
        <v>32</v>
      </c>
      <c r="G1543">
        <v>34.9</v>
      </c>
      <c r="H1543" t="s">
        <v>46</v>
      </c>
      <c r="I1543" t="s">
        <v>47</v>
      </c>
    </row>
    <row r="1544" spans="1:9" x14ac:dyDescent="0.35">
      <c r="A1544" s="1">
        <v>45343</v>
      </c>
      <c r="B1544" t="s">
        <v>33</v>
      </c>
      <c r="C1544" t="s">
        <v>34</v>
      </c>
      <c r="D1544" t="s">
        <v>15</v>
      </c>
      <c r="E1544" t="s">
        <v>16</v>
      </c>
      <c r="F1544">
        <v>34</v>
      </c>
      <c r="G1544">
        <v>35.4</v>
      </c>
      <c r="H1544" t="s">
        <v>46</v>
      </c>
      <c r="I1544" t="s">
        <v>47</v>
      </c>
    </row>
    <row r="1545" spans="1:9" x14ac:dyDescent="0.35">
      <c r="A1545" s="1">
        <v>45343</v>
      </c>
      <c r="B1545" t="s">
        <v>33</v>
      </c>
      <c r="C1545" t="s">
        <v>34</v>
      </c>
      <c r="D1545" t="s">
        <v>18</v>
      </c>
      <c r="E1545" t="s">
        <v>19</v>
      </c>
      <c r="F1545">
        <v>38</v>
      </c>
      <c r="G1545">
        <v>37.4</v>
      </c>
      <c r="H1545" t="s">
        <v>46</v>
      </c>
      <c r="I1545" t="s">
        <v>47</v>
      </c>
    </row>
    <row r="1546" spans="1:9" x14ac:dyDescent="0.35">
      <c r="A1546" s="1">
        <v>45343</v>
      </c>
      <c r="B1546" t="s">
        <v>33</v>
      </c>
      <c r="C1546" t="s">
        <v>34</v>
      </c>
      <c r="D1546" t="s">
        <v>21</v>
      </c>
      <c r="E1546" t="s">
        <v>22</v>
      </c>
      <c r="F1546">
        <v>32</v>
      </c>
      <c r="G1546">
        <v>33</v>
      </c>
      <c r="H1546" t="s">
        <v>46</v>
      </c>
      <c r="I1546" t="s">
        <v>47</v>
      </c>
    </row>
    <row r="1547" spans="1:9" x14ac:dyDescent="0.35">
      <c r="A1547" s="1">
        <v>45343</v>
      </c>
      <c r="B1547" t="s">
        <v>33</v>
      </c>
      <c r="C1547" t="s">
        <v>34</v>
      </c>
      <c r="D1547" t="s">
        <v>24</v>
      </c>
      <c r="E1547" t="s">
        <v>25</v>
      </c>
      <c r="F1547">
        <v>50</v>
      </c>
      <c r="G1547">
        <v>56.9</v>
      </c>
      <c r="H1547" t="s">
        <v>48</v>
      </c>
      <c r="I1547" t="s">
        <v>50</v>
      </c>
    </row>
    <row r="1548" spans="1:9" x14ac:dyDescent="0.35">
      <c r="A1548" s="1">
        <v>45343</v>
      </c>
      <c r="B1548" t="s">
        <v>33</v>
      </c>
      <c r="C1548" t="s">
        <v>34</v>
      </c>
      <c r="D1548" t="s">
        <v>26</v>
      </c>
      <c r="E1548" t="s">
        <v>27</v>
      </c>
      <c r="F1548">
        <v>38</v>
      </c>
      <c r="G1548">
        <v>38.4</v>
      </c>
      <c r="H1548" t="s">
        <v>46</v>
      </c>
      <c r="I1548" t="s">
        <v>47</v>
      </c>
    </row>
    <row r="1549" spans="1:9" x14ac:dyDescent="0.35">
      <c r="A1549" s="1">
        <v>45343</v>
      </c>
      <c r="B1549" t="s">
        <v>33</v>
      </c>
      <c r="C1549" t="s">
        <v>34</v>
      </c>
      <c r="D1549" t="s">
        <v>28</v>
      </c>
      <c r="E1549" t="s">
        <v>29</v>
      </c>
      <c r="F1549">
        <v>32</v>
      </c>
      <c r="G1549">
        <v>33.799999999999997</v>
      </c>
      <c r="H1549" t="s">
        <v>46</v>
      </c>
      <c r="I1549" t="s">
        <v>47</v>
      </c>
    </row>
    <row r="1550" spans="1:9" x14ac:dyDescent="0.35">
      <c r="A1550" s="1">
        <v>45343</v>
      </c>
      <c r="B1550" t="s">
        <v>36</v>
      </c>
      <c r="C1550" t="s">
        <v>37</v>
      </c>
      <c r="D1550" t="s">
        <v>15</v>
      </c>
      <c r="E1550" t="s">
        <v>16</v>
      </c>
      <c r="F1550">
        <v>34</v>
      </c>
      <c r="G1550">
        <v>35</v>
      </c>
      <c r="H1550" t="s">
        <v>46</v>
      </c>
      <c r="I1550" t="s">
        <v>47</v>
      </c>
    </row>
    <row r="1551" spans="1:9" x14ac:dyDescent="0.35">
      <c r="A1551" s="1">
        <v>45343</v>
      </c>
      <c r="B1551" t="s">
        <v>36</v>
      </c>
      <c r="C1551" t="s">
        <v>37</v>
      </c>
      <c r="D1551" t="s">
        <v>18</v>
      </c>
      <c r="E1551" t="s">
        <v>19</v>
      </c>
      <c r="F1551">
        <v>38</v>
      </c>
      <c r="G1551">
        <v>37.6</v>
      </c>
      <c r="H1551" t="s">
        <v>46</v>
      </c>
      <c r="I1551" t="s">
        <v>47</v>
      </c>
    </row>
    <row r="1552" spans="1:9" x14ac:dyDescent="0.35">
      <c r="A1552" s="1">
        <v>45343</v>
      </c>
      <c r="B1552" t="s">
        <v>36</v>
      </c>
      <c r="C1552" t="s">
        <v>37</v>
      </c>
      <c r="D1552" t="s">
        <v>21</v>
      </c>
      <c r="E1552" t="s">
        <v>22</v>
      </c>
      <c r="F1552">
        <v>32</v>
      </c>
      <c r="G1552">
        <v>34.299999999999997</v>
      </c>
      <c r="H1552" t="s">
        <v>46</v>
      </c>
      <c r="I1552" t="s">
        <v>47</v>
      </c>
    </row>
    <row r="1553" spans="1:9" x14ac:dyDescent="0.35">
      <c r="A1553" s="1">
        <v>45343</v>
      </c>
      <c r="B1553" t="s">
        <v>36</v>
      </c>
      <c r="C1553" t="s">
        <v>37</v>
      </c>
      <c r="D1553" t="s">
        <v>24</v>
      </c>
      <c r="E1553" t="s">
        <v>25</v>
      </c>
      <c r="F1553">
        <v>50</v>
      </c>
      <c r="G1553">
        <v>57.6</v>
      </c>
      <c r="H1553" t="s">
        <v>48</v>
      </c>
      <c r="I1553" t="s">
        <v>50</v>
      </c>
    </row>
    <row r="1554" spans="1:9" x14ac:dyDescent="0.35">
      <c r="A1554" s="1">
        <v>45343</v>
      </c>
      <c r="B1554" t="s">
        <v>36</v>
      </c>
      <c r="C1554" t="s">
        <v>37</v>
      </c>
      <c r="D1554" t="s">
        <v>26</v>
      </c>
      <c r="E1554" t="s">
        <v>27</v>
      </c>
      <c r="F1554">
        <v>38</v>
      </c>
      <c r="G1554">
        <v>40.1</v>
      </c>
      <c r="H1554" t="s">
        <v>46</v>
      </c>
      <c r="I1554" t="s">
        <v>47</v>
      </c>
    </row>
    <row r="1555" spans="1:9" x14ac:dyDescent="0.35">
      <c r="A1555" s="1">
        <v>45343</v>
      </c>
      <c r="B1555" t="s">
        <v>36</v>
      </c>
      <c r="C1555" t="s">
        <v>37</v>
      </c>
      <c r="D1555" t="s">
        <v>28</v>
      </c>
      <c r="E1555" t="s">
        <v>29</v>
      </c>
      <c r="F1555">
        <v>32</v>
      </c>
      <c r="G1555">
        <v>44.7</v>
      </c>
      <c r="H1555" t="s">
        <v>48</v>
      </c>
      <c r="I1555" t="s">
        <v>49</v>
      </c>
    </row>
    <row r="1556" spans="1:9" x14ac:dyDescent="0.35">
      <c r="A1556" s="1">
        <v>45343</v>
      </c>
      <c r="B1556" t="s">
        <v>39</v>
      </c>
      <c r="C1556" t="s">
        <v>40</v>
      </c>
      <c r="D1556" t="s">
        <v>15</v>
      </c>
      <c r="E1556" t="s">
        <v>16</v>
      </c>
      <c r="F1556">
        <v>34</v>
      </c>
      <c r="G1556">
        <v>34.1</v>
      </c>
      <c r="H1556" t="s">
        <v>46</v>
      </c>
      <c r="I1556" t="s">
        <v>47</v>
      </c>
    </row>
    <row r="1557" spans="1:9" x14ac:dyDescent="0.35">
      <c r="A1557" s="1">
        <v>45343</v>
      </c>
      <c r="B1557" t="s">
        <v>39</v>
      </c>
      <c r="C1557" t="s">
        <v>40</v>
      </c>
      <c r="D1557" t="s">
        <v>18</v>
      </c>
      <c r="E1557" t="s">
        <v>19</v>
      </c>
      <c r="F1557">
        <v>38</v>
      </c>
      <c r="G1557">
        <v>46.1</v>
      </c>
      <c r="H1557" t="s">
        <v>48</v>
      </c>
      <c r="I1557" t="s">
        <v>50</v>
      </c>
    </row>
    <row r="1558" spans="1:9" x14ac:dyDescent="0.35">
      <c r="A1558" s="1">
        <v>45343</v>
      </c>
      <c r="B1558" t="s">
        <v>39</v>
      </c>
      <c r="C1558" t="s">
        <v>40</v>
      </c>
      <c r="D1558" t="s">
        <v>21</v>
      </c>
      <c r="E1558" t="s">
        <v>22</v>
      </c>
      <c r="F1558">
        <v>32</v>
      </c>
      <c r="G1558">
        <v>32.700000000000003</v>
      </c>
      <c r="H1558" t="s">
        <v>46</v>
      </c>
      <c r="I1558" t="s">
        <v>47</v>
      </c>
    </row>
    <row r="1559" spans="1:9" x14ac:dyDescent="0.35">
      <c r="A1559" s="1">
        <v>45343</v>
      </c>
      <c r="B1559" t="s">
        <v>39</v>
      </c>
      <c r="C1559" t="s">
        <v>40</v>
      </c>
      <c r="D1559" t="s">
        <v>24</v>
      </c>
      <c r="E1559" t="s">
        <v>25</v>
      </c>
      <c r="F1559">
        <v>50</v>
      </c>
      <c r="G1559">
        <v>50</v>
      </c>
      <c r="H1559" t="s">
        <v>46</v>
      </c>
      <c r="I1559" t="s">
        <v>47</v>
      </c>
    </row>
    <row r="1560" spans="1:9" x14ac:dyDescent="0.35">
      <c r="A1560" s="1">
        <v>45343</v>
      </c>
      <c r="B1560" t="s">
        <v>39</v>
      </c>
      <c r="C1560" t="s">
        <v>40</v>
      </c>
      <c r="D1560" t="s">
        <v>26</v>
      </c>
      <c r="E1560" t="s">
        <v>27</v>
      </c>
      <c r="F1560">
        <v>38</v>
      </c>
      <c r="G1560">
        <v>39.1</v>
      </c>
      <c r="H1560" t="s">
        <v>46</v>
      </c>
      <c r="I1560" t="s">
        <v>47</v>
      </c>
    </row>
    <row r="1561" spans="1:9" x14ac:dyDescent="0.35">
      <c r="A1561" s="1">
        <v>45343</v>
      </c>
      <c r="B1561" t="s">
        <v>39</v>
      </c>
      <c r="C1561" t="s">
        <v>40</v>
      </c>
      <c r="D1561" t="s">
        <v>28</v>
      </c>
      <c r="E1561" t="s">
        <v>29</v>
      </c>
      <c r="F1561">
        <v>32</v>
      </c>
      <c r="G1561">
        <v>31.6</v>
      </c>
      <c r="H1561" t="s">
        <v>46</v>
      </c>
      <c r="I1561" t="s">
        <v>47</v>
      </c>
    </row>
    <row r="1562" spans="1:9" x14ac:dyDescent="0.35">
      <c r="A1562" s="1">
        <v>45344</v>
      </c>
      <c r="B1562" t="s">
        <v>12</v>
      </c>
      <c r="C1562" t="s">
        <v>13</v>
      </c>
      <c r="D1562" t="s">
        <v>15</v>
      </c>
      <c r="E1562" t="s">
        <v>16</v>
      </c>
      <c r="F1562">
        <v>34</v>
      </c>
      <c r="G1562">
        <v>36.700000000000003</v>
      </c>
      <c r="H1562" t="s">
        <v>46</v>
      </c>
      <c r="I1562" t="s">
        <v>47</v>
      </c>
    </row>
    <row r="1563" spans="1:9" x14ac:dyDescent="0.35">
      <c r="A1563" s="1">
        <v>45344</v>
      </c>
      <c r="B1563" t="s">
        <v>12</v>
      </c>
      <c r="C1563" t="s">
        <v>13</v>
      </c>
      <c r="D1563" t="s">
        <v>18</v>
      </c>
      <c r="E1563" t="s">
        <v>19</v>
      </c>
      <c r="F1563">
        <v>38</v>
      </c>
      <c r="G1563">
        <v>40.799999999999997</v>
      </c>
      <c r="H1563" t="s">
        <v>46</v>
      </c>
      <c r="I1563" t="s">
        <v>47</v>
      </c>
    </row>
    <row r="1564" spans="1:9" x14ac:dyDescent="0.35">
      <c r="A1564" s="1">
        <v>45344</v>
      </c>
      <c r="B1564" t="s">
        <v>12</v>
      </c>
      <c r="C1564" t="s">
        <v>13</v>
      </c>
      <c r="D1564" t="s">
        <v>21</v>
      </c>
      <c r="E1564" t="s">
        <v>22</v>
      </c>
      <c r="F1564">
        <v>32</v>
      </c>
      <c r="G1564">
        <v>33.700000000000003</v>
      </c>
      <c r="H1564" t="s">
        <v>46</v>
      </c>
      <c r="I1564" t="s">
        <v>47</v>
      </c>
    </row>
    <row r="1565" spans="1:9" x14ac:dyDescent="0.35">
      <c r="A1565" s="1">
        <v>45344</v>
      </c>
      <c r="B1565" t="s">
        <v>12</v>
      </c>
      <c r="C1565" t="s">
        <v>13</v>
      </c>
      <c r="D1565" t="s">
        <v>24</v>
      </c>
      <c r="E1565" t="s">
        <v>25</v>
      </c>
      <c r="F1565">
        <v>50</v>
      </c>
      <c r="G1565">
        <v>50.8</v>
      </c>
      <c r="H1565" t="s">
        <v>46</v>
      </c>
      <c r="I1565" t="s">
        <v>47</v>
      </c>
    </row>
    <row r="1566" spans="1:9" x14ac:dyDescent="0.35">
      <c r="A1566" s="1">
        <v>45344</v>
      </c>
      <c r="B1566" t="s">
        <v>12</v>
      </c>
      <c r="C1566" t="s">
        <v>13</v>
      </c>
      <c r="D1566" t="s">
        <v>26</v>
      </c>
      <c r="E1566" t="s">
        <v>27</v>
      </c>
      <c r="F1566">
        <v>38</v>
      </c>
      <c r="G1566">
        <v>39.9</v>
      </c>
      <c r="H1566" t="s">
        <v>46</v>
      </c>
      <c r="I1566" t="s">
        <v>47</v>
      </c>
    </row>
    <row r="1567" spans="1:9" x14ac:dyDescent="0.35">
      <c r="A1567" s="1">
        <v>45344</v>
      </c>
      <c r="B1567" t="s">
        <v>12</v>
      </c>
      <c r="C1567" t="s">
        <v>13</v>
      </c>
      <c r="D1567" t="s">
        <v>28</v>
      </c>
      <c r="E1567" t="s">
        <v>29</v>
      </c>
      <c r="F1567">
        <v>32</v>
      </c>
      <c r="G1567">
        <v>31.3</v>
      </c>
      <c r="H1567" t="s">
        <v>46</v>
      </c>
      <c r="I1567" t="s">
        <v>47</v>
      </c>
    </row>
    <row r="1568" spans="1:9" x14ac:dyDescent="0.35">
      <c r="A1568" s="1">
        <v>45344</v>
      </c>
      <c r="B1568" t="s">
        <v>30</v>
      </c>
      <c r="C1568" t="s">
        <v>31</v>
      </c>
      <c r="D1568" t="s">
        <v>15</v>
      </c>
      <c r="E1568" t="s">
        <v>16</v>
      </c>
      <c r="F1568">
        <v>34</v>
      </c>
      <c r="G1568">
        <v>34.6</v>
      </c>
      <c r="H1568" t="s">
        <v>46</v>
      </c>
      <c r="I1568" t="s">
        <v>47</v>
      </c>
    </row>
    <row r="1569" spans="1:9" x14ac:dyDescent="0.35">
      <c r="A1569" s="1">
        <v>45344</v>
      </c>
      <c r="B1569" t="s">
        <v>30</v>
      </c>
      <c r="C1569" t="s">
        <v>31</v>
      </c>
      <c r="D1569" t="s">
        <v>18</v>
      </c>
      <c r="E1569" t="s">
        <v>19</v>
      </c>
      <c r="F1569">
        <v>38</v>
      </c>
      <c r="G1569">
        <v>38.700000000000003</v>
      </c>
      <c r="H1569" t="s">
        <v>46</v>
      </c>
      <c r="I1569" t="s">
        <v>47</v>
      </c>
    </row>
    <row r="1570" spans="1:9" x14ac:dyDescent="0.35">
      <c r="A1570" s="1">
        <v>45344</v>
      </c>
      <c r="B1570" t="s">
        <v>30</v>
      </c>
      <c r="C1570" t="s">
        <v>31</v>
      </c>
      <c r="D1570" t="s">
        <v>21</v>
      </c>
      <c r="E1570" t="s">
        <v>22</v>
      </c>
      <c r="F1570">
        <v>32</v>
      </c>
      <c r="G1570">
        <v>31.1</v>
      </c>
      <c r="H1570" t="s">
        <v>46</v>
      </c>
      <c r="I1570" t="s">
        <v>47</v>
      </c>
    </row>
    <row r="1571" spans="1:9" x14ac:dyDescent="0.35">
      <c r="A1571" s="1">
        <v>45344</v>
      </c>
      <c r="B1571" t="s">
        <v>30</v>
      </c>
      <c r="C1571" t="s">
        <v>31</v>
      </c>
      <c r="D1571" t="s">
        <v>24</v>
      </c>
      <c r="E1571" t="s">
        <v>25</v>
      </c>
      <c r="F1571">
        <v>50</v>
      </c>
      <c r="G1571">
        <v>49.6</v>
      </c>
      <c r="H1571" t="s">
        <v>46</v>
      </c>
      <c r="I1571" t="s">
        <v>47</v>
      </c>
    </row>
    <row r="1572" spans="1:9" x14ac:dyDescent="0.35">
      <c r="A1572" s="1">
        <v>45344</v>
      </c>
      <c r="B1572" t="s">
        <v>30</v>
      </c>
      <c r="C1572" t="s">
        <v>31</v>
      </c>
      <c r="D1572" t="s">
        <v>26</v>
      </c>
      <c r="E1572" t="s">
        <v>27</v>
      </c>
      <c r="F1572">
        <v>38</v>
      </c>
      <c r="G1572">
        <v>40.9</v>
      </c>
      <c r="H1572" t="s">
        <v>46</v>
      </c>
      <c r="I1572" t="s">
        <v>47</v>
      </c>
    </row>
    <row r="1573" spans="1:9" x14ac:dyDescent="0.35">
      <c r="A1573" s="1">
        <v>45344</v>
      </c>
      <c r="B1573" t="s">
        <v>30</v>
      </c>
      <c r="C1573" t="s">
        <v>31</v>
      </c>
      <c r="D1573" t="s">
        <v>28</v>
      </c>
      <c r="E1573" t="s">
        <v>29</v>
      </c>
      <c r="F1573">
        <v>32</v>
      </c>
      <c r="G1573">
        <v>34.200000000000003</v>
      </c>
      <c r="H1573" t="s">
        <v>46</v>
      </c>
      <c r="I1573" t="s">
        <v>47</v>
      </c>
    </row>
    <row r="1574" spans="1:9" x14ac:dyDescent="0.35">
      <c r="A1574" s="1">
        <v>45344</v>
      </c>
      <c r="B1574" t="s">
        <v>33</v>
      </c>
      <c r="C1574" t="s">
        <v>34</v>
      </c>
      <c r="D1574" t="s">
        <v>15</v>
      </c>
      <c r="E1574" t="s">
        <v>16</v>
      </c>
      <c r="F1574">
        <v>34</v>
      </c>
      <c r="G1574">
        <v>36.9</v>
      </c>
      <c r="H1574" t="s">
        <v>46</v>
      </c>
      <c r="I1574" t="s">
        <v>47</v>
      </c>
    </row>
    <row r="1575" spans="1:9" x14ac:dyDescent="0.35">
      <c r="A1575" s="1">
        <v>45344</v>
      </c>
      <c r="B1575" t="s">
        <v>33</v>
      </c>
      <c r="C1575" t="s">
        <v>34</v>
      </c>
      <c r="D1575" t="s">
        <v>18</v>
      </c>
      <c r="E1575" t="s">
        <v>19</v>
      </c>
      <c r="F1575">
        <v>38</v>
      </c>
      <c r="G1575">
        <v>40.5</v>
      </c>
      <c r="H1575" t="s">
        <v>46</v>
      </c>
      <c r="I1575" t="s">
        <v>47</v>
      </c>
    </row>
    <row r="1576" spans="1:9" x14ac:dyDescent="0.35">
      <c r="A1576" s="1">
        <v>45344</v>
      </c>
      <c r="B1576" t="s">
        <v>33</v>
      </c>
      <c r="C1576" t="s">
        <v>34</v>
      </c>
      <c r="D1576" t="s">
        <v>21</v>
      </c>
      <c r="E1576" t="s">
        <v>22</v>
      </c>
      <c r="F1576">
        <v>32</v>
      </c>
      <c r="G1576">
        <v>34.5</v>
      </c>
      <c r="H1576" t="s">
        <v>46</v>
      </c>
      <c r="I1576" t="s">
        <v>47</v>
      </c>
    </row>
    <row r="1577" spans="1:9" x14ac:dyDescent="0.35">
      <c r="A1577" s="1">
        <v>45344</v>
      </c>
      <c r="B1577" t="s">
        <v>33</v>
      </c>
      <c r="C1577" t="s">
        <v>34</v>
      </c>
      <c r="D1577" t="s">
        <v>24</v>
      </c>
      <c r="E1577" t="s">
        <v>25</v>
      </c>
      <c r="F1577">
        <v>50</v>
      </c>
      <c r="G1577">
        <v>50.3</v>
      </c>
      <c r="H1577" t="s">
        <v>46</v>
      </c>
      <c r="I1577" t="s">
        <v>47</v>
      </c>
    </row>
    <row r="1578" spans="1:9" x14ac:dyDescent="0.35">
      <c r="A1578" s="1">
        <v>45344</v>
      </c>
      <c r="B1578" t="s">
        <v>33</v>
      </c>
      <c r="C1578" t="s">
        <v>34</v>
      </c>
      <c r="D1578" t="s">
        <v>26</v>
      </c>
      <c r="E1578" t="s">
        <v>27</v>
      </c>
      <c r="F1578">
        <v>38</v>
      </c>
      <c r="G1578">
        <v>40.299999999999997</v>
      </c>
      <c r="H1578" t="s">
        <v>46</v>
      </c>
      <c r="I1578" t="s">
        <v>47</v>
      </c>
    </row>
    <row r="1579" spans="1:9" x14ac:dyDescent="0.35">
      <c r="A1579" s="1">
        <v>45344</v>
      </c>
      <c r="B1579" t="s">
        <v>33</v>
      </c>
      <c r="C1579" t="s">
        <v>34</v>
      </c>
      <c r="D1579" t="s">
        <v>28</v>
      </c>
      <c r="E1579" t="s">
        <v>29</v>
      </c>
      <c r="F1579">
        <v>32</v>
      </c>
      <c r="G1579">
        <v>33.4</v>
      </c>
      <c r="H1579" t="s">
        <v>46</v>
      </c>
      <c r="I1579" t="s">
        <v>47</v>
      </c>
    </row>
    <row r="1580" spans="1:9" x14ac:dyDescent="0.35">
      <c r="A1580" s="1">
        <v>45344</v>
      </c>
      <c r="B1580" t="s">
        <v>36</v>
      </c>
      <c r="C1580" t="s">
        <v>37</v>
      </c>
      <c r="D1580" t="s">
        <v>15</v>
      </c>
      <c r="E1580" t="s">
        <v>16</v>
      </c>
      <c r="F1580">
        <v>34</v>
      </c>
      <c r="G1580">
        <v>43.2</v>
      </c>
      <c r="H1580" t="s">
        <v>48</v>
      </c>
      <c r="I1580" t="s">
        <v>50</v>
      </c>
    </row>
    <row r="1581" spans="1:9" x14ac:dyDescent="0.35">
      <c r="A1581" s="1">
        <v>45344</v>
      </c>
      <c r="B1581" t="s">
        <v>36</v>
      </c>
      <c r="C1581" t="s">
        <v>37</v>
      </c>
      <c r="D1581" t="s">
        <v>18</v>
      </c>
      <c r="E1581" t="s">
        <v>19</v>
      </c>
      <c r="F1581">
        <v>38</v>
      </c>
      <c r="G1581">
        <v>40.6</v>
      </c>
      <c r="H1581" t="s">
        <v>46</v>
      </c>
      <c r="I1581" t="s">
        <v>47</v>
      </c>
    </row>
    <row r="1582" spans="1:9" x14ac:dyDescent="0.35">
      <c r="A1582" s="1">
        <v>45344</v>
      </c>
      <c r="B1582" t="s">
        <v>36</v>
      </c>
      <c r="C1582" t="s">
        <v>37</v>
      </c>
      <c r="D1582" t="s">
        <v>21</v>
      </c>
      <c r="E1582" t="s">
        <v>22</v>
      </c>
      <c r="F1582">
        <v>32</v>
      </c>
      <c r="G1582">
        <v>33.5</v>
      </c>
      <c r="H1582" t="s">
        <v>46</v>
      </c>
      <c r="I1582" t="s">
        <v>47</v>
      </c>
    </row>
    <row r="1583" spans="1:9" x14ac:dyDescent="0.35">
      <c r="A1583" s="1">
        <v>45344</v>
      </c>
      <c r="B1583" t="s">
        <v>36</v>
      </c>
      <c r="C1583" t="s">
        <v>37</v>
      </c>
      <c r="D1583" t="s">
        <v>24</v>
      </c>
      <c r="E1583" t="s">
        <v>25</v>
      </c>
      <c r="F1583">
        <v>50</v>
      </c>
      <c r="G1583">
        <v>50.4</v>
      </c>
      <c r="H1583" t="s">
        <v>46</v>
      </c>
      <c r="I1583" t="s">
        <v>47</v>
      </c>
    </row>
    <row r="1584" spans="1:9" x14ac:dyDescent="0.35">
      <c r="A1584" s="1">
        <v>45344</v>
      </c>
      <c r="B1584" t="s">
        <v>36</v>
      </c>
      <c r="C1584" t="s">
        <v>37</v>
      </c>
      <c r="D1584" t="s">
        <v>26</v>
      </c>
      <c r="E1584" t="s">
        <v>27</v>
      </c>
      <c r="F1584">
        <v>38</v>
      </c>
      <c r="G1584">
        <v>39.6</v>
      </c>
      <c r="H1584" t="s">
        <v>46</v>
      </c>
      <c r="I1584" t="s">
        <v>47</v>
      </c>
    </row>
    <row r="1585" spans="1:9" x14ac:dyDescent="0.35">
      <c r="A1585" s="1">
        <v>45344</v>
      </c>
      <c r="B1585" t="s">
        <v>36</v>
      </c>
      <c r="C1585" t="s">
        <v>37</v>
      </c>
      <c r="D1585" t="s">
        <v>28</v>
      </c>
      <c r="E1585" t="s">
        <v>29</v>
      </c>
      <c r="F1585">
        <v>32</v>
      </c>
      <c r="G1585">
        <v>34.5</v>
      </c>
      <c r="H1585" t="s">
        <v>46</v>
      </c>
      <c r="I1585" t="s">
        <v>47</v>
      </c>
    </row>
    <row r="1586" spans="1:9" x14ac:dyDescent="0.35">
      <c r="A1586" s="1">
        <v>45344</v>
      </c>
      <c r="B1586" t="s">
        <v>39</v>
      </c>
      <c r="C1586" t="s">
        <v>40</v>
      </c>
      <c r="D1586" t="s">
        <v>15</v>
      </c>
      <c r="E1586" t="s">
        <v>16</v>
      </c>
      <c r="F1586">
        <v>34</v>
      </c>
      <c r="G1586">
        <v>44.3</v>
      </c>
      <c r="H1586" t="s">
        <v>48</v>
      </c>
      <c r="I1586" t="s">
        <v>49</v>
      </c>
    </row>
    <row r="1587" spans="1:9" x14ac:dyDescent="0.35">
      <c r="A1587" s="1">
        <v>45344</v>
      </c>
      <c r="B1587" t="s">
        <v>39</v>
      </c>
      <c r="C1587" t="s">
        <v>40</v>
      </c>
      <c r="D1587" t="s">
        <v>18</v>
      </c>
      <c r="E1587" t="s">
        <v>19</v>
      </c>
      <c r="F1587">
        <v>38</v>
      </c>
      <c r="G1587">
        <v>39.9</v>
      </c>
      <c r="H1587" t="s">
        <v>46</v>
      </c>
      <c r="I1587" t="s">
        <v>47</v>
      </c>
    </row>
    <row r="1588" spans="1:9" x14ac:dyDescent="0.35">
      <c r="A1588" s="1">
        <v>45344</v>
      </c>
      <c r="B1588" t="s">
        <v>39</v>
      </c>
      <c r="C1588" t="s">
        <v>40</v>
      </c>
      <c r="D1588" t="s">
        <v>21</v>
      </c>
      <c r="E1588" t="s">
        <v>22</v>
      </c>
      <c r="F1588">
        <v>32</v>
      </c>
      <c r="G1588">
        <v>33.1</v>
      </c>
      <c r="H1588" t="s">
        <v>46</v>
      </c>
      <c r="I1588" t="s">
        <v>47</v>
      </c>
    </row>
    <row r="1589" spans="1:9" x14ac:dyDescent="0.35">
      <c r="A1589" s="1">
        <v>45344</v>
      </c>
      <c r="B1589" t="s">
        <v>39</v>
      </c>
      <c r="C1589" t="s">
        <v>40</v>
      </c>
      <c r="D1589" t="s">
        <v>24</v>
      </c>
      <c r="E1589" t="s">
        <v>25</v>
      </c>
      <c r="F1589">
        <v>50</v>
      </c>
      <c r="G1589">
        <v>49.9</v>
      </c>
      <c r="H1589" t="s">
        <v>46</v>
      </c>
      <c r="I1589" t="s">
        <v>47</v>
      </c>
    </row>
    <row r="1590" spans="1:9" x14ac:dyDescent="0.35">
      <c r="A1590" s="1">
        <v>45344</v>
      </c>
      <c r="B1590" t="s">
        <v>39</v>
      </c>
      <c r="C1590" t="s">
        <v>40</v>
      </c>
      <c r="D1590" t="s">
        <v>26</v>
      </c>
      <c r="E1590" t="s">
        <v>27</v>
      </c>
      <c r="F1590">
        <v>38</v>
      </c>
      <c r="G1590">
        <v>38.200000000000003</v>
      </c>
      <c r="H1590" t="s">
        <v>46</v>
      </c>
      <c r="I1590" t="s">
        <v>47</v>
      </c>
    </row>
    <row r="1591" spans="1:9" x14ac:dyDescent="0.35">
      <c r="A1591" s="1">
        <v>45344</v>
      </c>
      <c r="B1591" t="s">
        <v>39</v>
      </c>
      <c r="C1591" t="s">
        <v>40</v>
      </c>
      <c r="D1591" t="s">
        <v>28</v>
      </c>
      <c r="E1591" t="s">
        <v>29</v>
      </c>
      <c r="F1591">
        <v>32</v>
      </c>
      <c r="G1591">
        <v>33.5</v>
      </c>
      <c r="H1591" t="s">
        <v>46</v>
      </c>
      <c r="I1591" t="s">
        <v>47</v>
      </c>
    </row>
    <row r="1592" spans="1:9" x14ac:dyDescent="0.35">
      <c r="A1592" s="1">
        <v>45345</v>
      </c>
      <c r="B1592" t="s">
        <v>12</v>
      </c>
      <c r="C1592" t="s">
        <v>13</v>
      </c>
      <c r="D1592" t="s">
        <v>15</v>
      </c>
      <c r="E1592" t="s">
        <v>16</v>
      </c>
      <c r="F1592">
        <v>34</v>
      </c>
      <c r="G1592">
        <v>47.1</v>
      </c>
      <c r="H1592" t="s">
        <v>48</v>
      </c>
      <c r="I1592" t="s">
        <v>49</v>
      </c>
    </row>
    <row r="1593" spans="1:9" x14ac:dyDescent="0.35">
      <c r="A1593" s="1">
        <v>45345</v>
      </c>
      <c r="B1593" t="s">
        <v>12</v>
      </c>
      <c r="C1593" t="s">
        <v>13</v>
      </c>
      <c r="D1593" t="s">
        <v>18</v>
      </c>
      <c r="E1593" t="s">
        <v>19</v>
      </c>
      <c r="F1593">
        <v>38</v>
      </c>
      <c r="G1593">
        <v>38</v>
      </c>
      <c r="H1593" t="s">
        <v>46</v>
      </c>
      <c r="I1593" t="s">
        <v>47</v>
      </c>
    </row>
    <row r="1594" spans="1:9" x14ac:dyDescent="0.35">
      <c r="A1594" s="1">
        <v>45345</v>
      </c>
      <c r="B1594" t="s">
        <v>12</v>
      </c>
      <c r="C1594" t="s">
        <v>13</v>
      </c>
      <c r="D1594" t="s">
        <v>21</v>
      </c>
      <c r="E1594" t="s">
        <v>22</v>
      </c>
      <c r="F1594">
        <v>32</v>
      </c>
      <c r="G1594">
        <v>32.200000000000003</v>
      </c>
      <c r="H1594" t="s">
        <v>46</v>
      </c>
      <c r="I1594" t="s">
        <v>47</v>
      </c>
    </row>
    <row r="1595" spans="1:9" x14ac:dyDescent="0.35">
      <c r="A1595" s="1">
        <v>45345</v>
      </c>
      <c r="B1595" t="s">
        <v>12</v>
      </c>
      <c r="C1595" t="s">
        <v>13</v>
      </c>
      <c r="D1595" t="s">
        <v>24</v>
      </c>
      <c r="E1595" t="s">
        <v>25</v>
      </c>
      <c r="F1595">
        <v>50</v>
      </c>
      <c r="G1595">
        <v>51</v>
      </c>
      <c r="H1595" t="s">
        <v>46</v>
      </c>
      <c r="I1595" t="s">
        <v>47</v>
      </c>
    </row>
    <row r="1596" spans="1:9" x14ac:dyDescent="0.35">
      <c r="A1596" s="1">
        <v>45345</v>
      </c>
      <c r="B1596" t="s">
        <v>12</v>
      </c>
      <c r="C1596" t="s">
        <v>13</v>
      </c>
      <c r="D1596" t="s">
        <v>26</v>
      </c>
      <c r="E1596" t="s">
        <v>27</v>
      </c>
      <c r="F1596">
        <v>38</v>
      </c>
      <c r="G1596">
        <v>40.4</v>
      </c>
      <c r="H1596" t="s">
        <v>46</v>
      </c>
      <c r="I1596" t="s">
        <v>47</v>
      </c>
    </row>
    <row r="1597" spans="1:9" x14ac:dyDescent="0.35">
      <c r="A1597" s="1">
        <v>45345</v>
      </c>
      <c r="B1597" t="s">
        <v>12</v>
      </c>
      <c r="C1597" t="s">
        <v>13</v>
      </c>
      <c r="D1597" t="s">
        <v>28</v>
      </c>
      <c r="E1597" t="s">
        <v>29</v>
      </c>
      <c r="F1597">
        <v>32</v>
      </c>
      <c r="G1597">
        <v>33</v>
      </c>
      <c r="H1597" t="s">
        <v>46</v>
      </c>
      <c r="I1597" t="s">
        <v>47</v>
      </c>
    </row>
    <row r="1598" spans="1:9" x14ac:dyDescent="0.35">
      <c r="A1598" s="1">
        <v>45345</v>
      </c>
      <c r="B1598" t="s">
        <v>30</v>
      </c>
      <c r="C1598" t="s">
        <v>31</v>
      </c>
      <c r="D1598" t="s">
        <v>15</v>
      </c>
      <c r="E1598" t="s">
        <v>16</v>
      </c>
      <c r="F1598">
        <v>34</v>
      </c>
      <c r="G1598">
        <v>46.1</v>
      </c>
      <c r="H1598" t="s">
        <v>48</v>
      </c>
      <c r="I1598" t="s">
        <v>49</v>
      </c>
    </row>
    <row r="1599" spans="1:9" x14ac:dyDescent="0.35">
      <c r="A1599" s="1">
        <v>45345</v>
      </c>
      <c r="B1599" t="s">
        <v>30</v>
      </c>
      <c r="C1599" t="s">
        <v>31</v>
      </c>
      <c r="D1599" t="s">
        <v>18</v>
      </c>
      <c r="E1599" t="s">
        <v>19</v>
      </c>
      <c r="F1599">
        <v>38</v>
      </c>
      <c r="G1599">
        <v>38.799999999999997</v>
      </c>
      <c r="H1599" t="s">
        <v>46</v>
      </c>
      <c r="I1599" t="s">
        <v>47</v>
      </c>
    </row>
    <row r="1600" spans="1:9" x14ac:dyDescent="0.35">
      <c r="A1600" s="1">
        <v>45345</v>
      </c>
      <c r="B1600" t="s">
        <v>30</v>
      </c>
      <c r="C1600" t="s">
        <v>31</v>
      </c>
      <c r="D1600" t="s">
        <v>21</v>
      </c>
      <c r="E1600" t="s">
        <v>22</v>
      </c>
      <c r="F1600">
        <v>32</v>
      </c>
      <c r="G1600">
        <v>31</v>
      </c>
      <c r="H1600" t="s">
        <v>46</v>
      </c>
      <c r="I1600" t="s">
        <v>47</v>
      </c>
    </row>
    <row r="1601" spans="1:9" x14ac:dyDescent="0.35">
      <c r="A1601" s="1">
        <v>45345</v>
      </c>
      <c r="B1601" t="s">
        <v>30</v>
      </c>
      <c r="C1601" t="s">
        <v>31</v>
      </c>
      <c r="D1601" t="s">
        <v>24</v>
      </c>
      <c r="E1601" t="s">
        <v>25</v>
      </c>
      <c r="F1601">
        <v>50</v>
      </c>
      <c r="G1601">
        <v>49.9</v>
      </c>
      <c r="H1601" t="s">
        <v>46</v>
      </c>
      <c r="I1601" t="s">
        <v>47</v>
      </c>
    </row>
    <row r="1602" spans="1:9" x14ac:dyDescent="0.35">
      <c r="A1602" s="1">
        <v>45345</v>
      </c>
      <c r="B1602" t="s">
        <v>30</v>
      </c>
      <c r="C1602" t="s">
        <v>31</v>
      </c>
      <c r="D1602" t="s">
        <v>26</v>
      </c>
      <c r="E1602" t="s">
        <v>27</v>
      </c>
      <c r="F1602">
        <v>38</v>
      </c>
      <c r="G1602">
        <v>39.299999999999997</v>
      </c>
      <c r="H1602" t="s">
        <v>46</v>
      </c>
      <c r="I1602" t="s">
        <v>47</v>
      </c>
    </row>
    <row r="1603" spans="1:9" x14ac:dyDescent="0.35">
      <c r="A1603" s="1">
        <v>45345</v>
      </c>
      <c r="B1603" t="s">
        <v>30</v>
      </c>
      <c r="C1603" t="s">
        <v>31</v>
      </c>
      <c r="D1603" t="s">
        <v>28</v>
      </c>
      <c r="E1603" t="s">
        <v>29</v>
      </c>
      <c r="F1603">
        <v>32</v>
      </c>
      <c r="G1603">
        <v>34.799999999999997</v>
      </c>
      <c r="H1603" t="s">
        <v>46</v>
      </c>
      <c r="I1603" t="s">
        <v>47</v>
      </c>
    </row>
    <row r="1604" spans="1:9" x14ac:dyDescent="0.35">
      <c r="A1604" s="1">
        <v>45345</v>
      </c>
      <c r="B1604" t="s">
        <v>33</v>
      </c>
      <c r="C1604" t="s">
        <v>34</v>
      </c>
      <c r="D1604" t="s">
        <v>15</v>
      </c>
      <c r="E1604" t="s">
        <v>16</v>
      </c>
      <c r="F1604">
        <v>34</v>
      </c>
      <c r="G1604">
        <v>36.4</v>
      </c>
      <c r="H1604" t="s">
        <v>46</v>
      </c>
      <c r="I1604" t="s">
        <v>47</v>
      </c>
    </row>
    <row r="1605" spans="1:9" x14ac:dyDescent="0.35">
      <c r="A1605" s="1">
        <v>45345</v>
      </c>
      <c r="B1605" t="s">
        <v>33</v>
      </c>
      <c r="C1605" t="s">
        <v>34</v>
      </c>
      <c r="D1605" t="s">
        <v>18</v>
      </c>
      <c r="E1605" t="s">
        <v>19</v>
      </c>
      <c r="F1605">
        <v>38</v>
      </c>
      <c r="G1605">
        <v>38.200000000000003</v>
      </c>
      <c r="H1605" t="s">
        <v>46</v>
      </c>
      <c r="I1605" t="s">
        <v>47</v>
      </c>
    </row>
    <row r="1606" spans="1:9" x14ac:dyDescent="0.35">
      <c r="A1606" s="1">
        <v>45345</v>
      </c>
      <c r="B1606" t="s">
        <v>33</v>
      </c>
      <c r="C1606" t="s">
        <v>34</v>
      </c>
      <c r="D1606" t="s">
        <v>21</v>
      </c>
      <c r="E1606" t="s">
        <v>22</v>
      </c>
      <c r="F1606">
        <v>32</v>
      </c>
      <c r="G1606">
        <v>34.299999999999997</v>
      </c>
      <c r="H1606" t="s">
        <v>46</v>
      </c>
      <c r="I1606" t="s">
        <v>47</v>
      </c>
    </row>
    <row r="1607" spans="1:9" x14ac:dyDescent="0.35">
      <c r="A1607" s="1">
        <v>45345</v>
      </c>
      <c r="B1607" t="s">
        <v>33</v>
      </c>
      <c r="C1607" t="s">
        <v>34</v>
      </c>
      <c r="D1607" t="s">
        <v>24</v>
      </c>
      <c r="E1607" t="s">
        <v>25</v>
      </c>
      <c r="F1607">
        <v>50</v>
      </c>
      <c r="G1607">
        <v>49.6</v>
      </c>
      <c r="H1607" t="s">
        <v>46</v>
      </c>
      <c r="I1607" t="s">
        <v>47</v>
      </c>
    </row>
    <row r="1608" spans="1:9" x14ac:dyDescent="0.35">
      <c r="A1608" s="1">
        <v>45345</v>
      </c>
      <c r="B1608" t="s">
        <v>33</v>
      </c>
      <c r="C1608" t="s">
        <v>34</v>
      </c>
      <c r="D1608" t="s">
        <v>26</v>
      </c>
      <c r="E1608" t="s">
        <v>27</v>
      </c>
      <c r="F1608">
        <v>38</v>
      </c>
      <c r="G1608">
        <v>40</v>
      </c>
      <c r="H1608" t="s">
        <v>46</v>
      </c>
      <c r="I1608" t="s">
        <v>47</v>
      </c>
    </row>
    <row r="1609" spans="1:9" x14ac:dyDescent="0.35">
      <c r="A1609" s="1">
        <v>45345</v>
      </c>
      <c r="B1609" t="s">
        <v>33</v>
      </c>
      <c r="C1609" t="s">
        <v>34</v>
      </c>
      <c r="D1609" t="s">
        <v>28</v>
      </c>
      <c r="E1609" t="s">
        <v>29</v>
      </c>
      <c r="F1609">
        <v>32</v>
      </c>
      <c r="G1609">
        <v>42.1</v>
      </c>
      <c r="H1609" t="s">
        <v>48</v>
      </c>
      <c r="I1609" t="s">
        <v>49</v>
      </c>
    </row>
    <row r="1610" spans="1:9" x14ac:dyDescent="0.35">
      <c r="A1610" s="1">
        <v>45345</v>
      </c>
      <c r="B1610" t="s">
        <v>36</v>
      </c>
      <c r="C1610" t="s">
        <v>37</v>
      </c>
      <c r="D1610" t="s">
        <v>15</v>
      </c>
      <c r="E1610" t="s">
        <v>16</v>
      </c>
      <c r="F1610">
        <v>34</v>
      </c>
      <c r="G1610">
        <v>36.1</v>
      </c>
      <c r="H1610" t="s">
        <v>46</v>
      </c>
      <c r="I1610" t="s">
        <v>47</v>
      </c>
    </row>
    <row r="1611" spans="1:9" x14ac:dyDescent="0.35">
      <c r="A1611" s="1">
        <v>45345</v>
      </c>
      <c r="B1611" t="s">
        <v>36</v>
      </c>
      <c r="C1611" t="s">
        <v>37</v>
      </c>
      <c r="D1611" t="s">
        <v>18</v>
      </c>
      <c r="E1611" t="s">
        <v>19</v>
      </c>
      <c r="F1611">
        <v>38</v>
      </c>
      <c r="G1611">
        <v>37.6</v>
      </c>
      <c r="H1611" t="s">
        <v>46</v>
      </c>
      <c r="I1611" t="s">
        <v>47</v>
      </c>
    </row>
    <row r="1612" spans="1:9" x14ac:dyDescent="0.35">
      <c r="A1612" s="1">
        <v>45345</v>
      </c>
      <c r="B1612" t="s">
        <v>36</v>
      </c>
      <c r="C1612" t="s">
        <v>37</v>
      </c>
      <c r="D1612" t="s">
        <v>21</v>
      </c>
      <c r="E1612" t="s">
        <v>22</v>
      </c>
      <c r="F1612">
        <v>32</v>
      </c>
      <c r="G1612">
        <v>32.6</v>
      </c>
      <c r="H1612" t="s">
        <v>46</v>
      </c>
      <c r="I1612" t="s">
        <v>47</v>
      </c>
    </row>
    <row r="1613" spans="1:9" x14ac:dyDescent="0.35">
      <c r="A1613" s="1">
        <v>45345</v>
      </c>
      <c r="B1613" t="s">
        <v>36</v>
      </c>
      <c r="C1613" t="s">
        <v>37</v>
      </c>
      <c r="D1613" t="s">
        <v>24</v>
      </c>
      <c r="E1613" t="s">
        <v>25</v>
      </c>
      <c r="F1613">
        <v>50</v>
      </c>
      <c r="G1613">
        <v>59.4</v>
      </c>
      <c r="H1613" t="s">
        <v>48</v>
      </c>
      <c r="I1613" t="s">
        <v>50</v>
      </c>
    </row>
    <row r="1614" spans="1:9" x14ac:dyDescent="0.35">
      <c r="A1614" s="1">
        <v>45345</v>
      </c>
      <c r="B1614" t="s">
        <v>36</v>
      </c>
      <c r="C1614" t="s">
        <v>37</v>
      </c>
      <c r="D1614" t="s">
        <v>26</v>
      </c>
      <c r="E1614" t="s">
        <v>27</v>
      </c>
      <c r="F1614">
        <v>38</v>
      </c>
      <c r="G1614">
        <v>45.7</v>
      </c>
      <c r="H1614" t="s">
        <v>48</v>
      </c>
      <c r="I1614" t="s">
        <v>50</v>
      </c>
    </row>
    <row r="1615" spans="1:9" x14ac:dyDescent="0.35">
      <c r="A1615" s="1">
        <v>45345</v>
      </c>
      <c r="B1615" t="s">
        <v>36</v>
      </c>
      <c r="C1615" t="s">
        <v>37</v>
      </c>
      <c r="D1615" t="s">
        <v>28</v>
      </c>
      <c r="E1615" t="s">
        <v>29</v>
      </c>
      <c r="F1615">
        <v>32</v>
      </c>
      <c r="G1615">
        <v>43.4</v>
      </c>
      <c r="H1615" t="s">
        <v>48</v>
      </c>
      <c r="I1615" t="s">
        <v>49</v>
      </c>
    </row>
    <row r="1616" spans="1:9" x14ac:dyDescent="0.35">
      <c r="A1616" s="1">
        <v>45345</v>
      </c>
      <c r="B1616" t="s">
        <v>39</v>
      </c>
      <c r="C1616" t="s">
        <v>40</v>
      </c>
      <c r="D1616" t="s">
        <v>15</v>
      </c>
      <c r="E1616" t="s">
        <v>16</v>
      </c>
      <c r="F1616">
        <v>34</v>
      </c>
      <c r="G1616">
        <v>35.200000000000003</v>
      </c>
      <c r="H1616" t="s">
        <v>46</v>
      </c>
      <c r="I1616" t="s">
        <v>47</v>
      </c>
    </row>
    <row r="1617" spans="1:9" x14ac:dyDescent="0.35">
      <c r="A1617" s="1">
        <v>45345</v>
      </c>
      <c r="B1617" t="s">
        <v>39</v>
      </c>
      <c r="C1617" t="s">
        <v>40</v>
      </c>
      <c r="D1617" t="s">
        <v>18</v>
      </c>
      <c r="E1617" t="s">
        <v>19</v>
      </c>
      <c r="F1617">
        <v>38</v>
      </c>
      <c r="G1617">
        <v>40.5</v>
      </c>
      <c r="H1617" t="s">
        <v>46</v>
      </c>
      <c r="I1617" t="s">
        <v>47</v>
      </c>
    </row>
    <row r="1618" spans="1:9" x14ac:dyDescent="0.35">
      <c r="A1618" s="1">
        <v>45345</v>
      </c>
      <c r="B1618" t="s">
        <v>39</v>
      </c>
      <c r="C1618" t="s">
        <v>40</v>
      </c>
      <c r="D1618" t="s">
        <v>21</v>
      </c>
      <c r="E1618" t="s">
        <v>22</v>
      </c>
      <c r="F1618">
        <v>32</v>
      </c>
      <c r="G1618">
        <v>33.5</v>
      </c>
      <c r="H1618" t="s">
        <v>46</v>
      </c>
      <c r="I1618" t="s">
        <v>47</v>
      </c>
    </row>
    <row r="1619" spans="1:9" x14ac:dyDescent="0.35">
      <c r="A1619" s="1">
        <v>45345</v>
      </c>
      <c r="B1619" t="s">
        <v>39</v>
      </c>
      <c r="C1619" t="s">
        <v>40</v>
      </c>
      <c r="D1619" t="s">
        <v>24</v>
      </c>
      <c r="E1619" t="s">
        <v>25</v>
      </c>
      <c r="F1619">
        <v>50</v>
      </c>
      <c r="G1619">
        <v>51.8</v>
      </c>
      <c r="H1619" t="s">
        <v>46</v>
      </c>
      <c r="I1619" t="s">
        <v>47</v>
      </c>
    </row>
    <row r="1620" spans="1:9" x14ac:dyDescent="0.35">
      <c r="A1620" s="1">
        <v>45345</v>
      </c>
      <c r="B1620" t="s">
        <v>39</v>
      </c>
      <c r="C1620" t="s">
        <v>40</v>
      </c>
      <c r="D1620" t="s">
        <v>26</v>
      </c>
      <c r="E1620" t="s">
        <v>27</v>
      </c>
      <c r="F1620">
        <v>38</v>
      </c>
      <c r="G1620">
        <v>39.9</v>
      </c>
      <c r="H1620" t="s">
        <v>46</v>
      </c>
      <c r="I1620" t="s">
        <v>47</v>
      </c>
    </row>
    <row r="1621" spans="1:9" x14ac:dyDescent="0.35">
      <c r="A1621" s="1">
        <v>45345</v>
      </c>
      <c r="B1621" t="s">
        <v>39</v>
      </c>
      <c r="C1621" t="s">
        <v>40</v>
      </c>
      <c r="D1621" t="s">
        <v>28</v>
      </c>
      <c r="E1621" t="s">
        <v>29</v>
      </c>
      <c r="F1621">
        <v>32</v>
      </c>
      <c r="G1621">
        <v>31.7</v>
      </c>
      <c r="H1621" t="s">
        <v>46</v>
      </c>
      <c r="I1621" t="s">
        <v>47</v>
      </c>
    </row>
    <row r="1622" spans="1:9" x14ac:dyDescent="0.35">
      <c r="A1622" s="1">
        <v>45346</v>
      </c>
      <c r="B1622" t="s">
        <v>12</v>
      </c>
      <c r="C1622" t="s">
        <v>13</v>
      </c>
      <c r="D1622" t="s">
        <v>15</v>
      </c>
      <c r="E1622" t="s">
        <v>16</v>
      </c>
      <c r="F1622">
        <v>34</v>
      </c>
      <c r="G1622">
        <v>34.9</v>
      </c>
      <c r="H1622" t="s">
        <v>46</v>
      </c>
      <c r="I1622" t="s">
        <v>47</v>
      </c>
    </row>
    <row r="1623" spans="1:9" x14ac:dyDescent="0.35">
      <c r="A1623" s="1">
        <v>45346</v>
      </c>
      <c r="B1623" t="s">
        <v>12</v>
      </c>
      <c r="C1623" t="s">
        <v>13</v>
      </c>
      <c r="D1623" t="s">
        <v>18</v>
      </c>
      <c r="E1623" t="s">
        <v>19</v>
      </c>
      <c r="F1623">
        <v>38</v>
      </c>
      <c r="G1623">
        <v>40.9</v>
      </c>
      <c r="H1623" t="s">
        <v>46</v>
      </c>
      <c r="I1623" t="s">
        <v>47</v>
      </c>
    </row>
    <row r="1624" spans="1:9" x14ac:dyDescent="0.35">
      <c r="A1624" s="1">
        <v>45346</v>
      </c>
      <c r="B1624" t="s">
        <v>12</v>
      </c>
      <c r="C1624" t="s">
        <v>13</v>
      </c>
      <c r="D1624" t="s">
        <v>21</v>
      </c>
      <c r="E1624" t="s">
        <v>22</v>
      </c>
      <c r="F1624">
        <v>32</v>
      </c>
      <c r="G1624">
        <v>33.1</v>
      </c>
      <c r="H1624" t="s">
        <v>46</v>
      </c>
      <c r="I1624" t="s">
        <v>47</v>
      </c>
    </row>
    <row r="1625" spans="1:9" x14ac:dyDescent="0.35">
      <c r="A1625" s="1">
        <v>45346</v>
      </c>
      <c r="B1625" t="s">
        <v>12</v>
      </c>
      <c r="C1625" t="s">
        <v>13</v>
      </c>
      <c r="D1625" t="s">
        <v>24</v>
      </c>
      <c r="E1625" t="s">
        <v>25</v>
      </c>
      <c r="F1625">
        <v>50</v>
      </c>
      <c r="G1625">
        <v>50.8</v>
      </c>
      <c r="H1625" t="s">
        <v>46</v>
      </c>
      <c r="I1625" t="s">
        <v>47</v>
      </c>
    </row>
    <row r="1626" spans="1:9" x14ac:dyDescent="0.35">
      <c r="A1626" s="1">
        <v>45346</v>
      </c>
      <c r="B1626" t="s">
        <v>12</v>
      </c>
      <c r="C1626" t="s">
        <v>13</v>
      </c>
      <c r="D1626" t="s">
        <v>26</v>
      </c>
      <c r="E1626" t="s">
        <v>27</v>
      </c>
      <c r="F1626">
        <v>38</v>
      </c>
      <c r="G1626">
        <v>45.3</v>
      </c>
      <c r="H1626" t="s">
        <v>48</v>
      </c>
      <c r="I1626" t="s">
        <v>50</v>
      </c>
    </row>
    <row r="1627" spans="1:9" x14ac:dyDescent="0.35">
      <c r="A1627" s="1">
        <v>45346</v>
      </c>
      <c r="B1627" t="s">
        <v>12</v>
      </c>
      <c r="C1627" t="s">
        <v>13</v>
      </c>
      <c r="D1627" t="s">
        <v>28</v>
      </c>
      <c r="E1627" t="s">
        <v>29</v>
      </c>
      <c r="F1627">
        <v>32</v>
      </c>
      <c r="G1627">
        <v>34.700000000000003</v>
      </c>
      <c r="H1627" t="s">
        <v>46</v>
      </c>
      <c r="I1627" t="s">
        <v>47</v>
      </c>
    </row>
    <row r="1628" spans="1:9" x14ac:dyDescent="0.35">
      <c r="A1628" s="1">
        <v>45346</v>
      </c>
      <c r="B1628" t="s">
        <v>30</v>
      </c>
      <c r="C1628" t="s">
        <v>31</v>
      </c>
      <c r="D1628" t="s">
        <v>15</v>
      </c>
      <c r="E1628" t="s">
        <v>16</v>
      </c>
      <c r="F1628">
        <v>34</v>
      </c>
      <c r="G1628">
        <v>46.8</v>
      </c>
      <c r="H1628" t="s">
        <v>48</v>
      </c>
      <c r="I1628" t="s">
        <v>49</v>
      </c>
    </row>
    <row r="1629" spans="1:9" x14ac:dyDescent="0.35">
      <c r="A1629" s="1">
        <v>45346</v>
      </c>
      <c r="B1629" t="s">
        <v>30</v>
      </c>
      <c r="C1629" t="s">
        <v>31</v>
      </c>
      <c r="D1629" t="s">
        <v>18</v>
      </c>
      <c r="E1629" t="s">
        <v>19</v>
      </c>
      <c r="F1629">
        <v>38</v>
      </c>
      <c r="G1629">
        <v>47</v>
      </c>
      <c r="H1629" t="s">
        <v>48</v>
      </c>
      <c r="I1629" t="s">
        <v>50</v>
      </c>
    </row>
    <row r="1630" spans="1:9" x14ac:dyDescent="0.35">
      <c r="A1630" s="1">
        <v>45346</v>
      </c>
      <c r="B1630" t="s">
        <v>30</v>
      </c>
      <c r="C1630" t="s">
        <v>31</v>
      </c>
      <c r="D1630" t="s">
        <v>21</v>
      </c>
      <c r="E1630" t="s">
        <v>22</v>
      </c>
      <c r="F1630">
        <v>32</v>
      </c>
      <c r="G1630">
        <v>33.1</v>
      </c>
      <c r="H1630" t="s">
        <v>46</v>
      </c>
      <c r="I1630" t="s">
        <v>47</v>
      </c>
    </row>
    <row r="1631" spans="1:9" x14ac:dyDescent="0.35">
      <c r="A1631" s="1">
        <v>45346</v>
      </c>
      <c r="B1631" t="s">
        <v>30</v>
      </c>
      <c r="C1631" t="s">
        <v>31</v>
      </c>
      <c r="D1631" t="s">
        <v>24</v>
      </c>
      <c r="E1631" t="s">
        <v>25</v>
      </c>
      <c r="F1631">
        <v>50</v>
      </c>
      <c r="G1631">
        <v>58.4</v>
      </c>
      <c r="H1631" t="s">
        <v>48</v>
      </c>
      <c r="I1631" t="s">
        <v>50</v>
      </c>
    </row>
    <row r="1632" spans="1:9" x14ac:dyDescent="0.35">
      <c r="A1632" s="1">
        <v>45346</v>
      </c>
      <c r="B1632" t="s">
        <v>30</v>
      </c>
      <c r="C1632" t="s">
        <v>31</v>
      </c>
      <c r="D1632" t="s">
        <v>26</v>
      </c>
      <c r="E1632" t="s">
        <v>27</v>
      </c>
      <c r="F1632">
        <v>38</v>
      </c>
      <c r="G1632">
        <v>38.200000000000003</v>
      </c>
      <c r="H1632" t="s">
        <v>46</v>
      </c>
      <c r="I1632" t="s">
        <v>47</v>
      </c>
    </row>
    <row r="1633" spans="1:9" x14ac:dyDescent="0.35">
      <c r="A1633" s="1">
        <v>45346</v>
      </c>
      <c r="B1633" t="s">
        <v>30</v>
      </c>
      <c r="C1633" t="s">
        <v>31</v>
      </c>
      <c r="D1633" t="s">
        <v>28</v>
      </c>
      <c r="E1633" t="s">
        <v>29</v>
      </c>
      <c r="F1633">
        <v>32</v>
      </c>
      <c r="G1633">
        <v>39.1</v>
      </c>
      <c r="H1633" t="s">
        <v>48</v>
      </c>
      <c r="I1633" t="s">
        <v>50</v>
      </c>
    </row>
    <row r="1634" spans="1:9" x14ac:dyDescent="0.35">
      <c r="A1634" s="1">
        <v>45346</v>
      </c>
      <c r="B1634" t="s">
        <v>33</v>
      </c>
      <c r="C1634" t="s">
        <v>34</v>
      </c>
      <c r="D1634" t="s">
        <v>15</v>
      </c>
      <c r="E1634" t="s">
        <v>16</v>
      </c>
      <c r="F1634">
        <v>34</v>
      </c>
      <c r="G1634">
        <v>34.700000000000003</v>
      </c>
      <c r="H1634" t="s">
        <v>46</v>
      </c>
      <c r="I1634" t="s">
        <v>47</v>
      </c>
    </row>
    <row r="1635" spans="1:9" x14ac:dyDescent="0.35">
      <c r="A1635" s="1">
        <v>45346</v>
      </c>
      <c r="B1635" t="s">
        <v>33</v>
      </c>
      <c r="C1635" t="s">
        <v>34</v>
      </c>
      <c r="D1635" t="s">
        <v>18</v>
      </c>
      <c r="E1635" t="s">
        <v>19</v>
      </c>
      <c r="F1635">
        <v>38</v>
      </c>
      <c r="G1635">
        <v>38.200000000000003</v>
      </c>
      <c r="H1635" t="s">
        <v>46</v>
      </c>
      <c r="I1635" t="s">
        <v>47</v>
      </c>
    </row>
    <row r="1636" spans="1:9" x14ac:dyDescent="0.35">
      <c r="A1636" s="1">
        <v>45346</v>
      </c>
      <c r="B1636" t="s">
        <v>33</v>
      </c>
      <c r="C1636" t="s">
        <v>34</v>
      </c>
      <c r="D1636" t="s">
        <v>21</v>
      </c>
      <c r="E1636" t="s">
        <v>22</v>
      </c>
      <c r="F1636">
        <v>32</v>
      </c>
      <c r="G1636">
        <v>31.7</v>
      </c>
      <c r="H1636" t="s">
        <v>46</v>
      </c>
      <c r="I1636" t="s">
        <v>47</v>
      </c>
    </row>
    <row r="1637" spans="1:9" x14ac:dyDescent="0.35">
      <c r="A1637" s="1">
        <v>45346</v>
      </c>
      <c r="B1637" t="s">
        <v>33</v>
      </c>
      <c r="C1637" t="s">
        <v>34</v>
      </c>
      <c r="D1637" t="s">
        <v>24</v>
      </c>
      <c r="E1637" t="s">
        <v>25</v>
      </c>
      <c r="F1637">
        <v>50</v>
      </c>
      <c r="G1637">
        <v>49</v>
      </c>
      <c r="H1637" t="s">
        <v>46</v>
      </c>
      <c r="I1637" t="s">
        <v>47</v>
      </c>
    </row>
    <row r="1638" spans="1:9" x14ac:dyDescent="0.35">
      <c r="A1638" s="1">
        <v>45346</v>
      </c>
      <c r="B1638" t="s">
        <v>33</v>
      </c>
      <c r="C1638" t="s">
        <v>34</v>
      </c>
      <c r="D1638" t="s">
        <v>26</v>
      </c>
      <c r="E1638" t="s">
        <v>27</v>
      </c>
      <c r="F1638">
        <v>38</v>
      </c>
      <c r="G1638">
        <v>37.299999999999997</v>
      </c>
      <c r="H1638" t="s">
        <v>46</v>
      </c>
      <c r="I1638" t="s">
        <v>47</v>
      </c>
    </row>
    <row r="1639" spans="1:9" x14ac:dyDescent="0.35">
      <c r="A1639" s="1">
        <v>45346</v>
      </c>
      <c r="B1639" t="s">
        <v>33</v>
      </c>
      <c r="C1639" t="s">
        <v>34</v>
      </c>
      <c r="D1639" t="s">
        <v>28</v>
      </c>
      <c r="E1639" t="s">
        <v>29</v>
      </c>
      <c r="F1639">
        <v>32</v>
      </c>
      <c r="G1639">
        <v>41.8</v>
      </c>
      <c r="H1639" t="s">
        <v>48</v>
      </c>
      <c r="I1639" t="s">
        <v>50</v>
      </c>
    </row>
    <row r="1640" spans="1:9" x14ac:dyDescent="0.35">
      <c r="A1640" s="1">
        <v>45346</v>
      </c>
      <c r="B1640" t="s">
        <v>36</v>
      </c>
      <c r="C1640" t="s">
        <v>37</v>
      </c>
      <c r="D1640" t="s">
        <v>15</v>
      </c>
      <c r="E1640" t="s">
        <v>16</v>
      </c>
      <c r="F1640">
        <v>34</v>
      </c>
      <c r="G1640">
        <v>34.799999999999997</v>
      </c>
      <c r="H1640" t="s">
        <v>46</v>
      </c>
      <c r="I1640" t="s">
        <v>47</v>
      </c>
    </row>
    <row r="1641" spans="1:9" x14ac:dyDescent="0.35">
      <c r="A1641" s="1">
        <v>45346</v>
      </c>
      <c r="B1641" t="s">
        <v>36</v>
      </c>
      <c r="C1641" t="s">
        <v>37</v>
      </c>
      <c r="D1641" t="s">
        <v>18</v>
      </c>
      <c r="E1641" t="s">
        <v>19</v>
      </c>
      <c r="F1641">
        <v>38</v>
      </c>
      <c r="G1641">
        <v>38.5</v>
      </c>
      <c r="H1641" t="s">
        <v>46</v>
      </c>
      <c r="I1641" t="s">
        <v>47</v>
      </c>
    </row>
    <row r="1642" spans="1:9" x14ac:dyDescent="0.35">
      <c r="A1642" s="1">
        <v>45346</v>
      </c>
      <c r="B1642" t="s">
        <v>36</v>
      </c>
      <c r="C1642" t="s">
        <v>37</v>
      </c>
      <c r="D1642" t="s">
        <v>21</v>
      </c>
      <c r="E1642" t="s">
        <v>22</v>
      </c>
      <c r="F1642">
        <v>32</v>
      </c>
      <c r="G1642">
        <v>34.299999999999997</v>
      </c>
      <c r="H1642" t="s">
        <v>46</v>
      </c>
      <c r="I1642" t="s">
        <v>47</v>
      </c>
    </row>
    <row r="1643" spans="1:9" x14ac:dyDescent="0.35">
      <c r="A1643" s="1">
        <v>45346</v>
      </c>
      <c r="B1643" t="s">
        <v>36</v>
      </c>
      <c r="C1643" t="s">
        <v>37</v>
      </c>
      <c r="D1643" t="s">
        <v>24</v>
      </c>
      <c r="E1643" t="s">
        <v>25</v>
      </c>
      <c r="F1643">
        <v>50</v>
      </c>
      <c r="G1643">
        <v>57.1</v>
      </c>
      <c r="H1643" t="s">
        <v>48</v>
      </c>
      <c r="I1643" t="s">
        <v>50</v>
      </c>
    </row>
    <row r="1644" spans="1:9" x14ac:dyDescent="0.35">
      <c r="A1644" s="1">
        <v>45346</v>
      </c>
      <c r="B1644" t="s">
        <v>36</v>
      </c>
      <c r="C1644" t="s">
        <v>37</v>
      </c>
      <c r="D1644" t="s">
        <v>26</v>
      </c>
      <c r="E1644" t="s">
        <v>27</v>
      </c>
      <c r="F1644">
        <v>38</v>
      </c>
      <c r="G1644">
        <v>40</v>
      </c>
      <c r="H1644" t="s">
        <v>46</v>
      </c>
      <c r="I1644" t="s">
        <v>47</v>
      </c>
    </row>
    <row r="1645" spans="1:9" x14ac:dyDescent="0.35">
      <c r="A1645" s="1">
        <v>45346</v>
      </c>
      <c r="B1645" t="s">
        <v>36</v>
      </c>
      <c r="C1645" t="s">
        <v>37</v>
      </c>
      <c r="D1645" t="s">
        <v>28</v>
      </c>
      <c r="E1645" t="s">
        <v>29</v>
      </c>
      <c r="F1645">
        <v>32</v>
      </c>
      <c r="G1645">
        <v>31.6</v>
      </c>
      <c r="H1645" t="s">
        <v>46</v>
      </c>
      <c r="I1645" t="s">
        <v>47</v>
      </c>
    </row>
    <row r="1646" spans="1:9" x14ac:dyDescent="0.35">
      <c r="A1646" s="1">
        <v>45346</v>
      </c>
      <c r="B1646" t="s">
        <v>39</v>
      </c>
      <c r="C1646" t="s">
        <v>40</v>
      </c>
      <c r="D1646" t="s">
        <v>15</v>
      </c>
      <c r="E1646" t="s">
        <v>16</v>
      </c>
      <c r="F1646">
        <v>34</v>
      </c>
      <c r="G1646">
        <v>33.4</v>
      </c>
      <c r="H1646" t="s">
        <v>46</v>
      </c>
      <c r="I1646" t="s">
        <v>47</v>
      </c>
    </row>
    <row r="1647" spans="1:9" x14ac:dyDescent="0.35">
      <c r="A1647" s="1">
        <v>45346</v>
      </c>
      <c r="B1647" t="s">
        <v>39</v>
      </c>
      <c r="C1647" t="s">
        <v>40</v>
      </c>
      <c r="D1647" t="s">
        <v>18</v>
      </c>
      <c r="E1647" t="s">
        <v>19</v>
      </c>
      <c r="F1647">
        <v>38</v>
      </c>
      <c r="G1647">
        <v>39.5</v>
      </c>
      <c r="H1647" t="s">
        <v>46</v>
      </c>
      <c r="I1647" t="s">
        <v>47</v>
      </c>
    </row>
    <row r="1648" spans="1:9" x14ac:dyDescent="0.35">
      <c r="A1648" s="1">
        <v>45346</v>
      </c>
      <c r="B1648" t="s">
        <v>39</v>
      </c>
      <c r="C1648" t="s">
        <v>40</v>
      </c>
      <c r="D1648" t="s">
        <v>21</v>
      </c>
      <c r="E1648" t="s">
        <v>22</v>
      </c>
      <c r="F1648">
        <v>32</v>
      </c>
      <c r="G1648">
        <v>34.6</v>
      </c>
      <c r="H1648" t="s">
        <v>46</v>
      </c>
      <c r="I1648" t="s">
        <v>47</v>
      </c>
    </row>
    <row r="1649" spans="1:9" x14ac:dyDescent="0.35">
      <c r="A1649" s="1">
        <v>45346</v>
      </c>
      <c r="B1649" t="s">
        <v>39</v>
      </c>
      <c r="C1649" t="s">
        <v>40</v>
      </c>
      <c r="D1649" t="s">
        <v>24</v>
      </c>
      <c r="E1649" t="s">
        <v>25</v>
      </c>
      <c r="F1649">
        <v>50</v>
      </c>
      <c r="G1649">
        <v>49.2</v>
      </c>
      <c r="H1649" t="s">
        <v>46</v>
      </c>
      <c r="I1649" t="s">
        <v>47</v>
      </c>
    </row>
    <row r="1650" spans="1:9" x14ac:dyDescent="0.35">
      <c r="A1650" s="1">
        <v>45346</v>
      </c>
      <c r="B1650" t="s">
        <v>39</v>
      </c>
      <c r="C1650" t="s">
        <v>40</v>
      </c>
      <c r="D1650" t="s">
        <v>26</v>
      </c>
      <c r="E1650" t="s">
        <v>27</v>
      </c>
      <c r="F1650">
        <v>38</v>
      </c>
      <c r="G1650">
        <v>38.799999999999997</v>
      </c>
      <c r="H1650" t="s">
        <v>46</v>
      </c>
      <c r="I1650" t="s">
        <v>47</v>
      </c>
    </row>
    <row r="1651" spans="1:9" x14ac:dyDescent="0.35">
      <c r="A1651" s="1">
        <v>45346</v>
      </c>
      <c r="B1651" t="s">
        <v>39</v>
      </c>
      <c r="C1651" t="s">
        <v>40</v>
      </c>
      <c r="D1651" t="s">
        <v>28</v>
      </c>
      <c r="E1651" t="s">
        <v>29</v>
      </c>
      <c r="F1651">
        <v>32</v>
      </c>
      <c r="G1651">
        <v>31.4</v>
      </c>
      <c r="H1651" t="s">
        <v>46</v>
      </c>
      <c r="I1651" t="s">
        <v>47</v>
      </c>
    </row>
    <row r="1652" spans="1:9" x14ac:dyDescent="0.35">
      <c r="A1652" s="1">
        <v>45347</v>
      </c>
      <c r="B1652" t="s">
        <v>12</v>
      </c>
      <c r="C1652" t="s">
        <v>13</v>
      </c>
      <c r="D1652" t="s">
        <v>15</v>
      </c>
      <c r="E1652" t="s">
        <v>16</v>
      </c>
      <c r="F1652">
        <v>34</v>
      </c>
      <c r="G1652">
        <v>40.200000000000003</v>
      </c>
      <c r="H1652" t="s">
        <v>48</v>
      </c>
      <c r="I1652" t="s">
        <v>50</v>
      </c>
    </row>
    <row r="1653" spans="1:9" x14ac:dyDescent="0.35">
      <c r="A1653" s="1">
        <v>45347</v>
      </c>
      <c r="B1653" t="s">
        <v>12</v>
      </c>
      <c r="C1653" t="s">
        <v>13</v>
      </c>
      <c r="D1653" t="s">
        <v>18</v>
      </c>
      <c r="E1653" t="s">
        <v>19</v>
      </c>
      <c r="F1653">
        <v>38</v>
      </c>
      <c r="G1653">
        <v>40.1</v>
      </c>
      <c r="H1653" t="s">
        <v>46</v>
      </c>
      <c r="I1653" t="s">
        <v>47</v>
      </c>
    </row>
    <row r="1654" spans="1:9" x14ac:dyDescent="0.35">
      <c r="A1654" s="1">
        <v>45347</v>
      </c>
      <c r="B1654" t="s">
        <v>12</v>
      </c>
      <c r="C1654" t="s">
        <v>13</v>
      </c>
      <c r="D1654" t="s">
        <v>21</v>
      </c>
      <c r="E1654" t="s">
        <v>22</v>
      </c>
      <c r="F1654">
        <v>32</v>
      </c>
      <c r="G1654">
        <v>33.6</v>
      </c>
      <c r="H1654" t="s">
        <v>46</v>
      </c>
      <c r="I1654" t="s">
        <v>47</v>
      </c>
    </row>
    <row r="1655" spans="1:9" x14ac:dyDescent="0.35">
      <c r="A1655" s="1">
        <v>45347</v>
      </c>
      <c r="B1655" t="s">
        <v>12</v>
      </c>
      <c r="C1655" t="s">
        <v>13</v>
      </c>
      <c r="D1655" t="s">
        <v>24</v>
      </c>
      <c r="E1655" t="s">
        <v>25</v>
      </c>
      <c r="F1655">
        <v>50</v>
      </c>
      <c r="G1655">
        <v>49.3</v>
      </c>
      <c r="H1655" t="s">
        <v>46</v>
      </c>
      <c r="I1655" t="s">
        <v>47</v>
      </c>
    </row>
    <row r="1656" spans="1:9" x14ac:dyDescent="0.35">
      <c r="A1656" s="1">
        <v>45347</v>
      </c>
      <c r="B1656" t="s">
        <v>12</v>
      </c>
      <c r="C1656" t="s">
        <v>13</v>
      </c>
      <c r="D1656" t="s">
        <v>26</v>
      </c>
      <c r="E1656" t="s">
        <v>27</v>
      </c>
      <c r="F1656">
        <v>38</v>
      </c>
      <c r="G1656">
        <v>39.200000000000003</v>
      </c>
      <c r="H1656" t="s">
        <v>46</v>
      </c>
      <c r="I1656" t="s">
        <v>47</v>
      </c>
    </row>
    <row r="1657" spans="1:9" x14ac:dyDescent="0.35">
      <c r="A1657" s="1">
        <v>45347</v>
      </c>
      <c r="B1657" t="s">
        <v>12</v>
      </c>
      <c r="C1657" t="s">
        <v>13</v>
      </c>
      <c r="D1657" t="s">
        <v>28</v>
      </c>
      <c r="E1657" t="s">
        <v>29</v>
      </c>
      <c r="F1657">
        <v>32</v>
      </c>
      <c r="G1657">
        <v>34.799999999999997</v>
      </c>
      <c r="H1657" t="s">
        <v>46</v>
      </c>
      <c r="I1657" t="s">
        <v>47</v>
      </c>
    </row>
    <row r="1658" spans="1:9" x14ac:dyDescent="0.35">
      <c r="A1658" s="1">
        <v>45347</v>
      </c>
      <c r="B1658" t="s">
        <v>30</v>
      </c>
      <c r="C1658" t="s">
        <v>31</v>
      </c>
      <c r="D1658" t="s">
        <v>15</v>
      </c>
      <c r="E1658" t="s">
        <v>16</v>
      </c>
      <c r="F1658">
        <v>34</v>
      </c>
      <c r="G1658">
        <v>36</v>
      </c>
      <c r="H1658" t="s">
        <v>46</v>
      </c>
      <c r="I1658" t="s">
        <v>47</v>
      </c>
    </row>
    <row r="1659" spans="1:9" x14ac:dyDescent="0.35">
      <c r="A1659" s="1">
        <v>45347</v>
      </c>
      <c r="B1659" t="s">
        <v>30</v>
      </c>
      <c r="C1659" t="s">
        <v>31</v>
      </c>
      <c r="D1659" t="s">
        <v>18</v>
      </c>
      <c r="E1659" t="s">
        <v>19</v>
      </c>
      <c r="F1659">
        <v>38</v>
      </c>
      <c r="G1659">
        <v>37.1</v>
      </c>
      <c r="H1659" t="s">
        <v>46</v>
      </c>
      <c r="I1659" t="s">
        <v>47</v>
      </c>
    </row>
    <row r="1660" spans="1:9" x14ac:dyDescent="0.35">
      <c r="A1660" s="1">
        <v>45347</v>
      </c>
      <c r="B1660" t="s">
        <v>30</v>
      </c>
      <c r="C1660" t="s">
        <v>31</v>
      </c>
      <c r="D1660" t="s">
        <v>21</v>
      </c>
      <c r="E1660" t="s">
        <v>22</v>
      </c>
      <c r="F1660">
        <v>32</v>
      </c>
      <c r="G1660">
        <v>33.1</v>
      </c>
      <c r="H1660" t="s">
        <v>46</v>
      </c>
      <c r="I1660" t="s">
        <v>47</v>
      </c>
    </row>
    <row r="1661" spans="1:9" x14ac:dyDescent="0.35">
      <c r="A1661" s="1">
        <v>45347</v>
      </c>
      <c r="B1661" t="s">
        <v>30</v>
      </c>
      <c r="C1661" t="s">
        <v>31</v>
      </c>
      <c r="D1661" t="s">
        <v>24</v>
      </c>
      <c r="E1661" t="s">
        <v>25</v>
      </c>
      <c r="F1661">
        <v>50</v>
      </c>
      <c r="G1661">
        <v>50.1</v>
      </c>
      <c r="H1661" t="s">
        <v>46</v>
      </c>
      <c r="I1661" t="s">
        <v>47</v>
      </c>
    </row>
    <row r="1662" spans="1:9" x14ac:dyDescent="0.35">
      <c r="A1662" s="1">
        <v>45347</v>
      </c>
      <c r="B1662" t="s">
        <v>30</v>
      </c>
      <c r="C1662" t="s">
        <v>31</v>
      </c>
      <c r="D1662" t="s">
        <v>26</v>
      </c>
      <c r="E1662" t="s">
        <v>27</v>
      </c>
      <c r="F1662">
        <v>38</v>
      </c>
      <c r="G1662">
        <v>40.299999999999997</v>
      </c>
      <c r="H1662" t="s">
        <v>46</v>
      </c>
      <c r="I1662" t="s">
        <v>47</v>
      </c>
    </row>
    <row r="1663" spans="1:9" x14ac:dyDescent="0.35">
      <c r="A1663" s="1">
        <v>45347</v>
      </c>
      <c r="B1663" t="s">
        <v>30</v>
      </c>
      <c r="C1663" t="s">
        <v>31</v>
      </c>
      <c r="D1663" t="s">
        <v>28</v>
      </c>
      <c r="E1663" t="s">
        <v>29</v>
      </c>
      <c r="F1663">
        <v>32</v>
      </c>
      <c r="G1663">
        <v>33.299999999999997</v>
      </c>
      <c r="H1663" t="s">
        <v>46</v>
      </c>
      <c r="I1663" t="s">
        <v>47</v>
      </c>
    </row>
    <row r="1664" spans="1:9" x14ac:dyDescent="0.35">
      <c r="A1664" s="1">
        <v>45347</v>
      </c>
      <c r="B1664" t="s">
        <v>33</v>
      </c>
      <c r="C1664" t="s">
        <v>34</v>
      </c>
      <c r="D1664" t="s">
        <v>15</v>
      </c>
      <c r="E1664" t="s">
        <v>16</v>
      </c>
      <c r="F1664">
        <v>34</v>
      </c>
      <c r="G1664">
        <v>44.3</v>
      </c>
      <c r="H1664" t="s">
        <v>48</v>
      </c>
      <c r="I1664" t="s">
        <v>49</v>
      </c>
    </row>
    <row r="1665" spans="1:9" x14ac:dyDescent="0.35">
      <c r="A1665" s="1">
        <v>45347</v>
      </c>
      <c r="B1665" t="s">
        <v>33</v>
      </c>
      <c r="C1665" t="s">
        <v>34</v>
      </c>
      <c r="D1665" t="s">
        <v>18</v>
      </c>
      <c r="E1665" t="s">
        <v>19</v>
      </c>
      <c r="F1665">
        <v>38</v>
      </c>
      <c r="G1665">
        <v>39.4</v>
      </c>
      <c r="H1665" t="s">
        <v>46</v>
      </c>
      <c r="I1665" t="s">
        <v>47</v>
      </c>
    </row>
    <row r="1666" spans="1:9" x14ac:dyDescent="0.35">
      <c r="A1666" s="1">
        <v>45347</v>
      </c>
      <c r="B1666" t="s">
        <v>33</v>
      </c>
      <c r="C1666" t="s">
        <v>34</v>
      </c>
      <c r="D1666" t="s">
        <v>21</v>
      </c>
      <c r="E1666" t="s">
        <v>22</v>
      </c>
      <c r="F1666">
        <v>32</v>
      </c>
      <c r="G1666">
        <v>34.700000000000003</v>
      </c>
      <c r="H1666" t="s">
        <v>46</v>
      </c>
      <c r="I1666" t="s">
        <v>47</v>
      </c>
    </row>
    <row r="1667" spans="1:9" x14ac:dyDescent="0.35">
      <c r="A1667" s="1">
        <v>45347</v>
      </c>
      <c r="B1667" t="s">
        <v>33</v>
      </c>
      <c r="C1667" t="s">
        <v>34</v>
      </c>
      <c r="D1667" t="s">
        <v>24</v>
      </c>
      <c r="E1667" t="s">
        <v>25</v>
      </c>
      <c r="F1667">
        <v>50</v>
      </c>
      <c r="G1667">
        <v>49.7</v>
      </c>
      <c r="H1667" t="s">
        <v>46</v>
      </c>
      <c r="I1667" t="s">
        <v>47</v>
      </c>
    </row>
    <row r="1668" spans="1:9" x14ac:dyDescent="0.35">
      <c r="A1668" s="1">
        <v>45347</v>
      </c>
      <c r="B1668" t="s">
        <v>33</v>
      </c>
      <c r="C1668" t="s">
        <v>34</v>
      </c>
      <c r="D1668" t="s">
        <v>26</v>
      </c>
      <c r="E1668" t="s">
        <v>27</v>
      </c>
      <c r="F1668">
        <v>38</v>
      </c>
      <c r="G1668">
        <v>48.2</v>
      </c>
      <c r="H1668" t="s">
        <v>48</v>
      </c>
      <c r="I1668" t="s">
        <v>49</v>
      </c>
    </row>
    <row r="1669" spans="1:9" x14ac:dyDescent="0.35">
      <c r="A1669" s="1">
        <v>45347</v>
      </c>
      <c r="B1669" t="s">
        <v>33</v>
      </c>
      <c r="C1669" t="s">
        <v>34</v>
      </c>
      <c r="D1669" t="s">
        <v>28</v>
      </c>
      <c r="E1669" t="s">
        <v>29</v>
      </c>
      <c r="F1669">
        <v>32</v>
      </c>
      <c r="G1669">
        <v>31.4</v>
      </c>
      <c r="H1669" t="s">
        <v>46</v>
      </c>
      <c r="I1669" t="s">
        <v>47</v>
      </c>
    </row>
    <row r="1670" spans="1:9" x14ac:dyDescent="0.35">
      <c r="A1670" s="1">
        <v>45347</v>
      </c>
      <c r="B1670" t="s">
        <v>36</v>
      </c>
      <c r="C1670" t="s">
        <v>37</v>
      </c>
      <c r="D1670" t="s">
        <v>15</v>
      </c>
      <c r="E1670" t="s">
        <v>16</v>
      </c>
      <c r="F1670">
        <v>34</v>
      </c>
      <c r="G1670">
        <v>35.200000000000003</v>
      </c>
      <c r="H1670" t="s">
        <v>46</v>
      </c>
      <c r="I1670" t="s">
        <v>47</v>
      </c>
    </row>
    <row r="1671" spans="1:9" x14ac:dyDescent="0.35">
      <c r="A1671" s="1">
        <v>45347</v>
      </c>
      <c r="B1671" t="s">
        <v>36</v>
      </c>
      <c r="C1671" t="s">
        <v>37</v>
      </c>
      <c r="D1671" t="s">
        <v>18</v>
      </c>
      <c r="E1671" t="s">
        <v>19</v>
      </c>
      <c r="F1671">
        <v>38</v>
      </c>
      <c r="G1671">
        <v>37.700000000000003</v>
      </c>
      <c r="H1671" t="s">
        <v>46</v>
      </c>
      <c r="I1671" t="s">
        <v>47</v>
      </c>
    </row>
    <row r="1672" spans="1:9" x14ac:dyDescent="0.35">
      <c r="A1672" s="1">
        <v>45347</v>
      </c>
      <c r="B1672" t="s">
        <v>36</v>
      </c>
      <c r="C1672" t="s">
        <v>37</v>
      </c>
      <c r="D1672" t="s">
        <v>21</v>
      </c>
      <c r="E1672" t="s">
        <v>22</v>
      </c>
      <c r="F1672">
        <v>32</v>
      </c>
      <c r="G1672">
        <v>31.6</v>
      </c>
      <c r="H1672" t="s">
        <v>46</v>
      </c>
      <c r="I1672" t="s">
        <v>47</v>
      </c>
    </row>
    <row r="1673" spans="1:9" x14ac:dyDescent="0.35">
      <c r="A1673" s="1">
        <v>45347</v>
      </c>
      <c r="B1673" t="s">
        <v>36</v>
      </c>
      <c r="C1673" t="s">
        <v>37</v>
      </c>
      <c r="D1673" t="s">
        <v>24</v>
      </c>
      <c r="E1673" t="s">
        <v>25</v>
      </c>
      <c r="F1673">
        <v>50</v>
      </c>
      <c r="G1673">
        <v>51.7</v>
      </c>
      <c r="H1673" t="s">
        <v>46</v>
      </c>
      <c r="I1673" t="s">
        <v>47</v>
      </c>
    </row>
    <row r="1674" spans="1:9" x14ac:dyDescent="0.35">
      <c r="A1674" s="1">
        <v>45347</v>
      </c>
      <c r="B1674" t="s">
        <v>36</v>
      </c>
      <c r="C1674" t="s">
        <v>37</v>
      </c>
      <c r="D1674" t="s">
        <v>26</v>
      </c>
      <c r="E1674" t="s">
        <v>27</v>
      </c>
      <c r="F1674">
        <v>38</v>
      </c>
      <c r="G1674">
        <v>51.7</v>
      </c>
      <c r="H1674" t="s">
        <v>48</v>
      </c>
      <c r="I1674" t="s">
        <v>49</v>
      </c>
    </row>
    <row r="1675" spans="1:9" x14ac:dyDescent="0.35">
      <c r="A1675" s="1">
        <v>45347</v>
      </c>
      <c r="B1675" t="s">
        <v>36</v>
      </c>
      <c r="C1675" t="s">
        <v>37</v>
      </c>
      <c r="D1675" t="s">
        <v>28</v>
      </c>
      <c r="E1675" t="s">
        <v>29</v>
      </c>
      <c r="F1675">
        <v>32</v>
      </c>
      <c r="G1675">
        <v>33.9</v>
      </c>
      <c r="H1675" t="s">
        <v>46</v>
      </c>
      <c r="I1675" t="s">
        <v>47</v>
      </c>
    </row>
    <row r="1676" spans="1:9" x14ac:dyDescent="0.35">
      <c r="A1676" s="1">
        <v>45347</v>
      </c>
      <c r="B1676" t="s">
        <v>39</v>
      </c>
      <c r="C1676" t="s">
        <v>40</v>
      </c>
      <c r="D1676" t="s">
        <v>15</v>
      </c>
      <c r="E1676" t="s">
        <v>16</v>
      </c>
      <c r="F1676">
        <v>34</v>
      </c>
      <c r="G1676">
        <v>33.4</v>
      </c>
      <c r="H1676" t="s">
        <v>46</v>
      </c>
      <c r="I1676" t="s">
        <v>47</v>
      </c>
    </row>
    <row r="1677" spans="1:9" x14ac:dyDescent="0.35">
      <c r="A1677" s="1">
        <v>45347</v>
      </c>
      <c r="B1677" t="s">
        <v>39</v>
      </c>
      <c r="C1677" t="s">
        <v>40</v>
      </c>
      <c r="D1677" t="s">
        <v>18</v>
      </c>
      <c r="E1677" t="s">
        <v>19</v>
      </c>
      <c r="F1677">
        <v>38</v>
      </c>
      <c r="G1677">
        <v>51.1</v>
      </c>
      <c r="H1677" t="s">
        <v>48</v>
      </c>
      <c r="I1677" t="s">
        <v>49</v>
      </c>
    </row>
    <row r="1678" spans="1:9" x14ac:dyDescent="0.35">
      <c r="A1678" s="1">
        <v>45347</v>
      </c>
      <c r="B1678" t="s">
        <v>39</v>
      </c>
      <c r="C1678" t="s">
        <v>40</v>
      </c>
      <c r="D1678" t="s">
        <v>21</v>
      </c>
      <c r="E1678" t="s">
        <v>22</v>
      </c>
      <c r="F1678">
        <v>32</v>
      </c>
      <c r="G1678">
        <v>34.799999999999997</v>
      </c>
      <c r="H1678" t="s">
        <v>46</v>
      </c>
      <c r="I1678" t="s">
        <v>47</v>
      </c>
    </row>
    <row r="1679" spans="1:9" x14ac:dyDescent="0.35">
      <c r="A1679" s="1">
        <v>45347</v>
      </c>
      <c r="B1679" t="s">
        <v>39</v>
      </c>
      <c r="C1679" t="s">
        <v>40</v>
      </c>
      <c r="D1679" t="s">
        <v>24</v>
      </c>
      <c r="E1679" t="s">
        <v>25</v>
      </c>
      <c r="F1679">
        <v>50</v>
      </c>
      <c r="G1679">
        <v>49.2</v>
      </c>
      <c r="H1679" t="s">
        <v>46</v>
      </c>
      <c r="I1679" t="s">
        <v>47</v>
      </c>
    </row>
    <row r="1680" spans="1:9" x14ac:dyDescent="0.35">
      <c r="A1680" s="1">
        <v>45347</v>
      </c>
      <c r="B1680" t="s">
        <v>39</v>
      </c>
      <c r="C1680" t="s">
        <v>40</v>
      </c>
      <c r="D1680" t="s">
        <v>26</v>
      </c>
      <c r="E1680" t="s">
        <v>27</v>
      </c>
      <c r="F1680">
        <v>38</v>
      </c>
      <c r="G1680">
        <v>39.4</v>
      </c>
      <c r="H1680" t="s">
        <v>46</v>
      </c>
      <c r="I1680" t="s">
        <v>47</v>
      </c>
    </row>
    <row r="1681" spans="1:9" x14ac:dyDescent="0.35">
      <c r="A1681" s="1">
        <v>45347</v>
      </c>
      <c r="B1681" t="s">
        <v>39</v>
      </c>
      <c r="C1681" t="s">
        <v>40</v>
      </c>
      <c r="D1681" t="s">
        <v>28</v>
      </c>
      <c r="E1681" t="s">
        <v>29</v>
      </c>
      <c r="F1681">
        <v>32</v>
      </c>
      <c r="G1681">
        <v>33</v>
      </c>
      <c r="H1681" t="s">
        <v>46</v>
      </c>
      <c r="I1681" t="s">
        <v>47</v>
      </c>
    </row>
    <row r="1682" spans="1:9" x14ac:dyDescent="0.35">
      <c r="A1682" s="1">
        <v>45348</v>
      </c>
      <c r="B1682" t="s">
        <v>12</v>
      </c>
      <c r="C1682" t="s">
        <v>13</v>
      </c>
      <c r="D1682" t="s">
        <v>15</v>
      </c>
      <c r="E1682" t="s">
        <v>16</v>
      </c>
      <c r="F1682">
        <v>34</v>
      </c>
      <c r="G1682">
        <v>36.799999999999997</v>
      </c>
      <c r="H1682" t="s">
        <v>46</v>
      </c>
      <c r="I1682" t="s">
        <v>47</v>
      </c>
    </row>
    <row r="1683" spans="1:9" x14ac:dyDescent="0.35">
      <c r="A1683" s="1">
        <v>45348</v>
      </c>
      <c r="B1683" t="s">
        <v>12</v>
      </c>
      <c r="C1683" t="s">
        <v>13</v>
      </c>
      <c r="D1683" t="s">
        <v>18</v>
      </c>
      <c r="E1683" t="s">
        <v>19</v>
      </c>
      <c r="F1683">
        <v>38</v>
      </c>
      <c r="G1683">
        <v>38.299999999999997</v>
      </c>
      <c r="H1683" t="s">
        <v>46</v>
      </c>
      <c r="I1683" t="s">
        <v>47</v>
      </c>
    </row>
    <row r="1684" spans="1:9" x14ac:dyDescent="0.35">
      <c r="A1684" s="1">
        <v>45348</v>
      </c>
      <c r="B1684" t="s">
        <v>12</v>
      </c>
      <c r="C1684" t="s">
        <v>13</v>
      </c>
      <c r="D1684" t="s">
        <v>21</v>
      </c>
      <c r="E1684" t="s">
        <v>22</v>
      </c>
      <c r="F1684">
        <v>32</v>
      </c>
      <c r="G1684">
        <v>31.3</v>
      </c>
      <c r="H1684" t="s">
        <v>46</v>
      </c>
      <c r="I1684" t="s">
        <v>47</v>
      </c>
    </row>
    <row r="1685" spans="1:9" x14ac:dyDescent="0.35">
      <c r="A1685" s="1">
        <v>45348</v>
      </c>
      <c r="B1685" t="s">
        <v>12</v>
      </c>
      <c r="C1685" t="s">
        <v>13</v>
      </c>
      <c r="D1685" t="s">
        <v>24</v>
      </c>
      <c r="E1685" t="s">
        <v>25</v>
      </c>
      <c r="F1685">
        <v>50</v>
      </c>
      <c r="G1685">
        <v>61.1</v>
      </c>
      <c r="H1685" t="s">
        <v>48</v>
      </c>
      <c r="I1685" t="s">
        <v>49</v>
      </c>
    </row>
    <row r="1686" spans="1:9" x14ac:dyDescent="0.35">
      <c r="A1686" s="1">
        <v>45348</v>
      </c>
      <c r="B1686" t="s">
        <v>12</v>
      </c>
      <c r="C1686" t="s">
        <v>13</v>
      </c>
      <c r="D1686" t="s">
        <v>26</v>
      </c>
      <c r="E1686" t="s">
        <v>27</v>
      </c>
      <c r="F1686">
        <v>38</v>
      </c>
      <c r="G1686">
        <v>37.1</v>
      </c>
      <c r="H1686" t="s">
        <v>46</v>
      </c>
      <c r="I1686" t="s">
        <v>47</v>
      </c>
    </row>
    <row r="1687" spans="1:9" x14ac:dyDescent="0.35">
      <c r="A1687" s="1">
        <v>45348</v>
      </c>
      <c r="B1687" t="s">
        <v>12</v>
      </c>
      <c r="C1687" t="s">
        <v>13</v>
      </c>
      <c r="D1687" t="s">
        <v>28</v>
      </c>
      <c r="E1687" t="s">
        <v>29</v>
      </c>
      <c r="F1687">
        <v>32</v>
      </c>
      <c r="G1687">
        <v>33.299999999999997</v>
      </c>
      <c r="H1687" t="s">
        <v>46</v>
      </c>
      <c r="I1687" t="s">
        <v>47</v>
      </c>
    </row>
    <row r="1688" spans="1:9" x14ac:dyDescent="0.35">
      <c r="A1688" s="1">
        <v>45348</v>
      </c>
      <c r="B1688" t="s">
        <v>30</v>
      </c>
      <c r="C1688" t="s">
        <v>31</v>
      </c>
      <c r="D1688" t="s">
        <v>15</v>
      </c>
      <c r="E1688" t="s">
        <v>16</v>
      </c>
      <c r="F1688">
        <v>34</v>
      </c>
      <c r="G1688">
        <v>46.1</v>
      </c>
      <c r="H1688" t="s">
        <v>48</v>
      </c>
      <c r="I1688" t="s">
        <v>49</v>
      </c>
    </row>
    <row r="1689" spans="1:9" x14ac:dyDescent="0.35">
      <c r="A1689" s="1">
        <v>45348</v>
      </c>
      <c r="B1689" t="s">
        <v>30</v>
      </c>
      <c r="C1689" t="s">
        <v>31</v>
      </c>
      <c r="D1689" t="s">
        <v>18</v>
      </c>
      <c r="E1689" t="s">
        <v>19</v>
      </c>
      <c r="F1689">
        <v>38</v>
      </c>
      <c r="G1689">
        <v>37.5</v>
      </c>
      <c r="H1689" t="s">
        <v>46</v>
      </c>
      <c r="I1689" t="s">
        <v>47</v>
      </c>
    </row>
    <row r="1690" spans="1:9" x14ac:dyDescent="0.35">
      <c r="A1690" s="1">
        <v>45348</v>
      </c>
      <c r="B1690" t="s">
        <v>30</v>
      </c>
      <c r="C1690" t="s">
        <v>31</v>
      </c>
      <c r="D1690" t="s">
        <v>21</v>
      </c>
      <c r="E1690" t="s">
        <v>22</v>
      </c>
      <c r="F1690">
        <v>32</v>
      </c>
      <c r="G1690">
        <v>32.799999999999997</v>
      </c>
      <c r="H1690" t="s">
        <v>46</v>
      </c>
      <c r="I1690" t="s">
        <v>47</v>
      </c>
    </row>
    <row r="1691" spans="1:9" x14ac:dyDescent="0.35">
      <c r="A1691" s="1">
        <v>45348</v>
      </c>
      <c r="B1691" t="s">
        <v>30</v>
      </c>
      <c r="C1691" t="s">
        <v>31</v>
      </c>
      <c r="D1691" t="s">
        <v>24</v>
      </c>
      <c r="E1691" t="s">
        <v>25</v>
      </c>
      <c r="F1691">
        <v>50</v>
      </c>
      <c r="G1691">
        <v>51</v>
      </c>
      <c r="H1691" t="s">
        <v>46</v>
      </c>
      <c r="I1691" t="s">
        <v>47</v>
      </c>
    </row>
    <row r="1692" spans="1:9" x14ac:dyDescent="0.35">
      <c r="A1692" s="1">
        <v>45348</v>
      </c>
      <c r="B1692" t="s">
        <v>30</v>
      </c>
      <c r="C1692" t="s">
        <v>31</v>
      </c>
      <c r="D1692" t="s">
        <v>26</v>
      </c>
      <c r="E1692" t="s">
        <v>27</v>
      </c>
      <c r="F1692">
        <v>38</v>
      </c>
      <c r="G1692">
        <v>37.6</v>
      </c>
      <c r="H1692" t="s">
        <v>46</v>
      </c>
      <c r="I1692" t="s">
        <v>47</v>
      </c>
    </row>
    <row r="1693" spans="1:9" x14ac:dyDescent="0.35">
      <c r="A1693" s="1">
        <v>45348</v>
      </c>
      <c r="B1693" t="s">
        <v>30</v>
      </c>
      <c r="C1693" t="s">
        <v>31</v>
      </c>
      <c r="D1693" t="s">
        <v>28</v>
      </c>
      <c r="E1693" t="s">
        <v>29</v>
      </c>
      <c r="F1693">
        <v>32</v>
      </c>
      <c r="G1693">
        <v>31.7</v>
      </c>
      <c r="H1693" t="s">
        <v>46</v>
      </c>
      <c r="I1693" t="s">
        <v>47</v>
      </c>
    </row>
    <row r="1694" spans="1:9" x14ac:dyDescent="0.35">
      <c r="A1694" s="1">
        <v>45348</v>
      </c>
      <c r="B1694" t="s">
        <v>33</v>
      </c>
      <c r="C1694" t="s">
        <v>34</v>
      </c>
      <c r="D1694" t="s">
        <v>15</v>
      </c>
      <c r="E1694" t="s">
        <v>16</v>
      </c>
      <c r="F1694">
        <v>34</v>
      </c>
      <c r="G1694">
        <v>36.799999999999997</v>
      </c>
      <c r="H1694" t="s">
        <v>46</v>
      </c>
      <c r="I1694" t="s">
        <v>47</v>
      </c>
    </row>
    <row r="1695" spans="1:9" x14ac:dyDescent="0.35">
      <c r="A1695" s="1">
        <v>45348</v>
      </c>
      <c r="B1695" t="s">
        <v>33</v>
      </c>
      <c r="C1695" t="s">
        <v>34</v>
      </c>
      <c r="D1695" t="s">
        <v>18</v>
      </c>
      <c r="E1695" t="s">
        <v>19</v>
      </c>
      <c r="F1695">
        <v>38</v>
      </c>
      <c r="G1695">
        <v>39.200000000000003</v>
      </c>
      <c r="H1695" t="s">
        <v>46</v>
      </c>
      <c r="I1695" t="s">
        <v>47</v>
      </c>
    </row>
    <row r="1696" spans="1:9" x14ac:dyDescent="0.35">
      <c r="A1696" s="1">
        <v>45348</v>
      </c>
      <c r="B1696" t="s">
        <v>33</v>
      </c>
      <c r="C1696" t="s">
        <v>34</v>
      </c>
      <c r="D1696" t="s">
        <v>21</v>
      </c>
      <c r="E1696" t="s">
        <v>22</v>
      </c>
      <c r="F1696">
        <v>32</v>
      </c>
      <c r="G1696">
        <v>44.5</v>
      </c>
      <c r="H1696" t="s">
        <v>48</v>
      </c>
      <c r="I1696" t="s">
        <v>49</v>
      </c>
    </row>
    <row r="1697" spans="1:9" x14ac:dyDescent="0.35">
      <c r="A1697" s="1">
        <v>45348</v>
      </c>
      <c r="B1697" t="s">
        <v>33</v>
      </c>
      <c r="C1697" t="s">
        <v>34</v>
      </c>
      <c r="D1697" t="s">
        <v>24</v>
      </c>
      <c r="E1697" t="s">
        <v>25</v>
      </c>
      <c r="F1697">
        <v>50</v>
      </c>
      <c r="G1697">
        <v>51.5</v>
      </c>
      <c r="H1697" t="s">
        <v>46</v>
      </c>
      <c r="I1697" t="s">
        <v>47</v>
      </c>
    </row>
    <row r="1698" spans="1:9" x14ac:dyDescent="0.35">
      <c r="A1698" s="1">
        <v>45348</v>
      </c>
      <c r="B1698" t="s">
        <v>33</v>
      </c>
      <c r="C1698" t="s">
        <v>34</v>
      </c>
      <c r="D1698" t="s">
        <v>26</v>
      </c>
      <c r="E1698" t="s">
        <v>27</v>
      </c>
      <c r="F1698">
        <v>38</v>
      </c>
      <c r="G1698">
        <v>37.700000000000003</v>
      </c>
      <c r="H1698" t="s">
        <v>46</v>
      </c>
      <c r="I1698" t="s">
        <v>47</v>
      </c>
    </row>
    <row r="1699" spans="1:9" x14ac:dyDescent="0.35">
      <c r="A1699" s="1">
        <v>45348</v>
      </c>
      <c r="B1699" t="s">
        <v>33</v>
      </c>
      <c r="C1699" t="s">
        <v>34</v>
      </c>
      <c r="D1699" t="s">
        <v>28</v>
      </c>
      <c r="E1699" t="s">
        <v>29</v>
      </c>
      <c r="F1699">
        <v>32</v>
      </c>
      <c r="G1699">
        <v>45.4</v>
      </c>
      <c r="H1699" t="s">
        <v>48</v>
      </c>
      <c r="I1699" t="s">
        <v>49</v>
      </c>
    </row>
    <row r="1700" spans="1:9" x14ac:dyDescent="0.35">
      <c r="A1700" s="1">
        <v>45348</v>
      </c>
      <c r="B1700" t="s">
        <v>36</v>
      </c>
      <c r="C1700" t="s">
        <v>37</v>
      </c>
      <c r="D1700" t="s">
        <v>15</v>
      </c>
      <c r="E1700" t="s">
        <v>16</v>
      </c>
      <c r="F1700">
        <v>34</v>
      </c>
      <c r="G1700">
        <v>34</v>
      </c>
      <c r="H1700" t="s">
        <v>46</v>
      </c>
      <c r="I1700" t="s">
        <v>47</v>
      </c>
    </row>
    <row r="1701" spans="1:9" x14ac:dyDescent="0.35">
      <c r="A1701" s="1">
        <v>45348</v>
      </c>
      <c r="B1701" t="s">
        <v>36</v>
      </c>
      <c r="C1701" t="s">
        <v>37</v>
      </c>
      <c r="D1701" t="s">
        <v>18</v>
      </c>
      <c r="E1701" t="s">
        <v>19</v>
      </c>
      <c r="F1701">
        <v>38</v>
      </c>
      <c r="G1701">
        <v>41</v>
      </c>
      <c r="H1701" t="s">
        <v>46</v>
      </c>
      <c r="I1701" t="s">
        <v>47</v>
      </c>
    </row>
    <row r="1702" spans="1:9" x14ac:dyDescent="0.35">
      <c r="A1702" s="1">
        <v>45348</v>
      </c>
      <c r="B1702" t="s">
        <v>36</v>
      </c>
      <c r="C1702" t="s">
        <v>37</v>
      </c>
      <c r="D1702" t="s">
        <v>21</v>
      </c>
      <c r="E1702" t="s">
        <v>22</v>
      </c>
      <c r="F1702">
        <v>32</v>
      </c>
      <c r="G1702">
        <v>31.9</v>
      </c>
      <c r="H1702" t="s">
        <v>46</v>
      </c>
      <c r="I1702" t="s">
        <v>47</v>
      </c>
    </row>
    <row r="1703" spans="1:9" x14ac:dyDescent="0.35">
      <c r="A1703" s="1">
        <v>45348</v>
      </c>
      <c r="B1703" t="s">
        <v>36</v>
      </c>
      <c r="C1703" t="s">
        <v>37</v>
      </c>
      <c r="D1703" t="s">
        <v>24</v>
      </c>
      <c r="E1703" t="s">
        <v>25</v>
      </c>
      <c r="F1703">
        <v>50</v>
      </c>
      <c r="G1703">
        <v>50.1</v>
      </c>
      <c r="H1703" t="s">
        <v>46</v>
      </c>
      <c r="I1703" t="s">
        <v>47</v>
      </c>
    </row>
    <row r="1704" spans="1:9" x14ac:dyDescent="0.35">
      <c r="A1704" s="1">
        <v>45348</v>
      </c>
      <c r="B1704" t="s">
        <v>36</v>
      </c>
      <c r="C1704" t="s">
        <v>37</v>
      </c>
      <c r="D1704" t="s">
        <v>26</v>
      </c>
      <c r="E1704" t="s">
        <v>27</v>
      </c>
      <c r="F1704">
        <v>38</v>
      </c>
      <c r="G1704">
        <v>48.3</v>
      </c>
      <c r="H1704" t="s">
        <v>48</v>
      </c>
      <c r="I1704" t="s">
        <v>49</v>
      </c>
    </row>
    <row r="1705" spans="1:9" x14ac:dyDescent="0.35">
      <c r="A1705" s="1">
        <v>45348</v>
      </c>
      <c r="B1705" t="s">
        <v>36</v>
      </c>
      <c r="C1705" t="s">
        <v>37</v>
      </c>
      <c r="D1705" t="s">
        <v>28</v>
      </c>
      <c r="E1705" t="s">
        <v>29</v>
      </c>
      <c r="F1705">
        <v>32</v>
      </c>
      <c r="G1705">
        <v>38.700000000000003</v>
      </c>
      <c r="H1705" t="s">
        <v>48</v>
      </c>
      <c r="I1705" t="s">
        <v>50</v>
      </c>
    </row>
    <row r="1706" spans="1:9" x14ac:dyDescent="0.35">
      <c r="A1706" s="1">
        <v>45348</v>
      </c>
      <c r="B1706" t="s">
        <v>39</v>
      </c>
      <c r="C1706" t="s">
        <v>40</v>
      </c>
      <c r="D1706" t="s">
        <v>15</v>
      </c>
      <c r="E1706" t="s">
        <v>16</v>
      </c>
      <c r="F1706">
        <v>34</v>
      </c>
      <c r="G1706">
        <v>36.299999999999997</v>
      </c>
      <c r="H1706" t="s">
        <v>46</v>
      </c>
      <c r="I1706" t="s">
        <v>47</v>
      </c>
    </row>
    <row r="1707" spans="1:9" x14ac:dyDescent="0.35">
      <c r="A1707" s="1">
        <v>45348</v>
      </c>
      <c r="B1707" t="s">
        <v>39</v>
      </c>
      <c r="C1707" t="s">
        <v>40</v>
      </c>
      <c r="D1707" t="s">
        <v>18</v>
      </c>
      <c r="E1707" t="s">
        <v>19</v>
      </c>
      <c r="F1707">
        <v>38</v>
      </c>
      <c r="G1707">
        <v>41</v>
      </c>
      <c r="H1707" t="s">
        <v>46</v>
      </c>
      <c r="I1707" t="s">
        <v>47</v>
      </c>
    </row>
    <row r="1708" spans="1:9" x14ac:dyDescent="0.35">
      <c r="A1708" s="1">
        <v>45348</v>
      </c>
      <c r="B1708" t="s">
        <v>39</v>
      </c>
      <c r="C1708" t="s">
        <v>40</v>
      </c>
      <c r="D1708" t="s">
        <v>21</v>
      </c>
      <c r="E1708" t="s">
        <v>22</v>
      </c>
      <c r="F1708">
        <v>32</v>
      </c>
      <c r="G1708">
        <v>31.8</v>
      </c>
      <c r="H1708" t="s">
        <v>46</v>
      </c>
      <c r="I1708" t="s">
        <v>47</v>
      </c>
    </row>
    <row r="1709" spans="1:9" x14ac:dyDescent="0.35">
      <c r="A1709" s="1">
        <v>45348</v>
      </c>
      <c r="B1709" t="s">
        <v>39</v>
      </c>
      <c r="C1709" t="s">
        <v>40</v>
      </c>
      <c r="D1709" t="s">
        <v>24</v>
      </c>
      <c r="E1709" t="s">
        <v>25</v>
      </c>
      <c r="F1709">
        <v>50</v>
      </c>
      <c r="G1709">
        <v>52.2</v>
      </c>
      <c r="H1709" t="s">
        <v>46</v>
      </c>
      <c r="I1709" t="s">
        <v>47</v>
      </c>
    </row>
    <row r="1710" spans="1:9" x14ac:dyDescent="0.35">
      <c r="A1710" s="1">
        <v>45348</v>
      </c>
      <c r="B1710" t="s">
        <v>39</v>
      </c>
      <c r="C1710" t="s">
        <v>40</v>
      </c>
      <c r="D1710" t="s">
        <v>26</v>
      </c>
      <c r="E1710" t="s">
        <v>27</v>
      </c>
      <c r="F1710">
        <v>38</v>
      </c>
      <c r="G1710">
        <v>40.799999999999997</v>
      </c>
      <c r="H1710" t="s">
        <v>46</v>
      </c>
      <c r="I1710" t="s">
        <v>47</v>
      </c>
    </row>
    <row r="1711" spans="1:9" x14ac:dyDescent="0.35">
      <c r="A1711" s="1">
        <v>45348</v>
      </c>
      <c r="B1711" t="s">
        <v>39</v>
      </c>
      <c r="C1711" t="s">
        <v>40</v>
      </c>
      <c r="D1711" t="s">
        <v>28</v>
      </c>
      <c r="E1711" t="s">
        <v>29</v>
      </c>
      <c r="F1711">
        <v>32</v>
      </c>
      <c r="G1711">
        <v>34.9</v>
      </c>
      <c r="H1711" t="s">
        <v>46</v>
      </c>
      <c r="I1711" t="s">
        <v>47</v>
      </c>
    </row>
    <row r="1712" spans="1:9" x14ac:dyDescent="0.35">
      <c r="A1712" s="1">
        <v>45349</v>
      </c>
      <c r="B1712" t="s">
        <v>12</v>
      </c>
      <c r="C1712" t="s">
        <v>13</v>
      </c>
      <c r="D1712" t="s">
        <v>15</v>
      </c>
      <c r="E1712" t="s">
        <v>16</v>
      </c>
      <c r="F1712">
        <v>34</v>
      </c>
      <c r="G1712">
        <v>34.1</v>
      </c>
      <c r="H1712" t="s">
        <v>46</v>
      </c>
      <c r="I1712" t="s">
        <v>47</v>
      </c>
    </row>
    <row r="1713" spans="1:9" x14ac:dyDescent="0.35">
      <c r="A1713" s="1">
        <v>45349</v>
      </c>
      <c r="B1713" t="s">
        <v>12</v>
      </c>
      <c r="C1713" t="s">
        <v>13</v>
      </c>
      <c r="D1713" t="s">
        <v>18</v>
      </c>
      <c r="E1713" t="s">
        <v>19</v>
      </c>
      <c r="F1713">
        <v>38</v>
      </c>
      <c r="G1713">
        <v>38.299999999999997</v>
      </c>
      <c r="H1713" t="s">
        <v>46</v>
      </c>
      <c r="I1713" t="s">
        <v>47</v>
      </c>
    </row>
    <row r="1714" spans="1:9" x14ac:dyDescent="0.35">
      <c r="A1714" s="1">
        <v>45349</v>
      </c>
      <c r="B1714" t="s">
        <v>12</v>
      </c>
      <c r="C1714" t="s">
        <v>13</v>
      </c>
      <c r="D1714" t="s">
        <v>21</v>
      </c>
      <c r="E1714" t="s">
        <v>22</v>
      </c>
      <c r="F1714">
        <v>32</v>
      </c>
      <c r="G1714">
        <v>34.799999999999997</v>
      </c>
      <c r="H1714" t="s">
        <v>46</v>
      </c>
      <c r="I1714" t="s">
        <v>47</v>
      </c>
    </row>
    <row r="1715" spans="1:9" x14ac:dyDescent="0.35">
      <c r="A1715" s="1">
        <v>45349</v>
      </c>
      <c r="B1715" t="s">
        <v>12</v>
      </c>
      <c r="C1715" t="s">
        <v>13</v>
      </c>
      <c r="D1715" t="s">
        <v>24</v>
      </c>
      <c r="E1715" t="s">
        <v>25</v>
      </c>
      <c r="F1715">
        <v>50</v>
      </c>
      <c r="G1715">
        <v>52.7</v>
      </c>
      <c r="H1715" t="s">
        <v>46</v>
      </c>
      <c r="I1715" t="s">
        <v>47</v>
      </c>
    </row>
    <row r="1716" spans="1:9" x14ac:dyDescent="0.35">
      <c r="A1716" s="1">
        <v>45349</v>
      </c>
      <c r="B1716" t="s">
        <v>12</v>
      </c>
      <c r="C1716" t="s">
        <v>13</v>
      </c>
      <c r="D1716" t="s">
        <v>26</v>
      </c>
      <c r="E1716" t="s">
        <v>27</v>
      </c>
      <c r="F1716">
        <v>38</v>
      </c>
      <c r="G1716">
        <v>51.4</v>
      </c>
      <c r="H1716" t="s">
        <v>48</v>
      </c>
      <c r="I1716" t="s">
        <v>49</v>
      </c>
    </row>
    <row r="1717" spans="1:9" x14ac:dyDescent="0.35">
      <c r="A1717" s="1">
        <v>45349</v>
      </c>
      <c r="B1717" t="s">
        <v>12</v>
      </c>
      <c r="C1717" t="s">
        <v>13</v>
      </c>
      <c r="D1717" t="s">
        <v>28</v>
      </c>
      <c r="E1717" t="s">
        <v>29</v>
      </c>
      <c r="F1717">
        <v>32</v>
      </c>
      <c r="G1717">
        <v>31</v>
      </c>
      <c r="H1717" t="s">
        <v>46</v>
      </c>
      <c r="I1717" t="s">
        <v>47</v>
      </c>
    </row>
    <row r="1718" spans="1:9" x14ac:dyDescent="0.35">
      <c r="A1718" s="1">
        <v>45349</v>
      </c>
      <c r="B1718" t="s">
        <v>30</v>
      </c>
      <c r="C1718" t="s">
        <v>31</v>
      </c>
      <c r="D1718" t="s">
        <v>15</v>
      </c>
      <c r="E1718" t="s">
        <v>16</v>
      </c>
      <c r="F1718">
        <v>34</v>
      </c>
      <c r="G1718">
        <v>41.4</v>
      </c>
      <c r="H1718" t="s">
        <v>48</v>
      </c>
      <c r="I1718" t="s">
        <v>50</v>
      </c>
    </row>
    <row r="1719" spans="1:9" x14ac:dyDescent="0.35">
      <c r="A1719" s="1">
        <v>45349</v>
      </c>
      <c r="B1719" t="s">
        <v>30</v>
      </c>
      <c r="C1719" t="s">
        <v>31</v>
      </c>
      <c r="D1719" t="s">
        <v>18</v>
      </c>
      <c r="E1719" t="s">
        <v>19</v>
      </c>
      <c r="F1719">
        <v>38</v>
      </c>
      <c r="G1719">
        <v>39.799999999999997</v>
      </c>
      <c r="H1719" t="s">
        <v>46</v>
      </c>
      <c r="I1719" t="s">
        <v>47</v>
      </c>
    </row>
    <row r="1720" spans="1:9" x14ac:dyDescent="0.35">
      <c r="A1720" s="1">
        <v>45349</v>
      </c>
      <c r="B1720" t="s">
        <v>30</v>
      </c>
      <c r="C1720" t="s">
        <v>31</v>
      </c>
      <c r="D1720" t="s">
        <v>21</v>
      </c>
      <c r="E1720" t="s">
        <v>22</v>
      </c>
      <c r="F1720">
        <v>32</v>
      </c>
      <c r="G1720">
        <v>32.6</v>
      </c>
      <c r="H1720" t="s">
        <v>46</v>
      </c>
      <c r="I1720" t="s">
        <v>47</v>
      </c>
    </row>
    <row r="1721" spans="1:9" x14ac:dyDescent="0.35">
      <c r="A1721" s="1">
        <v>45349</v>
      </c>
      <c r="B1721" t="s">
        <v>30</v>
      </c>
      <c r="C1721" t="s">
        <v>31</v>
      </c>
      <c r="D1721" t="s">
        <v>24</v>
      </c>
      <c r="E1721" t="s">
        <v>25</v>
      </c>
      <c r="F1721">
        <v>50</v>
      </c>
      <c r="G1721">
        <v>63</v>
      </c>
      <c r="H1721" t="s">
        <v>48</v>
      </c>
      <c r="I1721" t="s">
        <v>49</v>
      </c>
    </row>
    <row r="1722" spans="1:9" x14ac:dyDescent="0.35">
      <c r="A1722" s="1">
        <v>45349</v>
      </c>
      <c r="B1722" t="s">
        <v>30</v>
      </c>
      <c r="C1722" t="s">
        <v>31</v>
      </c>
      <c r="D1722" t="s">
        <v>26</v>
      </c>
      <c r="E1722" t="s">
        <v>27</v>
      </c>
      <c r="F1722">
        <v>38</v>
      </c>
      <c r="G1722">
        <v>39.200000000000003</v>
      </c>
      <c r="H1722" t="s">
        <v>46</v>
      </c>
      <c r="I1722" t="s">
        <v>47</v>
      </c>
    </row>
    <row r="1723" spans="1:9" x14ac:dyDescent="0.35">
      <c r="A1723" s="1">
        <v>45349</v>
      </c>
      <c r="B1723" t="s">
        <v>30</v>
      </c>
      <c r="C1723" t="s">
        <v>31</v>
      </c>
      <c r="D1723" t="s">
        <v>28</v>
      </c>
      <c r="E1723" t="s">
        <v>29</v>
      </c>
      <c r="F1723">
        <v>32</v>
      </c>
      <c r="G1723">
        <v>34.299999999999997</v>
      </c>
      <c r="H1723" t="s">
        <v>46</v>
      </c>
      <c r="I1723" t="s">
        <v>47</v>
      </c>
    </row>
    <row r="1724" spans="1:9" x14ac:dyDescent="0.35">
      <c r="A1724" s="1">
        <v>45349</v>
      </c>
      <c r="B1724" t="s">
        <v>33</v>
      </c>
      <c r="C1724" t="s">
        <v>34</v>
      </c>
      <c r="D1724" t="s">
        <v>15</v>
      </c>
      <c r="E1724" t="s">
        <v>16</v>
      </c>
      <c r="F1724">
        <v>34</v>
      </c>
      <c r="G1724">
        <v>33.5</v>
      </c>
      <c r="H1724" t="s">
        <v>46</v>
      </c>
      <c r="I1724" t="s">
        <v>47</v>
      </c>
    </row>
    <row r="1725" spans="1:9" x14ac:dyDescent="0.35">
      <c r="A1725" s="1">
        <v>45349</v>
      </c>
      <c r="B1725" t="s">
        <v>33</v>
      </c>
      <c r="C1725" t="s">
        <v>34</v>
      </c>
      <c r="D1725" t="s">
        <v>18</v>
      </c>
      <c r="E1725" t="s">
        <v>19</v>
      </c>
      <c r="F1725">
        <v>38</v>
      </c>
      <c r="G1725">
        <v>38.5</v>
      </c>
      <c r="H1725" t="s">
        <v>46</v>
      </c>
      <c r="I1725" t="s">
        <v>47</v>
      </c>
    </row>
    <row r="1726" spans="1:9" x14ac:dyDescent="0.35">
      <c r="A1726" s="1">
        <v>45349</v>
      </c>
      <c r="B1726" t="s">
        <v>33</v>
      </c>
      <c r="C1726" t="s">
        <v>34</v>
      </c>
      <c r="D1726" t="s">
        <v>21</v>
      </c>
      <c r="E1726" t="s">
        <v>22</v>
      </c>
      <c r="F1726">
        <v>32</v>
      </c>
      <c r="G1726">
        <v>32.5</v>
      </c>
      <c r="H1726" t="s">
        <v>46</v>
      </c>
      <c r="I1726" t="s">
        <v>47</v>
      </c>
    </row>
    <row r="1727" spans="1:9" x14ac:dyDescent="0.35">
      <c r="A1727" s="1">
        <v>45349</v>
      </c>
      <c r="B1727" t="s">
        <v>33</v>
      </c>
      <c r="C1727" t="s">
        <v>34</v>
      </c>
      <c r="D1727" t="s">
        <v>24</v>
      </c>
      <c r="E1727" t="s">
        <v>25</v>
      </c>
      <c r="F1727">
        <v>50</v>
      </c>
      <c r="G1727">
        <v>52.2</v>
      </c>
      <c r="H1727" t="s">
        <v>46</v>
      </c>
      <c r="I1727" t="s">
        <v>47</v>
      </c>
    </row>
    <row r="1728" spans="1:9" x14ac:dyDescent="0.35">
      <c r="A1728" s="1">
        <v>45349</v>
      </c>
      <c r="B1728" t="s">
        <v>33</v>
      </c>
      <c r="C1728" t="s">
        <v>34</v>
      </c>
      <c r="D1728" t="s">
        <v>26</v>
      </c>
      <c r="E1728" t="s">
        <v>27</v>
      </c>
      <c r="F1728">
        <v>38</v>
      </c>
      <c r="G1728">
        <v>37.5</v>
      </c>
      <c r="H1728" t="s">
        <v>46</v>
      </c>
      <c r="I1728" t="s">
        <v>47</v>
      </c>
    </row>
    <row r="1729" spans="1:9" x14ac:dyDescent="0.35">
      <c r="A1729" s="1">
        <v>45349</v>
      </c>
      <c r="B1729" t="s">
        <v>33</v>
      </c>
      <c r="C1729" t="s">
        <v>34</v>
      </c>
      <c r="D1729" t="s">
        <v>28</v>
      </c>
      <c r="E1729" t="s">
        <v>29</v>
      </c>
      <c r="F1729">
        <v>32</v>
      </c>
      <c r="G1729">
        <v>31.8</v>
      </c>
      <c r="H1729" t="s">
        <v>46</v>
      </c>
      <c r="I1729" t="s">
        <v>47</v>
      </c>
    </row>
    <row r="1730" spans="1:9" x14ac:dyDescent="0.35">
      <c r="A1730" s="1">
        <v>45349</v>
      </c>
      <c r="B1730" t="s">
        <v>36</v>
      </c>
      <c r="C1730" t="s">
        <v>37</v>
      </c>
      <c r="D1730" t="s">
        <v>15</v>
      </c>
      <c r="E1730" t="s">
        <v>16</v>
      </c>
      <c r="F1730">
        <v>34</v>
      </c>
      <c r="G1730">
        <v>45.9</v>
      </c>
      <c r="H1730" t="s">
        <v>48</v>
      </c>
      <c r="I1730" t="s">
        <v>49</v>
      </c>
    </row>
    <row r="1731" spans="1:9" x14ac:dyDescent="0.35">
      <c r="A1731" s="1">
        <v>45349</v>
      </c>
      <c r="B1731" t="s">
        <v>36</v>
      </c>
      <c r="C1731" t="s">
        <v>37</v>
      </c>
      <c r="D1731" t="s">
        <v>18</v>
      </c>
      <c r="E1731" t="s">
        <v>19</v>
      </c>
      <c r="F1731">
        <v>38</v>
      </c>
      <c r="G1731">
        <v>39.700000000000003</v>
      </c>
      <c r="H1731" t="s">
        <v>46</v>
      </c>
      <c r="I1731" t="s">
        <v>47</v>
      </c>
    </row>
    <row r="1732" spans="1:9" x14ac:dyDescent="0.35">
      <c r="A1732" s="1">
        <v>45349</v>
      </c>
      <c r="B1732" t="s">
        <v>36</v>
      </c>
      <c r="C1732" t="s">
        <v>37</v>
      </c>
      <c r="D1732" t="s">
        <v>21</v>
      </c>
      <c r="E1732" t="s">
        <v>22</v>
      </c>
      <c r="F1732">
        <v>32</v>
      </c>
      <c r="G1732">
        <v>31.8</v>
      </c>
      <c r="H1732" t="s">
        <v>46</v>
      </c>
      <c r="I1732" t="s">
        <v>47</v>
      </c>
    </row>
    <row r="1733" spans="1:9" x14ac:dyDescent="0.35">
      <c r="A1733" s="1">
        <v>45349</v>
      </c>
      <c r="B1733" t="s">
        <v>36</v>
      </c>
      <c r="C1733" t="s">
        <v>37</v>
      </c>
      <c r="D1733" t="s">
        <v>24</v>
      </c>
      <c r="E1733" t="s">
        <v>25</v>
      </c>
      <c r="F1733">
        <v>50</v>
      </c>
      <c r="G1733">
        <v>51.5</v>
      </c>
      <c r="H1733" t="s">
        <v>46</v>
      </c>
      <c r="I1733" t="s">
        <v>47</v>
      </c>
    </row>
    <row r="1734" spans="1:9" x14ac:dyDescent="0.35">
      <c r="A1734" s="1">
        <v>45349</v>
      </c>
      <c r="B1734" t="s">
        <v>36</v>
      </c>
      <c r="C1734" t="s">
        <v>37</v>
      </c>
      <c r="D1734" t="s">
        <v>26</v>
      </c>
      <c r="E1734" t="s">
        <v>27</v>
      </c>
      <c r="F1734">
        <v>38</v>
      </c>
      <c r="G1734">
        <v>37.9</v>
      </c>
      <c r="H1734" t="s">
        <v>46</v>
      </c>
      <c r="I1734" t="s">
        <v>47</v>
      </c>
    </row>
    <row r="1735" spans="1:9" x14ac:dyDescent="0.35">
      <c r="A1735" s="1">
        <v>45349</v>
      </c>
      <c r="B1735" t="s">
        <v>36</v>
      </c>
      <c r="C1735" t="s">
        <v>37</v>
      </c>
      <c r="D1735" t="s">
        <v>28</v>
      </c>
      <c r="E1735" t="s">
        <v>29</v>
      </c>
      <c r="F1735">
        <v>32</v>
      </c>
      <c r="G1735">
        <v>34.9</v>
      </c>
      <c r="H1735" t="s">
        <v>46</v>
      </c>
      <c r="I1735" t="s">
        <v>47</v>
      </c>
    </row>
    <row r="1736" spans="1:9" x14ac:dyDescent="0.35">
      <c r="A1736" s="1">
        <v>45349</v>
      </c>
      <c r="B1736" t="s">
        <v>39</v>
      </c>
      <c r="C1736" t="s">
        <v>40</v>
      </c>
      <c r="D1736" t="s">
        <v>15</v>
      </c>
      <c r="E1736" t="s">
        <v>16</v>
      </c>
      <c r="F1736">
        <v>34</v>
      </c>
      <c r="G1736">
        <v>43.9</v>
      </c>
      <c r="H1736" t="s">
        <v>48</v>
      </c>
      <c r="I1736" t="s">
        <v>50</v>
      </c>
    </row>
    <row r="1737" spans="1:9" x14ac:dyDescent="0.35">
      <c r="A1737" s="1">
        <v>45349</v>
      </c>
      <c r="B1737" t="s">
        <v>39</v>
      </c>
      <c r="C1737" t="s">
        <v>40</v>
      </c>
      <c r="D1737" t="s">
        <v>18</v>
      </c>
      <c r="E1737" t="s">
        <v>19</v>
      </c>
      <c r="F1737">
        <v>38</v>
      </c>
      <c r="G1737">
        <v>39.4</v>
      </c>
      <c r="H1737" t="s">
        <v>46</v>
      </c>
      <c r="I1737" t="s">
        <v>47</v>
      </c>
    </row>
    <row r="1738" spans="1:9" x14ac:dyDescent="0.35">
      <c r="A1738" s="1">
        <v>45349</v>
      </c>
      <c r="B1738" t="s">
        <v>39</v>
      </c>
      <c r="C1738" t="s">
        <v>40</v>
      </c>
      <c r="D1738" t="s">
        <v>21</v>
      </c>
      <c r="E1738" t="s">
        <v>22</v>
      </c>
      <c r="F1738">
        <v>32</v>
      </c>
      <c r="G1738">
        <v>45.9</v>
      </c>
      <c r="H1738" t="s">
        <v>48</v>
      </c>
      <c r="I1738" t="s">
        <v>49</v>
      </c>
    </row>
    <row r="1739" spans="1:9" x14ac:dyDescent="0.35">
      <c r="A1739" s="1">
        <v>45349</v>
      </c>
      <c r="B1739" t="s">
        <v>39</v>
      </c>
      <c r="C1739" t="s">
        <v>40</v>
      </c>
      <c r="D1739" t="s">
        <v>24</v>
      </c>
      <c r="E1739" t="s">
        <v>25</v>
      </c>
      <c r="F1739">
        <v>50</v>
      </c>
      <c r="G1739">
        <v>49.4</v>
      </c>
      <c r="H1739" t="s">
        <v>46</v>
      </c>
      <c r="I1739" t="s">
        <v>47</v>
      </c>
    </row>
    <row r="1740" spans="1:9" x14ac:dyDescent="0.35">
      <c r="A1740" s="1">
        <v>45349</v>
      </c>
      <c r="B1740" t="s">
        <v>39</v>
      </c>
      <c r="C1740" t="s">
        <v>40</v>
      </c>
      <c r="D1740" t="s">
        <v>26</v>
      </c>
      <c r="E1740" t="s">
        <v>27</v>
      </c>
      <c r="F1740">
        <v>38</v>
      </c>
      <c r="G1740">
        <v>39</v>
      </c>
      <c r="H1740" t="s">
        <v>46</v>
      </c>
      <c r="I1740" t="s">
        <v>47</v>
      </c>
    </row>
    <row r="1741" spans="1:9" x14ac:dyDescent="0.35">
      <c r="A1741" s="1">
        <v>45349</v>
      </c>
      <c r="B1741" t="s">
        <v>39</v>
      </c>
      <c r="C1741" t="s">
        <v>40</v>
      </c>
      <c r="D1741" t="s">
        <v>28</v>
      </c>
      <c r="E1741" t="s">
        <v>29</v>
      </c>
      <c r="F1741">
        <v>32</v>
      </c>
      <c r="G1741">
        <v>39.6</v>
      </c>
      <c r="H1741" t="s">
        <v>48</v>
      </c>
      <c r="I1741" t="s">
        <v>50</v>
      </c>
    </row>
    <row r="1742" spans="1:9" x14ac:dyDescent="0.35">
      <c r="A1742" s="1">
        <v>45350</v>
      </c>
      <c r="B1742" t="s">
        <v>12</v>
      </c>
      <c r="C1742" t="s">
        <v>13</v>
      </c>
      <c r="D1742" t="s">
        <v>15</v>
      </c>
      <c r="E1742" t="s">
        <v>16</v>
      </c>
      <c r="F1742">
        <v>34</v>
      </c>
      <c r="G1742">
        <v>35.700000000000003</v>
      </c>
      <c r="H1742" t="s">
        <v>46</v>
      </c>
      <c r="I1742" t="s">
        <v>47</v>
      </c>
    </row>
    <row r="1743" spans="1:9" x14ac:dyDescent="0.35">
      <c r="A1743" s="1">
        <v>45350</v>
      </c>
      <c r="B1743" t="s">
        <v>12</v>
      </c>
      <c r="C1743" t="s">
        <v>13</v>
      </c>
      <c r="D1743" t="s">
        <v>18</v>
      </c>
      <c r="E1743" t="s">
        <v>19</v>
      </c>
      <c r="F1743">
        <v>38</v>
      </c>
      <c r="G1743">
        <v>37.700000000000003</v>
      </c>
      <c r="H1743" t="s">
        <v>46</v>
      </c>
      <c r="I1743" t="s">
        <v>47</v>
      </c>
    </row>
    <row r="1744" spans="1:9" x14ac:dyDescent="0.35">
      <c r="A1744" s="1">
        <v>45350</v>
      </c>
      <c r="B1744" t="s">
        <v>12</v>
      </c>
      <c r="C1744" t="s">
        <v>13</v>
      </c>
      <c r="D1744" t="s">
        <v>21</v>
      </c>
      <c r="E1744" t="s">
        <v>22</v>
      </c>
      <c r="F1744">
        <v>32</v>
      </c>
      <c r="G1744">
        <v>34</v>
      </c>
      <c r="H1744" t="s">
        <v>46</v>
      </c>
      <c r="I1744" t="s">
        <v>47</v>
      </c>
    </row>
    <row r="1745" spans="1:9" x14ac:dyDescent="0.35">
      <c r="A1745" s="1">
        <v>45350</v>
      </c>
      <c r="B1745" t="s">
        <v>12</v>
      </c>
      <c r="C1745" t="s">
        <v>13</v>
      </c>
      <c r="D1745" t="s">
        <v>24</v>
      </c>
      <c r="E1745" t="s">
        <v>25</v>
      </c>
      <c r="F1745">
        <v>50</v>
      </c>
      <c r="G1745">
        <v>63.5</v>
      </c>
      <c r="H1745" t="s">
        <v>48</v>
      </c>
      <c r="I1745" t="s">
        <v>49</v>
      </c>
    </row>
    <row r="1746" spans="1:9" x14ac:dyDescent="0.35">
      <c r="A1746" s="1">
        <v>45350</v>
      </c>
      <c r="B1746" t="s">
        <v>12</v>
      </c>
      <c r="C1746" t="s">
        <v>13</v>
      </c>
      <c r="D1746" t="s">
        <v>26</v>
      </c>
      <c r="E1746" t="s">
        <v>27</v>
      </c>
      <c r="F1746">
        <v>38</v>
      </c>
      <c r="G1746">
        <v>40.5</v>
      </c>
      <c r="H1746" t="s">
        <v>46</v>
      </c>
      <c r="I1746" t="s">
        <v>47</v>
      </c>
    </row>
    <row r="1747" spans="1:9" x14ac:dyDescent="0.35">
      <c r="A1747" s="1">
        <v>45350</v>
      </c>
      <c r="B1747" t="s">
        <v>12</v>
      </c>
      <c r="C1747" t="s">
        <v>13</v>
      </c>
      <c r="D1747" t="s">
        <v>28</v>
      </c>
      <c r="E1747" t="s">
        <v>29</v>
      </c>
      <c r="F1747">
        <v>32</v>
      </c>
      <c r="G1747">
        <v>32.1</v>
      </c>
      <c r="H1747" t="s">
        <v>46</v>
      </c>
      <c r="I1747" t="s">
        <v>47</v>
      </c>
    </row>
    <row r="1748" spans="1:9" x14ac:dyDescent="0.35">
      <c r="A1748" s="1">
        <v>45350</v>
      </c>
      <c r="B1748" t="s">
        <v>30</v>
      </c>
      <c r="C1748" t="s">
        <v>31</v>
      </c>
      <c r="D1748" t="s">
        <v>15</v>
      </c>
      <c r="E1748" t="s">
        <v>16</v>
      </c>
      <c r="F1748">
        <v>34</v>
      </c>
      <c r="G1748">
        <v>33.1</v>
      </c>
      <c r="H1748" t="s">
        <v>46</v>
      </c>
      <c r="I1748" t="s">
        <v>47</v>
      </c>
    </row>
    <row r="1749" spans="1:9" x14ac:dyDescent="0.35">
      <c r="A1749" s="1">
        <v>45350</v>
      </c>
      <c r="B1749" t="s">
        <v>30</v>
      </c>
      <c r="C1749" t="s">
        <v>31</v>
      </c>
      <c r="D1749" t="s">
        <v>18</v>
      </c>
      <c r="E1749" t="s">
        <v>19</v>
      </c>
      <c r="F1749">
        <v>38</v>
      </c>
      <c r="G1749">
        <v>39.700000000000003</v>
      </c>
      <c r="H1749" t="s">
        <v>46</v>
      </c>
      <c r="I1749" t="s">
        <v>47</v>
      </c>
    </row>
    <row r="1750" spans="1:9" x14ac:dyDescent="0.35">
      <c r="A1750" s="1">
        <v>45350</v>
      </c>
      <c r="B1750" t="s">
        <v>30</v>
      </c>
      <c r="C1750" t="s">
        <v>31</v>
      </c>
      <c r="D1750" t="s">
        <v>21</v>
      </c>
      <c r="E1750" t="s">
        <v>22</v>
      </c>
      <c r="F1750">
        <v>32</v>
      </c>
      <c r="G1750">
        <v>33.700000000000003</v>
      </c>
      <c r="H1750" t="s">
        <v>46</v>
      </c>
      <c r="I1750" t="s">
        <v>47</v>
      </c>
    </row>
    <row r="1751" spans="1:9" x14ac:dyDescent="0.35">
      <c r="A1751" s="1">
        <v>45350</v>
      </c>
      <c r="B1751" t="s">
        <v>30</v>
      </c>
      <c r="C1751" t="s">
        <v>31</v>
      </c>
      <c r="D1751" t="s">
        <v>24</v>
      </c>
      <c r="E1751" t="s">
        <v>25</v>
      </c>
      <c r="F1751">
        <v>50</v>
      </c>
      <c r="G1751">
        <v>49</v>
      </c>
      <c r="H1751" t="s">
        <v>46</v>
      </c>
      <c r="I1751" t="s">
        <v>47</v>
      </c>
    </row>
    <row r="1752" spans="1:9" x14ac:dyDescent="0.35">
      <c r="A1752" s="1">
        <v>45350</v>
      </c>
      <c r="B1752" t="s">
        <v>30</v>
      </c>
      <c r="C1752" t="s">
        <v>31</v>
      </c>
      <c r="D1752" t="s">
        <v>26</v>
      </c>
      <c r="E1752" t="s">
        <v>27</v>
      </c>
      <c r="F1752">
        <v>38</v>
      </c>
      <c r="G1752">
        <v>39.700000000000003</v>
      </c>
      <c r="H1752" t="s">
        <v>46</v>
      </c>
      <c r="I1752" t="s">
        <v>47</v>
      </c>
    </row>
    <row r="1753" spans="1:9" x14ac:dyDescent="0.35">
      <c r="A1753" s="1">
        <v>45350</v>
      </c>
      <c r="B1753" t="s">
        <v>30</v>
      </c>
      <c r="C1753" t="s">
        <v>31</v>
      </c>
      <c r="D1753" t="s">
        <v>28</v>
      </c>
      <c r="E1753" t="s">
        <v>29</v>
      </c>
      <c r="F1753">
        <v>32</v>
      </c>
      <c r="G1753">
        <v>34.4</v>
      </c>
      <c r="H1753" t="s">
        <v>46</v>
      </c>
      <c r="I1753" t="s">
        <v>47</v>
      </c>
    </row>
    <row r="1754" spans="1:9" x14ac:dyDescent="0.35">
      <c r="A1754" s="1">
        <v>45350</v>
      </c>
      <c r="B1754" t="s">
        <v>33</v>
      </c>
      <c r="C1754" t="s">
        <v>34</v>
      </c>
      <c r="D1754" t="s">
        <v>15</v>
      </c>
      <c r="E1754" t="s">
        <v>16</v>
      </c>
      <c r="F1754">
        <v>34</v>
      </c>
      <c r="G1754">
        <v>36.4</v>
      </c>
      <c r="H1754" t="s">
        <v>46</v>
      </c>
      <c r="I1754" t="s">
        <v>47</v>
      </c>
    </row>
    <row r="1755" spans="1:9" x14ac:dyDescent="0.35">
      <c r="A1755" s="1">
        <v>45350</v>
      </c>
      <c r="B1755" t="s">
        <v>33</v>
      </c>
      <c r="C1755" t="s">
        <v>34</v>
      </c>
      <c r="D1755" t="s">
        <v>18</v>
      </c>
      <c r="E1755" t="s">
        <v>19</v>
      </c>
      <c r="F1755">
        <v>38</v>
      </c>
      <c r="G1755">
        <v>37.5</v>
      </c>
      <c r="H1755" t="s">
        <v>46</v>
      </c>
      <c r="I1755" t="s">
        <v>47</v>
      </c>
    </row>
    <row r="1756" spans="1:9" x14ac:dyDescent="0.35">
      <c r="A1756" s="1">
        <v>45350</v>
      </c>
      <c r="B1756" t="s">
        <v>33</v>
      </c>
      <c r="C1756" t="s">
        <v>34</v>
      </c>
      <c r="D1756" t="s">
        <v>21</v>
      </c>
      <c r="E1756" t="s">
        <v>22</v>
      </c>
      <c r="F1756">
        <v>32</v>
      </c>
      <c r="G1756">
        <v>33</v>
      </c>
      <c r="H1756" t="s">
        <v>46</v>
      </c>
      <c r="I1756" t="s">
        <v>47</v>
      </c>
    </row>
    <row r="1757" spans="1:9" x14ac:dyDescent="0.35">
      <c r="A1757" s="1">
        <v>45350</v>
      </c>
      <c r="B1757" t="s">
        <v>33</v>
      </c>
      <c r="C1757" t="s">
        <v>34</v>
      </c>
      <c r="D1757" t="s">
        <v>24</v>
      </c>
      <c r="E1757" t="s">
        <v>25</v>
      </c>
      <c r="F1757">
        <v>50</v>
      </c>
      <c r="G1757">
        <v>49.2</v>
      </c>
      <c r="H1757" t="s">
        <v>46</v>
      </c>
      <c r="I1757" t="s">
        <v>47</v>
      </c>
    </row>
    <row r="1758" spans="1:9" x14ac:dyDescent="0.35">
      <c r="A1758" s="1">
        <v>45350</v>
      </c>
      <c r="B1758" t="s">
        <v>33</v>
      </c>
      <c r="C1758" t="s">
        <v>34</v>
      </c>
      <c r="D1758" t="s">
        <v>26</v>
      </c>
      <c r="E1758" t="s">
        <v>27</v>
      </c>
      <c r="F1758">
        <v>38</v>
      </c>
      <c r="G1758">
        <v>37.200000000000003</v>
      </c>
      <c r="H1758" t="s">
        <v>46</v>
      </c>
      <c r="I1758" t="s">
        <v>47</v>
      </c>
    </row>
    <row r="1759" spans="1:9" x14ac:dyDescent="0.35">
      <c r="A1759" s="1">
        <v>45350</v>
      </c>
      <c r="B1759" t="s">
        <v>33</v>
      </c>
      <c r="C1759" t="s">
        <v>34</v>
      </c>
      <c r="D1759" t="s">
        <v>28</v>
      </c>
      <c r="E1759" t="s">
        <v>29</v>
      </c>
      <c r="F1759">
        <v>32</v>
      </c>
      <c r="G1759">
        <v>33.1</v>
      </c>
      <c r="H1759" t="s">
        <v>46</v>
      </c>
      <c r="I1759" t="s">
        <v>47</v>
      </c>
    </row>
    <row r="1760" spans="1:9" x14ac:dyDescent="0.35">
      <c r="A1760" s="1">
        <v>45350</v>
      </c>
      <c r="B1760" t="s">
        <v>36</v>
      </c>
      <c r="C1760" t="s">
        <v>37</v>
      </c>
      <c r="D1760" t="s">
        <v>15</v>
      </c>
      <c r="E1760" t="s">
        <v>16</v>
      </c>
      <c r="F1760">
        <v>34</v>
      </c>
      <c r="G1760">
        <v>34.6</v>
      </c>
      <c r="H1760" t="s">
        <v>46</v>
      </c>
      <c r="I1760" t="s">
        <v>47</v>
      </c>
    </row>
    <row r="1761" spans="1:9" x14ac:dyDescent="0.35">
      <c r="A1761" s="1">
        <v>45350</v>
      </c>
      <c r="B1761" t="s">
        <v>36</v>
      </c>
      <c r="C1761" t="s">
        <v>37</v>
      </c>
      <c r="D1761" t="s">
        <v>18</v>
      </c>
      <c r="E1761" t="s">
        <v>19</v>
      </c>
      <c r="F1761">
        <v>38</v>
      </c>
      <c r="G1761">
        <v>40.5</v>
      </c>
      <c r="H1761" t="s">
        <v>46</v>
      </c>
      <c r="I1761" t="s">
        <v>47</v>
      </c>
    </row>
    <row r="1762" spans="1:9" x14ac:dyDescent="0.35">
      <c r="A1762" s="1">
        <v>45350</v>
      </c>
      <c r="B1762" t="s">
        <v>36</v>
      </c>
      <c r="C1762" t="s">
        <v>37</v>
      </c>
      <c r="D1762" t="s">
        <v>21</v>
      </c>
      <c r="E1762" t="s">
        <v>22</v>
      </c>
      <c r="F1762">
        <v>32</v>
      </c>
      <c r="G1762">
        <v>35</v>
      </c>
      <c r="H1762" t="s">
        <v>46</v>
      </c>
      <c r="I1762" t="s">
        <v>47</v>
      </c>
    </row>
    <row r="1763" spans="1:9" x14ac:dyDescent="0.35">
      <c r="A1763" s="1">
        <v>45350</v>
      </c>
      <c r="B1763" t="s">
        <v>36</v>
      </c>
      <c r="C1763" t="s">
        <v>37</v>
      </c>
      <c r="D1763" t="s">
        <v>24</v>
      </c>
      <c r="E1763" t="s">
        <v>25</v>
      </c>
      <c r="F1763">
        <v>50</v>
      </c>
      <c r="G1763">
        <v>51.8</v>
      </c>
      <c r="H1763" t="s">
        <v>46</v>
      </c>
      <c r="I1763" t="s">
        <v>47</v>
      </c>
    </row>
    <row r="1764" spans="1:9" x14ac:dyDescent="0.35">
      <c r="A1764" s="1">
        <v>45350</v>
      </c>
      <c r="B1764" t="s">
        <v>36</v>
      </c>
      <c r="C1764" t="s">
        <v>37</v>
      </c>
      <c r="D1764" t="s">
        <v>26</v>
      </c>
      <c r="E1764" t="s">
        <v>27</v>
      </c>
      <c r="F1764">
        <v>38</v>
      </c>
      <c r="G1764">
        <v>40.700000000000003</v>
      </c>
      <c r="H1764" t="s">
        <v>46</v>
      </c>
      <c r="I1764" t="s">
        <v>47</v>
      </c>
    </row>
    <row r="1765" spans="1:9" x14ac:dyDescent="0.35">
      <c r="A1765" s="1">
        <v>45350</v>
      </c>
      <c r="B1765" t="s">
        <v>36</v>
      </c>
      <c r="C1765" t="s">
        <v>37</v>
      </c>
      <c r="D1765" t="s">
        <v>28</v>
      </c>
      <c r="E1765" t="s">
        <v>29</v>
      </c>
      <c r="F1765">
        <v>32</v>
      </c>
      <c r="G1765">
        <v>32.299999999999997</v>
      </c>
      <c r="H1765" t="s">
        <v>46</v>
      </c>
      <c r="I1765" t="s">
        <v>47</v>
      </c>
    </row>
    <row r="1766" spans="1:9" x14ac:dyDescent="0.35">
      <c r="A1766" s="1">
        <v>45350</v>
      </c>
      <c r="B1766" t="s">
        <v>39</v>
      </c>
      <c r="C1766" t="s">
        <v>40</v>
      </c>
      <c r="D1766" t="s">
        <v>15</v>
      </c>
      <c r="E1766" t="s">
        <v>16</v>
      </c>
      <c r="F1766">
        <v>34</v>
      </c>
      <c r="G1766">
        <v>45</v>
      </c>
      <c r="H1766" t="s">
        <v>48</v>
      </c>
      <c r="I1766" t="s">
        <v>49</v>
      </c>
    </row>
    <row r="1767" spans="1:9" x14ac:dyDescent="0.35">
      <c r="A1767" s="1">
        <v>45350</v>
      </c>
      <c r="B1767" t="s">
        <v>39</v>
      </c>
      <c r="C1767" t="s">
        <v>40</v>
      </c>
      <c r="D1767" t="s">
        <v>18</v>
      </c>
      <c r="E1767" t="s">
        <v>19</v>
      </c>
      <c r="F1767">
        <v>38</v>
      </c>
      <c r="G1767">
        <v>47.5</v>
      </c>
      <c r="H1767" t="s">
        <v>48</v>
      </c>
      <c r="I1767" t="s">
        <v>50</v>
      </c>
    </row>
    <row r="1768" spans="1:9" x14ac:dyDescent="0.35">
      <c r="A1768" s="1">
        <v>45350</v>
      </c>
      <c r="B1768" t="s">
        <v>39</v>
      </c>
      <c r="C1768" t="s">
        <v>40</v>
      </c>
      <c r="D1768" t="s">
        <v>21</v>
      </c>
      <c r="E1768" t="s">
        <v>22</v>
      </c>
      <c r="F1768">
        <v>32</v>
      </c>
      <c r="G1768">
        <v>44.4</v>
      </c>
      <c r="H1768" t="s">
        <v>48</v>
      </c>
      <c r="I1768" t="s">
        <v>49</v>
      </c>
    </row>
    <row r="1769" spans="1:9" x14ac:dyDescent="0.35">
      <c r="A1769" s="1">
        <v>45350</v>
      </c>
      <c r="B1769" t="s">
        <v>39</v>
      </c>
      <c r="C1769" t="s">
        <v>40</v>
      </c>
      <c r="D1769" t="s">
        <v>24</v>
      </c>
      <c r="E1769" t="s">
        <v>25</v>
      </c>
      <c r="F1769">
        <v>50</v>
      </c>
      <c r="G1769">
        <v>52.4</v>
      </c>
      <c r="H1769" t="s">
        <v>46</v>
      </c>
      <c r="I1769" t="s">
        <v>47</v>
      </c>
    </row>
    <row r="1770" spans="1:9" x14ac:dyDescent="0.35">
      <c r="A1770" s="1">
        <v>45350</v>
      </c>
      <c r="B1770" t="s">
        <v>39</v>
      </c>
      <c r="C1770" t="s">
        <v>40</v>
      </c>
      <c r="D1770" t="s">
        <v>26</v>
      </c>
      <c r="E1770" t="s">
        <v>27</v>
      </c>
      <c r="F1770">
        <v>38</v>
      </c>
      <c r="G1770">
        <v>38.9</v>
      </c>
      <c r="H1770" t="s">
        <v>46</v>
      </c>
      <c r="I1770" t="s">
        <v>47</v>
      </c>
    </row>
    <row r="1771" spans="1:9" x14ac:dyDescent="0.35">
      <c r="A1771" s="1">
        <v>45350</v>
      </c>
      <c r="B1771" t="s">
        <v>39</v>
      </c>
      <c r="C1771" t="s">
        <v>40</v>
      </c>
      <c r="D1771" t="s">
        <v>28</v>
      </c>
      <c r="E1771" t="s">
        <v>29</v>
      </c>
      <c r="F1771">
        <v>32</v>
      </c>
      <c r="G1771">
        <v>34.299999999999997</v>
      </c>
      <c r="H1771" t="s">
        <v>46</v>
      </c>
      <c r="I1771" t="s">
        <v>47</v>
      </c>
    </row>
    <row r="1772" spans="1:9" x14ac:dyDescent="0.35">
      <c r="A1772" s="1">
        <v>45351</v>
      </c>
      <c r="B1772" t="s">
        <v>12</v>
      </c>
      <c r="C1772" t="s">
        <v>13</v>
      </c>
      <c r="D1772" t="s">
        <v>15</v>
      </c>
      <c r="E1772" t="s">
        <v>16</v>
      </c>
      <c r="F1772">
        <v>34</v>
      </c>
      <c r="G1772">
        <v>35.1</v>
      </c>
      <c r="H1772" t="s">
        <v>46</v>
      </c>
      <c r="I1772" t="s">
        <v>47</v>
      </c>
    </row>
    <row r="1773" spans="1:9" x14ac:dyDescent="0.35">
      <c r="A1773" s="1">
        <v>45351</v>
      </c>
      <c r="B1773" t="s">
        <v>12</v>
      </c>
      <c r="C1773" t="s">
        <v>13</v>
      </c>
      <c r="D1773" t="s">
        <v>18</v>
      </c>
      <c r="E1773" t="s">
        <v>19</v>
      </c>
      <c r="F1773">
        <v>38</v>
      </c>
      <c r="G1773">
        <v>37.299999999999997</v>
      </c>
      <c r="H1773" t="s">
        <v>46</v>
      </c>
      <c r="I1773" t="s">
        <v>47</v>
      </c>
    </row>
    <row r="1774" spans="1:9" x14ac:dyDescent="0.35">
      <c r="A1774" s="1">
        <v>45351</v>
      </c>
      <c r="B1774" t="s">
        <v>12</v>
      </c>
      <c r="C1774" t="s">
        <v>13</v>
      </c>
      <c r="D1774" t="s">
        <v>21</v>
      </c>
      <c r="E1774" t="s">
        <v>22</v>
      </c>
      <c r="F1774">
        <v>32</v>
      </c>
      <c r="G1774">
        <v>32.799999999999997</v>
      </c>
      <c r="H1774" t="s">
        <v>46</v>
      </c>
      <c r="I1774" t="s">
        <v>47</v>
      </c>
    </row>
    <row r="1775" spans="1:9" x14ac:dyDescent="0.35">
      <c r="A1775" s="1">
        <v>45351</v>
      </c>
      <c r="B1775" t="s">
        <v>12</v>
      </c>
      <c r="C1775" t="s">
        <v>13</v>
      </c>
      <c r="D1775" t="s">
        <v>24</v>
      </c>
      <c r="E1775" t="s">
        <v>25</v>
      </c>
      <c r="F1775">
        <v>50</v>
      </c>
      <c r="G1775">
        <v>59.6</v>
      </c>
      <c r="H1775" t="s">
        <v>48</v>
      </c>
      <c r="I1775" t="s">
        <v>50</v>
      </c>
    </row>
    <row r="1776" spans="1:9" x14ac:dyDescent="0.35">
      <c r="A1776" s="1">
        <v>45351</v>
      </c>
      <c r="B1776" t="s">
        <v>12</v>
      </c>
      <c r="C1776" t="s">
        <v>13</v>
      </c>
      <c r="D1776" t="s">
        <v>26</v>
      </c>
      <c r="E1776" t="s">
        <v>27</v>
      </c>
      <c r="F1776">
        <v>38</v>
      </c>
      <c r="G1776">
        <v>51.8</v>
      </c>
      <c r="H1776" t="s">
        <v>48</v>
      </c>
      <c r="I1776" t="s">
        <v>49</v>
      </c>
    </row>
    <row r="1777" spans="1:9" x14ac:dyDescent="0.35">
      <c r="A1777" s="1">
        <v>45351</v>
      </c>
      <c r="B1777" t="s">
        <v>12</v>
      </c>
      <c r="C1777" t="s">
        <v>13</v>
      </c>
      <c r="D1777" t="s">
        <v>28</v>
      </c>
      <c r="E1777" t="s">
        <v>29</v>
      </c>
      <c r="F1777">
        <v>32</v>
      </c>
      <c r="G1777">
        <v>32.5</v>
      </c>
      <c r="H1777" t="s">
        <v>46</v>
      </c>
      <c r="I1777" t="s">
        <v>47</v>
      </c>
    </row>
    <row r="1778" spans="1:9" x14ac:dyDescent="0.35">
      <c r="A1778" s="1">
        <v>45351</v>
      </c>
      <c r="B1778" t="s">
        <v>30</v>
      </c>
      <c r="C1778" t="s">
        <v>31</v>
      </c>
      <c r="D1778" t="s">
        <v>15</v>
      </c>
      <c r="E1778" t="s">
        <v>16</v>
      </c>
      <c r="F1778">
        <v>34</v>
      </c>
      <c r="G1778">
        <v>35.799999999999997</v>
      </c>
      <c r="H1778" t="s">
        <v>46</v>
      </c>
      <c r="I1778" t="s">
        <v>47</v>
      </c>
    </row>
    <row r="1779" spans="1:9" x14ac:dyDescent="0.35">
      <c r="A1779" s="1">
        <v>45351</v>
      </c>
      <c r="B1779" t="s">
        <v>30</v>
      </c>
      <c r="C1779" t="s">
        <v>31</v>
      </c>
      <c r="D1779" t="s">
        <v>18</v>
      </c>
      <c r="E1779" t="s">
        <v>19</v>
      </c>
      <c r="F1779">
        <v>38</v>
      </c>
      <c r="G1779">
        <v>37.200000000000003</v>
      </c>
      <c r="H1779" t="s">
        <v>46</v>
      </c>
      <c r="I1779" t="s">
        <v>47</v>
      </c>
    </row>
    <row r="1780" spans="1:9" x14ac:dyDescent="0.35">
      <c r="A1780" s="1">
        <v>45351</v>
      </c>
      <c r="B1780" t="s">
        <v>30</v>
      </c>
      <c r="C1780" t="s">
        <v>31</v>
      </c>
      <c r="D1780" t="s">
        <v>21</v>
      </c>
      <c r="E1780" t="s">
        <v>22</v>
      </c>
      <c r="F1780">
        <v>32</v>
      </c>
      <c r="G1780">
        <v>31.2</v>
      </c>
      <c r="H1780" t="s">
        <v>46</v>
      </c>
      <c r="I1780" t="s">
        <v>47</v>
      </c>
    </row>
    <row r="1781" spans="1:9" x14ac:dyDescent="0.35">
      <c r="A1781" s="1">
        <v>45351</v>
      </c>
      <c r="B1781" t="s">
        <v>30</v>
      </c>
      <c r="C1781" t="s">
        <v>31</v>
      </c>
      <c r="D1781" t="s">
        <v>24</v>
      </c>
      <c r="E1781" t="s">
        <v>25</v>
      </c>
      <c r="F1781">
        <v>50</v>
      </c>
      <c r="G1781">
        <v>50.7</v>
      </c>
      <c r="H1781" t="s">
        <v>46</v>
      </c>
      <c r="I1781" t="s">
        <v>47</v>
      </c>
    </row>
    <row r="1782" spans="1:9" x14ac:dyDescent="0.35">
      <c r="A1782" s="1">
        <v>45351</v>
      </c>
      <c r="B1782" t="s">
        <v>30</v>
      </c>
      <c r="C1782" t="s">
        <v>31</v>
      </c>
      <c r="D1782" t="s">
        <v>26</v>
      </c>
      <c r="E1782" t="s">
        <v>27</v>
      </c>
      <c r="F1782">
        <v>38</v>
      </c>
      <c r="G1782">
        <v>44.4</v>
      </c>
      <c r="H1782" t="s">
        <v>48</v>
      </c>
      <c r="I1782" t="s">
        <v>50</v>
      </c>
    </row>
    <row r="1783" spans="1:9" x14ac:dyDescent="0.35">
      <c r="A1783" s="1">
        <v>45351</v>
      </c>
      <c r="B1783" t="s">
        <v>30</v>
      </c>
      <c r="C1783" t="s">
        <v>31</v>
      </c>
      <c r="D1783" t="s">
        <v>28</v>
      </c>
      <c r="E1783" t="s">
        <v>29</v>
      </c>
      <c r="F1783">
        <v>32</v>
      </c>
      <c r="G1783">
        <v>44.8</v>
      </c>
      <c r="H1783" t="s">
        <v>48</v>
      </c>
      <c r="I1783" t="s">
        <v>49</v>
      </c>
    </row>
    <row r="1784" spans="1:9" x14ac:dyDescent="0.35">
      <c r="A1784" s="1">
        <v>45351</v>
      </c>
      <c r="B1784" t="s">
        <v>33</v>
      </c>
      <c r="C1784" t="s">
        <v>34</v>
      </c>
      <c r="D1784" t="s">
        <v>15</v>
      </c>
      <c r="E1784" t="s">
        <v>16</v>
      </c>
      <c r="F1784">
        <v>34</v>
      </c>
      <c r="G1784">
        <v>35.5</v>
      </c>
      <c r="H1784" t="s">
        <v>46</v>
      </c>
      <c r="I1784" t="s">
        <v>47</v>
      </c>
    </row>
    <row r="1785" spans="1:9" x14ac:dyDescent="0.35">
      <c r="A1785" s="1">
        <v>45351</v>
      </c>
      <c r="B1785" t="s">
        <v>33</v>
      </c>
      <c r="C1785" t="s">
        <v>34</v>
      </c>
      <c r="D1785" t="s">
        <v>18</v>
      </c>
      <c r="E1785" t="s">
        <v>19</v>
      </c>
      <c r="F1785">
        <v>38</v>
      </c>
      <c r="G1785">
        <v>40.5</v>
      </c>
      <c r="H1785" t="s">
        <v>46</v>
      </c>
      <c r="I1785" t="s">
        <v>47</v>
      </c>
    </row>
    <row r="1786" spans="1:9" x14ac:dyDescent="0.35">
      <c r="A1786" s="1">
        <v>45351</v>
      </c>
      <c r="B1786" t="s">
        <v>33</v>
      </c>
      <c r="C1786" t="s">
        <v>34</v>
      </c>
      <c r="D1786" t="s">
        <v>21</v>
      </c>
      <c r="E1786" t="s">
        <v>22</v>
      </c>
      <c r="F1786">
        <v>32</v>
      </c>
      <c r="G1786">
        <v>33.5</v>
      </c>
      <c r="H1786" t="s">
        <v>46</v>
      </c>
      <c r="I1786" t="s">
        <v>47</v>
      </c>
    </row>
    <row r="1787" spans="1:9" x14ac:dyDescent="0.35">
      <c r="A1787" s="1">
        <v>45351</v>
      </c>
      <c r="B1787" t="s">
        <v>33</v>
      </c>
      <c r="C1787" t="s">
        <v>34</v>
      </c>
      <c r="D1787" t="s">
        <v>24</v>
      </c>
      <c r="E1787" t="s">
        <v>25</v>
      </c>
      <c r="F1787">
        <v>50</v>
      </c>
      <c r="G1787">
        <v>50.9</v>
      </c>
      <c r="H1787" t="s">
        <v>46</v>
      </c>
      <c r="I1787" t="s">
        <v>47</v>
      </c>
    </row>
    <row r="1788" spans="1:9" x14ac:dyDescent="0.35">
      <c r="A1788" s="1">
        <v>45351</v>
      </c>
      <c r="B1788" t="s">
        <v>33</v>
      </c>
      <c r="C1788" t="s">
        <v>34</v>
      </c>
      <c r="D1788" t="s">
        <v>26</v>
      </c>
      <c r="E1788" t="s">
        <v>27</v>
      </c>
      <c r="F1788">
        <v>38</v>
      </c>
      <c r="G1788">
        <v>39.5</v>
      </c>
      <c r="H1788" t="s">
        <v>46</v>
      </c>
      <c r="I1788" t="s">
        <v>47</v>
      </c>
    </row>
    <row r="1789" spans="1:9" x14ac:dyDescent="0.35">
      <c r="A1789" s="1">
        <v>45351</v>
      </c>
      <c r="B1789" t="s">
        <v>33</v>
      </c>
      <c r="C1789" t="s">
        <v>34</v>
      </c>
      <c r="D1789" t="s">
        <v>28</v>
      </c>
      <c r="E1789" t="s">
        <v>29</v>
      </c>
      <c r="F1789">
        <v>32</v>
      </c>
      <c r="G1789">
        <v>43.2</v>
      </c>
      <c r="H1789" t="s">
        <v>48</v>
      </c>
      <c r="I1789" t="s">
        <v>49</v>
      </c>
    </row>
    <row r="1790" spans="1:9" x14ac:dyDescent="0.35">
      <c r="A1790" s="1">
        <v>45351</v>
      </c>
      <c r="B1790" t="s">
        <v>36</v>
      </c>
      <c r="C1790" t="s">
        <v>37</v>
      </c>
      <c r="D1790" t="s">
        <v>15</v>
      </c>
      <c r="E1790" t="s">
        <v>16</v>
      </c>
      <c r="F1790">
        <v>34</v>
      </c>
      <c r="G1790">
        <v>33.1</v>
      </c>
      <c r="H1790" t="s">
        <v>46</v>
      </c>
      <c r="I1790" t="s">
        <v>47</v>
      </c>
    </row>
    <row r="1791" spans="1:9" x14ac:dyDescent="0.35">
      <c r="A1791" s="1">
        <v>45351</v>
      </c>
      <c r="B1791" t="s">
        <v>36</v>
      </c>
      <c r="C1791" t="s">
        <v>37</v>
      </c>
      <c r="D1791" t="s">
        <v>18</v>
      </c>
      <c r="E1791" t="s">
        <v>19</v>
      </c>
      <c r="F1791">
        <v>38</v>
      </c>
      <c r="G1791">
        <v>39.4</v>
      </c>
      <c r="H1791" t="s">
        <v>46</v>
      </c>
      <c r="I1791" t="s">
        <v>47</v>
      </c>
    </row>
    <row r="1792" spans="1:9" x14ac:dyDescent="0.35">
      <c r="A1792" s="1">
        <v>45351</v>
      </c>
      <c r="B1792" t="s">
        <v>36</v>
      </c>
      <c r="C1792" t="s">
        <v>37</v>
      </c>
      <c r="D1792" t="s">
        <v>21</v>
      </c>
      <c r="E1792" t="s">
        <v>22</v>
      </c>
      <c r="F1792">
        <v>32</v>
      </c>
      <c r="G1792">
        <v>38.1</v>
      </c>
      <c r="H1792" t="s">
        <v>48</v>
      </c>
      <c r="I1792" t="s">
        <v>50</v>
      </c>
    </row>
    <row r="1793" spans="1:9" x14ac:dyDescent="0.35">
      <c r="A1793" s="1">
        <v>45351</v>
      </c>
      <c r="B1793" t="s">
        <v>36</v>
      </c>
      <c r="C1793" t="s">
        <v>37</v>
      </c>
      <c r="D1793" t="s">
        <v>24</v>
      </c>
      <c r="E1793" t="s">
        <v>25</v>
      </c>
      <c r="F1793">
        <v>50</v>
      </c>
      <c r="G1793">
        <v>51.4</v>
      </c>
      <c r="H1793" t="s">
        <v>46</v>
      </c>
      <c r="I1793" t="s">
        <v>47</v>
      </c>
    </row>
    <row r="1794" spans="1:9" x14ac:dyDescent="0.35">
      <c r="A1794" s="1">
        <v>45351</v>
      </c>
      <c r="B1794" t="s">
        <v>36</v>
      </c>
      <c r="C1794" t="s">
        <v>37</v>
      </c>
      <c r="D1794" t="s">
        <v>26</v>
      </c>
      <c r="E1794" t="s">
        <v>27</v>
      </c>
      <c r="F1794">
        <v>38</v>
      </c>
      <c r="G1794">
        <v>40.6</v>
      </c>
      <c r="H1794" t="s">
        <v>46</v>
      </c>
      <c r="I1794" t="s">
        <v>47</v>
      </c>
    </row>
    <row r="1795" spans="1:9" x14ac:dyDescent="0.35">
      <c r="A1795" s="1">
        <v>45351</v>
      </c>
      <c r="B1795" t="s">
        <v>36</v>
      </c>
      <c r="C1795" t="s">
        <v>37</v>
      </c>
      <c r="D1795" t="s">
        <v>28</v>
      </c>
      <c r="E1795" t="s">
        <v>29</v>
      </c>
      <c r="F1795">
        <v>32</v>
      </c>
      <c r="G1795">
        <v>42.1</v>
      </c>
      <c r="H1795" t="s">
        <v>48</v>
      </c>
      <c r="I1795" t="s">
        <v>49</v>
      </c>
    </row>
    <row r="1796" spans="1:9" x14ac:dyDescent="0.35">
      <c r="A1796" s="1">
        <v>45351</v>
      </c>
      <c r="B1796" t="s">
        <v>39</v>
      </c>
      <c r="C1796" t="s">
        <v>40</v>
      </c>
      <c r="D1796" t="s">
        <v>15</v>
      </c>
      <c r="E1796" t="s">
        <v>16</v>
      </c>
      <c r="F1796">
        <v>34</v>
      </c>
      <c r="G1796">
        <v>34.9</v>
      </c>
      <c r="H1796" t="s">
        <v>46</v>
      </c>
      <c r="I1796" t="s">
        <v>47</v>
      </c>
    </row>
    <row r="1797" spans="1:9" x14ac:dyDescent="0.35">
      <c r="A1797" s="1">
        <v>45351</v>
      </c>
      <c r="B1797" t="s">
        <v>39</v>
      </c>
      <c r="C1797" t="s">
        <v>40</v>
      </c>
      <c r="D1797" t="s">
        <v>18</v>
      </c>
      <c r="E1797" t="s">
        <v>19</v>
      </c>
      <c r="F1797">
        <v>38</v>
      </c>
      <c r="G1797">
        <v>37.700000000000003</v>
      </c>
      <c r="H1797" t="s">
        <v>46</v>
      </c>
      <c r="I1797" t="s">
        <v>47</v>
      </c>
    </row>
    <row r="1798" spans="1:9" x14ac:dyDescent="0.35">
      <c r="A1798" s="1">
        <v>45351</v>
      </c>
      <c r="B1798" t="s">
        <v>39</v>
      </c>
      <c r="C1798" t="s">
        <v>40</v>
      </c>
      <c r="D1798" t="s">
        <v>21</v>
      </c>
      <c r="E1798" t="s">
        <v>22</v>
      </c>
      <c r="F1798">
        <v>32</v>
      </c>
      <c r="G1798">
        <v>38.4</v>
      </c>
      <c r="H1798" t="s">
        <v>48</v>
      </c>
      <c r="I1798" t="s">
        <v>50</v>
      </c>
    </row>
    <row r="1799" spans="1:9" x14ac:dyDescent="0.35">
      <c r="A1799" s="1">
        <v>45351</v>
      </c>
      <c r="B1799" t="s">
        <v>39</v>
      </c>
      <c r="C1799" t="s">
        <v>40</v>
      </c>
      <c r="D1799" t="s">
        <v>24</v>
      </c>
      <c r="E1799" t="s">
        <v>25</v>
      </c>
      <c r="F1799">
        <v>50</v>
      </c>
      <c r="G1799">
        <v>60.7</v>
      </c>
      <c r="H1799" t="s">
        <v>48</v>
      </c>
      <c r="I1799" t="s">
        <v>49</v>
      </c>
    </row>
    <row r="1800" spans="1:9" x14ac:dyDescent="0.35">
      <c r="A1800" s="1">
        <v>45351</v>
      </c>
      <c r="B1800" t="s">
        <v>39</v>
      </c>
      <c r="C1800" t="s">
        <v>40</v>
      </c>
      <c r="D1800" t="s">
        <v>26</v>
      </c>
      <c r="E1800" t="s">
        <v>27</v>
      </c>
      <c r="F1800">
        <v>38</v>
      </c>
      <c r="G1800">
        <v>39.6</v>
      </c>
      <c r="H1800" t="s">
        <v>46</v>
      </c>
      <c r="I1800" t="s">
        <v>47</v>
      </c>
    </row>
    <row r="1801" spans="1:9" x14ac:dyDescent="0.35">
      <c r="A1801" s="1">
        <v>45351</v>
      </c>
      <c r="B1801" t="s">
        <v>39</v>
      </c>
      <c r="C1801" t="s">
        <v>40</v>
      </c>
      <c r="D1801" t="s">
        <v>28</v>
      </c>
      <c r="E1801" t="s">
        <v>29</v>
      </c>
      <c r="F1801">
        <v>32</v>
      </c>
      <c r="G1801">
        <v>33.299999999999997</v>
      </c>
      <c r="H1801" t="s">
        <v>46</v>
      </c>
      <c r="I1801" t="s">
        <v>47</v>
      </c>
    </row>
    <row r="1802" spans="1:9" x14ac:dyDescent="0.35">
      <c r="A1802" s="1">
        <v>45352</v>
      </c>
      <c r="B1802" t="s">
        <v>12</v>
      </c>
      <c r="C1802" t="s">
        <v>13</v>
      </c>
      <c r="D1802" t="s">
        <v>15</v>
      </c>
      <c r="E1802" t="s">
        <v>16</v>
      </c>
      <c r="F1802">
        <v>34</v>
      </c>
      <c r="G1802">
        <v>33.6</v>
      </c>
      <c r="H1802" t="s">
        <v>46</v>
      </c>
      <c r="I1802" t="s">
        <v>47</v>
      </c>
    </row>
    <row r="1803" spans="1:9" x14ac:dyDescent="0.35">
      <c r="A1803" s="1">
        <v>45352</v>
      </c>
      <c r="B1803" t="s">
        <v>12</v>
      </c>
      <c r="C1803" t="s">
        <v>13</v>
      </c>
      <c r="D1803" t="s">
        <v>18</v>
      </c>
      <c r="E1803" t="s">
        <v>19</v>
      </c>
      <c r="F1803">
        <v>38</v>
      </c>
      <c r="G1803">
        <v>39.4</v>
      </c>
      <c r="H1803" t="s">
        <v>46</v>
      </c>
      <c r="I1803" t="s">
        <v>47</v>
      </c>
    </row>
    <row r="1804" spans="1:9" x14ac:dyDescent="0.35">
      <c r="A1804" s="1">
        <v>45352</v>
      </c>
      <c r="B1804" t="s">
        <v>12</v>
      </c>
      <c r="C1804" t="s">
        <v>13</v>
      </c>
      <c r="D1804" t="s">
        <v>21</v>
      </c>
      <c r="E1804" t="s">
        <v>22</v>
      </c>
      <c r="F1804">
        <v>32</v>
      </c>
      <c r="G1804">
        <v>34.9</v>
      </c>
      <c r="H1804" t="s">
        <v>46</v>
      </c>
      <c r="I1804" t="s">
        <v>47</v>
      </c>
    </row>
    <row r="1805" spans="1:9" x14ac:dyDescent="0.35">
      <c r="A1805" s="1">
        <v>45352</v>
      </c>
      <c r="B1805" t="s">
        <v>12</v>
      </c>
      <c r="C1805" t="s">
        <v>13</v>
      </c>
      <c r="D1805" t="s">
        <v>24</v>
      </c>
      <c r="E1805" t="s">
        <v>25</v>
      </c>
      <c r="F1805">
        <v>50</v>
      </c>
      <c r="G1805">
        <v>51.6</v>
      </c>
      <c r="H1805" t="s">
        <v>46</v>
      </c>
      <c r="I1805" t="s">
        <v>47</v>
      </c>
    </row>
    <row r="1806" spans="1:9" x14ac:dyDescent="0.35">
      <c r="A1806" s="1">
        <v>45352</v>
      </c>
      <c r="B1806" t="s">
        <v>12</v>
      </c>
      <c r="C1806" t="s">
        <v>13</v>
      </c>
      <c r="D1806" t="s">
        <v>26</v>
      </c>
      <c r="E1806" t="s">
        <v>27</v>
      </c>
      <c r="F1806">
        <v>38</v>
      </c>
      <c r="G1806">
        <v>45.9</v>
      </c>
      <c r="H1806" t="s">
        <v>48</v>
      </c>
      <c r="I1806" t="s">
        <v>50</v>
      </c>
    </row>
    <row r="1807" spans="1:9" x14ac:dyDescent="0.35">
      <c r="A1807" s="1">
        <v>45352</v>
      </c>
      <c r="B1807" t="s">
        <v>12</v>
      </c>
      <c r="C1807" t="s">
        <v>13</v>
      </c>
      <c r="D1807" t="s">
        <v>28</v>
      </c>
      <c r="E1807" t="s">
        <v>29</v>
      </c>
      <c r="F1807">
        <v>32</v>
      </c>
      <c r="G1807">
        <v>33.200000000000003</v>
      </c>
      <c r="H1807" t="s">
        <v>46</v>
      </c>
      <c r="I1807" t="s">
        <v>47</v>
      </c>
    </row>
    <row r="1808" spans="1:9" x14ac:dyDescent="0.35">
      <c r="A1808" s="1">
        <v>45352</v>
      </c>
      <c r="B1808" t="s">
        <v>30</v>
      </c>
      <c r="C1808" t="s">
        <v>31</v>
      </c>
      <c r="D1808" t="s">
        <v>15</v>
      </c>
      <c r="E1808" t="s">
        <v>16</v>
      </c>
      <c r="F1808">
        <v>34</v>
      </c>
      <c r="G1808">
        <v>42.8</v>
      </c>
      <c r="H1808" t="s">
        <v>48</v>
      </c>
      <c r="I1808" t="s">
        <v>50</v>
      </c>
    </row>
    <row r="1809" spans="1:9" x14ac:dyDescent="0.35">
      <c r="A1809" s="1">
        <v>45352</v>
      </c>
      <c r="B1809" t="s">
        <v>30</v>
      </c>
      <c r="C1809" t="s">
        <v>31</v>
      </c>
      <c r="D1809" t="s">
        <v>18</v>
      </c>
      <c r="E1809" t="s">
        <v>19</v>
      </c>
      <c r="F1809">
        <v>38</v>
      </c>
      <c r="G1809">
        <v>39.6</v>
      </c>
      <c r="H1809" t="s">
        <v>46</v>
      </c>
      <c r="I1809" t="s">
        <v>47</v>
      </c>
    </row>
    <row r="1810" spans="1:9" x14ac:dyDescent="0.35">
      <c r="A1810" s="1">
        <v>45352</v>
      </c>
      <c r="B1810" t="s">
        <v>30</v>
      </c>
      <c r="C1810" t="s">
        <v>31</v>
      </c>
      <c r="D1810" t="s">
        <v>21</v>
      </c>
      <c r="E1810" t="s">
        <v>22</v>
      </c>
      <c r="F1810">
        <v>32</v>
      </c>
      <c r="G1810">
        <v>31.3</v>
      </c>
      <c r="H1810" t="s">
        <v>46</v>
      </c>
      <c r="I1810" t="s">
        <v>47</v>
      </c>
    </row>
    <row r="1811" spans="1:9" x14ac:dyDescent="0.35">
      <c r="A1811" s="1">
        <v>45352</v>
      </c>
      <c r="B1811" t="s">
        <v>30</v>
      </c>
      <c r="C1811" t="s">
        <v>31</v>
      </c>
      <c r="D1811" t="s">
        <v>24</v>
      </c>
      <c r="E1811" t="s">
        <v>25</v>
      </c>
      <c r="F1811">
        <v>50</v>
      </c>
      <c r="G1811">
        <v>50.9</v>
      </c>
      <c r="H1811" t="s">
        <v>46</v>
      </c>
      <c r="I1811" t="s">
        <v>47</v>
      </c>
    </row>
    <row r="1812" spans="1:9" x14ac:dyDescent="0.35">
      <c r="A1812" s="1">
        <v>45352</v>
      </c>
      <c r="B1812" t="s">
        <v>30</v>
      </c>
      <c r="C1812" t="s">
        <v>31</v>
      </c>
      <c r="D1812" t="s">
        <v>26</v>
      </c>
      <c r="E1812" t="s">
        <v>27</v>
      </c>
      <c r="F1812">
        <v>38</v>
      </c>
      <c r="G1812">
        <v>38.9</v>
      </c>
      <c r="H1812" t="s">
        <v>46</v>
      </c>
      <c r="I1812" t="s">
        <v>47</v>
      </c>
    </row>
    <row r="1813" spans="1:9" x14ac:dyDescent="0.35">
      <c r="A1813" s="1">
        <v>45352</v>
      </c>
      <c r="B1813" t="s">
        <v>30</v>
      </c>
      <c r="C1813" t="s">
        <v>31</v>
      </c>
      <c r="D1813" t="s">
        <v>28</v>
      </c>
      <c r="E1813" t="s">
        <v>29</v>
      </c>
      <c r="F1813">
        <v>32</v>
      </c>
      <c r="G1813">
        <v>34.4</v>
      </c>
      <c r="H1813" t="s">
        <v>46</v>
      </c>
      <c r="I1813" t="s">
        <v>47</v>
      </c>
    </row>
    <row r="1814" spans="1:9" x14ac:dyDescent="0.35">
      <c r="A1814" s="1">
        <v>45352</v>
      </c>
      <c r="B1814" t="s">
        <v>33</v>
      </c>
      <c r="C1814" t="s">
        <v>34</v>
      </c>
      <c r="D1814" t="s">
        <v>15</v>
      </c>
      <c r="E1814" t="s">
        <v>16</v>
      </c>
      <c r="F1814">
        <v>34</v>
      </c>
      <c r="G1814">
        <v>34.299999999999997</v>
      </c>
      <c r="H1814" t="s">
        <v>46</v>
      </c>
      <c r="I1814" t="s">
        <v>47</v>
      </c>
    </row>
    <row r="1815" spans="1:9" x14ac:dyDescent="0.35">
      <c r="A1815" s="1">
        <v>45352</v>
      </c>
      <c r="B1815" t="s">
        <v>33</v>
      </c>
      <c r="C1815" t="s">
        <v>34</v>
      </c>
      <c r="D1815" t="s">
        <v>18</v>
      </c>
      <c r="E1815" t="s">
        <v>19</v>
      </c>
      <c r="F1815">
        <v>38</v>
      </c>
      <c r="G1815">
        <v>38.299999999999997</v>
      </c>
      <c r="H1815" t="s">
        <v>46</v>
      </c>
      <c r="I1815" t="s">
        <v>47</v>
      </c>
    </row>
    <row r="1816" spans="1:9" x14ac:dyDescent="0.35">
      <c r="A1816" s="1">
        <v>45352</v>
      </c>
      <c r="B1816" t="s">
        <v>33</v>
      </c>
      <c r="C1816" t="s">
        <v>34</v>
      </c>
      <c r="D1816" t="s">
        <v>21</v>
      </c>
      <c r="E1816" t="s">
        <v>22</v>
      </c>
      <c r="F1816">
        <v>32</v>
      </c>
      <c r="G1816">
        <v>45</v>
      </c>
      <c r="H1816" t="s">
        <v>48</v>
      </c>
      <c r="I1816" t="s">
        <v>49</v>
      </c>
    </row>
    <row r="1817" spans="1:9" x14ac:dyDescent="0.35">
      <c r="A1817" s="1">
        <v>45352</v>
      </c>
      <c r="B1817" t="s">
        <v>33</v>
      </c>
      <c r="C1817" t="s">
        <v>34</v>
      </c>
      <c r="D1817" t="s">
        <v>24</v>
      </c>
      <c r="E1817" t="s">
        <v>25</v>
      </c>
      <c r="F1817">
        <v>50</v>
      </c>
      <c r="G1817">
        <v>51</v>
      </c>
      <c r="H1817" t="s">
        <v>46</v>
      </c>
      <c r="I1817" t="s">
        <v>47</v>
      </c>
    </row>
    <row r="1818" spans="1:9" x14ac:dyDescent="0.35">
      <c r="A1818" s="1">
        <v>45352</v>
      </c>
      <c r="B1818" t="s">
        <v>33</v>
      </c>
      <c r="C1818" t="s">
        <v>34</v>
      </c>
      <c r="D1818" t="s">
        <v>26</v>
      </c>
      <c r="E1818" t="s">
        <v>27</v>
      </c>
      <c r="F1818">
        <v>38</v>
      </c>
      <c r="G1818">
        <v>39.6</v>
      </c>
      <c r="H1818" t="s">
        <v>46</v>
      </c>
      <c r="I1818" t="s">
        <v>47</v>
      </c>
    </row>
    <row r="1819" spans="1:9" x14ac:dyDescent="0.35">
      <c r="A1819" s="1">
        <v>45352</v>
      </c>
      <c r="B1819" t="s">
        <v>33</v>
      </c>
      <c r="C1819" t="s">
        <v>34</v>
      </c>
      <c r="D1819" t="s">
        <v>28</v>
      </c>
      <c r="E1819" t="s">
        <v>29</v>
      </c>
      <c r="F1819">
        <v>32</v>
      </c>
      <c r="G1819">
        <v>32.9</v>
      </c>
      <c r="H1819" t="s">
        <v>46</v>
      </c>
      <c r="I1819" t="s">
        <v>47</v>
      </c>
    </row>
    <row r="1820" spans="1:9" x14ac:dyDescent="0.35">
      <c r="A1820" s="1">
        <v>45352</v>
      </c>
      <c r="B1820" t="s">
        <v>36</v>
      </c>
      <c r="C1820" t="s">
        <v>37</v>
      </c>
      <c r="D1820" t="s">
        <v>15</v>
      </c>
      <c r="E1820" t="s">
        <v>16</v>
      </c>
      <c r="F1820">
        <v>34</v>
      </c>
      <c r="G1820">
        <v>34.9</v>
      </c>
      <c r="H1820" t="s">
        <v>46</v>
      </c>
      <c r="I1820" t="s">
        <v>47</v>
      </c>
    </row>
    <row r="1821" spans="1:9" x14ac:dyDescent="0.35">
      <c r="A1821" s="1">
        <v>45352</v>
      </c>
      <c r="B1821" t="s">
        <v>36</v>
      </c>
      <c r="C1821" t="s">
        <v>37</v>
      </c>
      <c r="D1821" t="s">
        <v>18</v>
      </c>
      <c r="E1821" t="s">
        <v>19</v>
      </c>
      <c r="F1821">
        <v>38</v>
      </c>
      <c r="G1821">
        <v>40.299999999999997</v>
      </c>
      <c r="H1821" t="s">
        <v>46</v>
      </c>
      <c r="I1821" t="s">
        <v>47</v>
      </c>
    </row>
    <row r="1822" spans="1:9" x14ac:dyDescent="0.35">
      <c r="A1822" s="1">
        <v>45352</v>
      </c>
      <c r="B1822" t="s">
        <v>36</v>
      </c>
      <c r="C1822" t="s">
        <v>37</v>
      </c>
      <c r="D1822" t="s">
        <v>21</v>
      </c>
      <c r="E1822" t="s">
        <v>22</v>
      </c>
      <c r="F1822">
        <v>32</v>
      </c>
      <c r="G1822">
        <v>32.5</v>
      </c>
      <c r="H1822" t="s">
        <v>46</v>
      </c>
      <c r="I1822" t="s">
        <v>47</v>
      </c>
    </row>
    <row r="1823" spans="1:9" x14ac:dyDescent="0.35">
      <c r="A1823" s="1">
        <v>45352</v>
      </c>
      <c r="B1823" t="s">
        <v>36</v>
      </c>
      <c r="C1823" t="s">
        <v>37</v>
      </c>
      <c r="D1823" t="s">
        <v>24</v>
      </c>
      <c r="E1823" t="s">
        <v>25</v>
      </c>
      <c r="F1823">
        <v>50</v>
      </c>
      <c r="G1823">
        <v>52.3</v>
      </c>
      <c r="H1823" t="s">
        <v>46</v>
      </c>
      <c r="I1823" t="s">
        <v>47</v>
      </c>
    </row>
    <row r="1824" spans="1:9" x14ac:dyDescent="0.35">
      <c r="A1824" s="1">
        <v>45352</v>
      </c>
      <c r="B1824" t="s">
        <v>36</v>
      </c>
      <c r="C1824" t="s">
        <v>37</v>
      </c>
      <c r="D1824" t="s">
        <v>26</v>
      </c>
      <c r="E1824" t="s">
        <v>27</v>
      </c>
      <c r="F1824">
        <v>38</v>
      </c>
      <c r="G1824">
        <v>44.1</v>
      </c>
      <c r="H1824" t="s">
        <v>48</v>
      </c>
      <c r="I1824" t="s">
        <v>50</v>
      </c>
    </row>
    <row r="1825" spans="1:9" x14ac:dyDescent="0.35">
      <c r="A1825" s="1">
        <v>45352</v>
      </c>
      <c r="B1825" t="s">
        <v>36</v>
      </c>
      <c r="C1825" t="s">
        <v>37</v>
      </c>
      <c r="D1825" t="s">
        <v>28</v>
      </c>
      <c r="E1825" t="s">
        <v>29</v>
      </c>
      <c r="F1825">
        <v>32</v>
      </c>
      <c r="G1825">
        <v>33.200000000000003</v>
      </c>
      <c r="H1825" t="s">
        <v>46</v>
      </c>
      <c r="I1825" t="s">
        <v>47</v>
      </c>
    </row>
    <row r="1826" spans="1:9" x14ac:dyDescent="0.35">
      <c r="A1826" s="1">
        <v>45352</v>
      </c>
      <c r="B1826" t="s">
        <v>39</v>
      </c>
      <c r="C1826" t="s">
        <v>40</v>
      </c>
      <c r="D1826" t="s">
        <v>15</v>
      </c>
      <c r="E1826" t="s">
        <v>16</v>
      </c>
      <c r="F1826">
        <v>34</v>
      </c>
      <c r="G1826">
        <v>43.5</v>
      </c>
      <c r="H1826" t="s">
        <v>48</v>
      </c>
      <c r="I1826" t="s">
        <v>50</v>
      </c>
    </row>
    <row r="1827" spans="1:9" x14ac:dyDescent="0.35">
      <c r="A1827" s="1">
        <v>45352</v>
      </c>
      <c r="B1827" t="s">
        <v>39</v>
      </c>
      <c r="C1827" t="s">
        <v>40</v>
      </c>
      <c r="D1827" t="s">
        <v>18</v>
      </c>
      <c r="E1827" t="s">
        <v>19</v>
      </c>
      <c r="F1827">
        <v>38</v>
      </c>
      <c r="G1827">
        <v>40.700000000000003</v>
      </c>
      <c r="H1827" t="s">
        <v>46</v>
      </c>
      <c r="I1827" t="s">
        <v>47</v>
      </c>
    </row>
    <row r="1828" spans="1:9" x14ac:dyDescent="0.35">
      <c r="A1828" s="1">
        <v>45352</v>
      </c>
      <c r="B1828" t="s">
        <v>39</v>
      </c>
      <c r="C1828" t="s">
        <v>40</v>
      </c>
      <c r="D1828" t="s">
        <v>21</v>
      </c>
      <c r="E1828" t="s">
        <v>22</v>
      </c>
      <c r="F1828">
        <v>32</v>
      </c>
      <c r="G1828">
        <v>34.9</v>
      </c>
      <c r="H1828" t="s">
        <v>46</v>
      </c>
      <c r="I1828" t="s">
        <v>47</v>
      </c>
    </row>
    <row r="1829" spans="1:9" x14ac:dyDescent="0.35">
      <c r="A1829" s="1">
        <v>45352</v>
      </c>
      <c r="B1829" t="s">
        <v>39</v>
      </c>
      <c r="C1829" t="s">
        <v>40</v>
      </c>
      <c r="D1829" t="s">
        <v>24</v>
      </c>
      <c r="E1829" t="s">
        <v>25</v>
      </c>
      <c r="F1829">
        <v>50</v>
      </c>
      <c r="G1829">
        <v>50.1</v>
      </c>
      <c r="H1829" t="s">
        <v>46</v>
      </c>
      <c r="I1829" t="s">
        <v>47</v>
      </c>
    </row>
    <row r="1830" spans="1:9" x14ac:dyDescent="0.35">
      <c r="A1830" s="1">
        <v>45352</v>
      </c>
      <c r="B1830" t="s">
        <v>39</v>
      </c>
      <c r="C1830" t="s">
        <v>40</v>
      </c>
      <c r="D1830" t="s">
        <v>26</v>
      </c>
      <c r="E1830" t="s">
        <v>27</v>
      </c>
      <c r="F1830">
        <v>38</v>
      </c>
      <c r="G1830">
        <v>38</v>
      </c>
      <c r="H1830" t="s">
        <v>46</v>
      </c>
      <c r="I1830" t="s">
        <v>47</v>
      </c>
    </row>
    <row r="1831" spans="1:9" x14ac:dyDescent="0.35">
      <c r="A1831" s="1">
        <v>45352</v>
      </c>
      <c r="B1831" t="s">
        <v>39</v>
      </c>
      <c r="C1831" t="s">
        <v>40</v>
      </c>
      <c r="D1831" t="s">
        <v>28</v>
      </c>
      <c r="E1831" t="s">
        <v>29</v>
      </c>
      <c r="F1831">
        <v>32</v>
      </c>
      <c r="G1831">
        <v>44.8</v>
      </c>
      <c r="H1831" t="s">
        <v>48</v>
      </c>
      <c r="I1831" t="s">
        <v>49</v>
      </c>
    </row>
    <row r="1832" spans="1:9" x14ac:dyDescent="0.35">
      <c r="A1832" s="1">
        <v>45353</v>
      </c>
      <c r="B1832" t="s">
        <v>12</v>
      </c>
      <c r="C1832" t="s">
        <v>13</v>
      </c>
      <c r="D1832" t="s">
        <v>15</v>
      </c>
      <c r="E1832" t="s">
        <v>16</v>
      </c>
      <c r="F1832">
        <v>34</v>
      </c>
      <c r="G1832">
        <v>33.799999999999997</v>
      </c>
      <c r="H1832" t="s">
        <v>46</v>
      </c>
      <c r="I1832" t="s">
        <v>47</v>
      </c>
    </row>
    <row r="1833" spans="1:9" x14ac:dyDescent="0.35">
      <c r="A1833" s="1">
        <v>45353</v>
      </c>
      <c r="B1833" t="s">
        <v>12</v>
      </c>
      <c r="C1833" t="s">
        <v>13</v>
      </c>
      <c r="D1833" t="s">
        <v>18</v>
      </c>
      <c r="E1833" t="s">
        <v>19</v>
      </c>
      <c r="F1833">
        <v>38</v>
      </c>
      <c r="G1833">
        <v>46.1</v>
      </c>
      <c r="H1833" t="s">
        <v>48</v>
      </c>
      <c r="I1833" t="s">
        <v>50</v>
      </c>
    </row>
    <row r="1834" spans="1:9" x14ac:dyDescent="0.35">
      <c r="A1834" s="1">
        <v>45353</v>
      </c>
      <c r="B1834" t="s">
        <v>12</v>
      </c>
      <c r="C1834" t="s">
        <v>13</v>
      </c>
      <c r="D1834" t="s">
        <v>21</v>
      </c>
      <c r="E1834" t="s">
        <v>22</v>
      </c>
      <c r="F1834">
        <v>32</v>
      </c>
      <c r="G1834">
        <v>44.7</v>
      </c>
      <c r="H1834" t="s">
        <v>48</v>
      </c>
      <c r="I1834" t="s">
        <v>49</v>
      </c>
    </row>
    <row r="1835" spans="1:9" x14ac:dyDescent="0.35">
      <c r="A1835" s="1">
        <v>45353</v>
      </c>
      <c r="B1835" t="s">
        <v>12</v>
      </c>
      <c r="C1835" t="s">
        <v>13</v>
      </c>
      <c r="D1835" t="s">
        <v>24</v>
      </c>
      <c r="E1835" t="s">
        <v>25</v>
      </c>
      <c r="F1835">
        <v>50</v>
      </c>
      <c r="G1835">
        <v>61.2</v>
      </c>
      <c r="H1835" t="s">
        <v>48</v>
      </c>
      <c r="I1835" t="s">
        <v>49</v>
      </c>
    </row>
    <row r="1836" spans="1:9" x14ac:dyDescent="0.35">
      <c r="A1836" s="1">
        <v>45353</v>
      </c>
      <c r="B1836" t="s">
        <v>12</v>
      </c>
      <c r="C1836" t="s">
        <v>13</v>
      </c>
      <c r="D1836" t="s">
        <v>26</v>
      </c>
      <c r="E1836" t="s">
        <v>27</v>
      </c>
      <c r="F1836">
        <v>38</v>
      </c>
      <c r="G1836">
        <v>38.4</v>
      </c>
      <c r="H1836" t="s">
        <v>46</v>
      </c>
      <c r="I1836" t="s">
        <v>47</v>
      </c>
    </row>
    <row r="1837" spans="1:9" x14ac:dyDescent="0.35">
      <c r="A1837" s="1">
        <v>45353</v>
      </c>
      <c r="B1837" t="s">
        <v>12</v>
      </c>
      <c r="C1837" t="s">
        <v>13</v>
      </c>
      <c r="D1837" t="s">
        <v>28</v>
      </c>
      <c r="E1837" t="s">
        <v>29</v>
      </c>
      <c r="F1837">
        <v>32</v>
      </c>
      <c r="G1837">
        <v>32.799999999999997</v>
      </c>
      <c r="H1837" t="s">
        <v>46</v>
      </c>
      <c r="I1837" t="s">
        <v>47</v>
      </c>
    </row>
    <row r="1838" spans="1:9" x14ac:dyDescent="0.35">
      <c r="A1838" s="1">
        <v>45353</v>
      </c>
      <c r="B1838" t="s">
        <v>30</v>
      </c>
      <c r="C1838" t="s">
        <v>31</v>
      </c>
      <c r="D1838" t="s">
        <v>15</v>
      </c>
      <c r="E1838" t="s">
        <v>16</v>
      </c>
      <c r="F1838">
        <v>34</v>
      </c>
      <c r="G1838">
        <v>34.5</v>
      </c>
      <c r="H1838" t="s">
        <v>46</v>
      </c>
      <c r="I1838" t="s">
        <v>47</v>
      </c>
    </row>
    <row r="1839" spans="1:9" x14ac:dyDescent="0.35">
      <c r="A1839" s="1">
        <v>45353</v>
      </c>
      <c r="B1839" t="s">
        <v>30</v>
      </c>
      <c r="C1839" t="s">
        <v>31</v>
      </c>
      <c r="D1839" t="s">
        <v>18</v>
      </c>
      <c r="E1839" t="s">
        <v>19</v>
      </c>
      <c r="F1839">
        <v>38</v>
      </c>
      <c r="G1839">
        <v>48.2</v>
      </c>
      <c r="H1839" t="s">
        <v>48</v>
      </c>
      <c r="I1839" t="s">
        <v>49</v>
      </c>
    </row>
    <row r="1840" spans="1:9" x14ac:dyDescent="0.35">
      <c r="A1840" s="1">
        <v>45353</v>
      </c>
      <c r="B1840" t="s">
        <v>30</v>
      </c>
      <c r="C1840" t="s">
        <v>31</v>
      </c>
      <c r="D1840" t="s">
        <v>21</v>
      </c>
      <c r="E1840" t="s">
        <v>22</v>
      </c>
      <c r="F1840">
        <v>32</v>
      </c>
      <c r="G1840">
        <v>33.5</v>
      </c>
      <c r="H1840" t="s">
        <v>46</v>
      </c>
      <c r="I1840" t="s">
        <v>47</v>
      </c>
    </row>
    <row r="1841" spans="1:9" x14ac:dyDescent="0.35">
      <c r="A1841" s="1">
        <v>45353</v>
      </c>
      <c r="B1841" t="s">
        <v>30</v>
      </c>
      <c r="C1841" t="s">
        <v>31</v>
      </c>
      <c r="D1841" t="s">
        <v>24</v>
      </c>
      <c r="E1841" t="s">
        <v>25</v>
      </c>
      <c r="F1841">
        <v>50</v>
      </c>
      <c r="G1841">
        <v>51.8</v>
      </c>
      <c r="H1841" t="s">
        <v>46</v>
      </c>
      <c r="I1841" t="s">
        <v>47</v>
      </c>
    </row>
    <row r="1842" spans="1:9" x14ac:dyDescent="0.35">
      <c r="A1842" s="1">
        <v>45353</v>
      </c>
      <c r="B1842" t="s">
        <v>30</v>
      </c>
      <c r="C1842" t="s">
        <v>31</v>
      </c>
      <c r="D1842" t="s">
        <v>26</v>
      </c>
      <c r="E1842" t="s">
        <v>27</v>
      </c>
      <c r="F1842">
        <v>38</v>
      </c>
      <c r="G1842">
        <v>51.1</v>
      </c>
      <c r="H1842" t="s">
        <v>48</v>
      </c>
      <c r="I1842" t="s">
        <v>49</v>
      </c>
    </row>
    <row r="1843" spans="1:9" x14ac:dyDescent="0.35">
      <c r="A1843" s="1">
        <v>45353</v>
      </c>
      <c r="B1843" t="s">
        <v>30</v>
      </c>
      <c r="C1843" t="s">
        <v>31</v>
      </c>
      <c r="D1843" t="s">
        <v>28</v>
      </c>
      <c r="E1843" t="s">
        <v>29</v>
      </c>
      <c r="F1843">
        <v>32</v>
      </c>
      <c r="G1843">
        <v>39.5</v>
      </c>
      <c r="H1843" t="s">
        <v>48</v>
      </c>
      <c r="I1843" t="s">
        <v>50</v>
      </c>
    </row>
    <row r="1844" spans="1:9" x14ac:dyDescent="0.35">
      <c r="A1844" s="1">
        <v>45353</v>
      </c>
      <c r="B1844" t="s">
        <v>33</v>
      </c>
      <c r="C1844" t="s">
        <v>34</v>
      </c>
      <c r="D1844" t="s">
        <v>15</v>
      </c>
      <c r="E1844" t="s">
        <v>16</v>
      </c>
      <c r="F1844">
        <v>34</v>
      </c>
      <c r="G1844">
        <v>35.799999999999997</v>
      </c>
      <c r="H1844" t="s">
        <v>46</v>
      </c>
      <c r="I1844" t="s">
        <v>47</v>
      </c>
    </row>
    <row r="1845" spans="1:9" x14ac:dyDescent="0.35">
      <c r="A1845" s="1">
        <v>45353</v>
      </c>
      <c r="B1845" t="s">
        <v>33</v>
      </c>
      <c r="C1845" t="s">
        <v>34</v>
      </c>
      <c r="D1845" t="s">
        <v>18</v>
      </c>
      <c r="E1845" t="s">
        <v>19</v>
      </c>
      <c r="F1845">
        <v>38</v>
      </c>
      <c r="G1845">
        <v>38.700000000000003</v>
      </c>
      <c r="H1845" t="s">
        <v>46</v>
      </c>
      <c r="I1845" t="s">
        <v>47</v>
      </c>
    </row>
    <row r="1846" spans="1:9" x14ac:dyDescent="0.35">
      <c r="A1846" s="1">
        <v>45353</v>
      </c>
      <c r="B1846" t="s">
        <v>33</v>
      </c>
      <c r="C1846" t="s">
        <v>34</v>
      </c>
      <c r="D1846" t="s">
        <v>21</v>
      </c>
      <c r="E1846" t="s">
        <v>22</v>
      </c>
      <c r="F1846">
        <v>32</v>
      </c>
      <c r="G1846">
        <v>34.700000000000003</v>
      </c>
      <c r="H1846" t="s">
        <v>46</v>
      </c>
      <c r="I1846" t="s">
        <v>47</v>
      </c>
    </row>
    <row r="1847" spans="1:9" x14ac:dyDescent="0.35">
      <c r="A1847" s="1">
        <v>45353</v>
      </c>
      <c r="B1847" t="s">
        <v>33</v>
      </c>
      <c r="C1847" t="s">
        <v>34</v>
      </c>
      <c r="D1847" t="s">
        <v>24</v>
      </c>
      <c r="E1847" t="s">
        <v>25</v>
      </c>
      <c r="F1847">
        <v>50</v>
      </c>
      <c r="G1847">
        <v>51.3</v>
      </c>
      <c r="H1847" t="s">
        <v>46</v>
      </c>
      <c r="I1847" t="s">
        <v>47</v>
      </c>
    </row>
    <row r="1848" spans="1:9" x14ac:dyDescent="0.35">
      <c r="A1848" s="1">
        <v>45353</v>
      </c>
      <c r="B1848" t="s">
        <v>33</v>
      </c>
      <c r="C1848" t="s">
        <v>34</v>
      </c>
      <c r="D1848" t="s">
        <v>26</v>
      </c>
      <c r="E1848" t="s">
        <v>27</v>
      </c>
      <c r="F1848">
        <v>38</v>
      </c>
      <c r="G1848">
        <v>38.200000000000003</v>
      </c>
      <c r="H1848" t="s">
        <v>46</v>
      </c>
      <c r="I1848" t="s">
        <v>47</v>
      </c>
    </row>
    <row r="1849" spans="1:9" x14ac:dyDescent="0.35">
      <c r="A1849" s="1">
        <v>45353</v>
      </c>
      <c r="B1849" t="s">
        <v>33</v>
      </c>
      <c r="C1849" t="s">
        <v>34</v>
      </c>
      <c r="D1849" t="s">
        <v>28</v>
      </c>
      <c r="E1849" t="s">
        <v>29</v>
      </c>
      <c r="F1849">
        <v>32</v>
      </c>
      <c r="G1849">
        <v>40</v>
      </c>
      <c r="H1849" t="s">
        <v>48</v>
      </c>
      <c r="I1849" t="s">
        <v>50</v>
      </c>
    </row>
    <row r="1850" spans="1:9" x14ac:dyDescent="0.35">
      <c r="A1850" s="1">
        <v>45353</v>
      </c>
      <c r="B1850" t="s">
        <v>36</v>
      </c>
      <c r="C1850" t="s">
        <v>37</v>
      </c>
      <c r="D1850" t="s">
        <v>15</v>
      </c>
      <c r="E1850" t="s">
        <v>16</v>
      </c>
      <c r="F1850">
        <v>34</v>
      </c>
      <c r="G1850">
        <v>34.1</v>
      </c>
      <c r="H1850" t="s">
        <v>46</v>
      </c>
      <c r="I1850" t="s">
        <v>47</v>
      </c>
    </row>
    <row r="1851" spans="1:9" x14ac:dyDescent="0.35">
      <c r="A1851" s="1">
        <v>45353</v>
      </c>
      <c r="B1851" t="s">
        <v>36</v>
      </c>
      <c r="C1851" t="s">
        <v>37</v>
      </c>
      <c r="D1851" t="s">
        <v>18</v>
      </c>
      <c r="E1851" t="s">
        <v>19</v>
      </c>
      <c r="F1851">
        <v>38</v>
      </c>
      <c r="G1851">
        <v>48.1</v>
      </c>
      <c r="H1851" t="s">
        <v>48</v>
      </c>
      <c r="I1851" t="s">
        <v>49</v>
      </c>
    </row>
    <row r="1852" spans="1:9" x14ac:dyDescent="0.35">
      <c r="A1852" s="1">
        <v>45353</v>
      </c>
      <c r="B1852" t="s">
        <v>36</v>
      </c>
      <c r="C1852" t="s">
        <v>37</v>
      </c>
      <c r="D1852" t="s">
        <v>21</v>
      </c>
      <c r="E1852" t="s">
        <v>22</v>
      </c>
      <c r="F1852">
        <v>32</v>
      </c>
      <c r="G1852">
        <v>33</v>
      </c>
      <c r="H1852" t="s">
        <v>46</v>
      </c>
      <c r="I1852" t="s">
        <v>47</v>
      </c>
    </row>
    <row r="1853" spans="1:9" x14ac:dyDescent="0.35">
      <c r="A1853" s="1">
        <v>45353</v>
      </c>
      <c r="B1853" t="s">
        <v>36</v>
      </c>
      <c r="C1853" t="s">
        <v>37</v>
      </c>
      <c r="D1853" t="s">
        <v>24</v>
      </c>
      <c r="E1853" t="s">
        <v>25</v>
      </c>
      <c r="F1853">
        <v>50</v>
      </c>
      <c r="G1853">
        <v>52.1</v>
      </c>
      <c r="H1853" t="s">
        <v>46</v>
      </c>
      <c r="I1853" t="s">
        <v>47</v>
      </c>
    </row>
    <row r="1854" spans="1:9" x14ac:dyDescent="0.35">
      <c r="A1854" s="1">
        <v>45353</v>
      </c>
      <c r="B1854" t="s">
        <v>36</v>
      </c>
      <c r="C1854" t="s">
        <v>37</v>
      </c>
      <c r="D1854" t="s">
        <v>26</v>
      </c>
      <c r="E1854" t="s">
        <v>27</v>
      </c>
      <c r="F1854">
        <v>38</v>
      </c>
      <c r="G1854">
        <v>39.5</v>
      </c>
      <c r="H1854" t="s">
        <v>46</v>
      </c>
      <c r="I1854" t="s">
        <v>47</v>
      </c>
    </row>
    <row r="1855" spans="1:9" x14ac:dyDescent="0.35">
      <c r="A1855" s="1">
        <v>45353</v>
      </c>
      <c r="B1855" t="s">
        <v>36</v>
      </c>
      <c r="C1855" t="s">
        <v>37</v>
      </c>
      <c r="D1855" t="s">
        <v>28</v>
      </c>
      <c r="E1855" t="s">
        <v>29</v>
      </c>
      <c r="F1855">
        <v>32</v>
      </c>
      <c r="G1855">
        <v>41.1</v>
      </c>
      <c r="H1855" t="s">
        <v>48</v>
      </c>
      <c r="I1855" t="s">
        <v>50</v>
      </c>
    </row>
    <row r="1856" spans="1:9" x14ac:dyDescent="0.35">
      <c r="A1856" s="1">
        <v>45353</v>
      </c>
      <c r="B1856" t="s">
        <v>39</v>
      </c>
      <c r="C1856" t="s">
        <v>40</v>
      </c>
      <c r="D1856" t="s">
        <v>15</v>
      </c>
      <c r="E1856" t="s">
        <v>16</v>
      </c>
      <c r="F1856">
        <v>34</v>
      </c>
      <c r="G1856">
        <v>36</v>
      </c>
      <c r="H1856" t="s">
        <v>46</v>
      </c>
      <c r="I1856" t="s">
        <v>47</v>
      </c>
    </row>
    <row r="1857" spans="1:9" x14ac:dyDescent="0.35">
      <c r="A1857" s="1">
        <v>45353</v>
      </c>
      <c r="B1857" t="s">
        <v>39</v>
      </c>
      <c r="C1857" t="s">
        <v>40</v>
      </c>
      <c r="D1857" t="s">
        <v>18</v>
      </c>
      <c r="E1857" t="s">
        <v>19</v>
      </c>
      <c r="F1857">
        <v>38</v>
      </c>
      <c r="G1857">
        <v>39.1</v>
      </c>
      <c r="H1857" t="s">
        <v>46</v>
      </c>
      <c r="I1857" t="s">
        <v>47</v>
      </c>
    </row>
    <row r="1858" spans="1:9" x14ac:dyDescent="0.35">
      <c r="A1858" s="1">
        <v>45353</v>
      </c>
      <c r="B1858" t="s">
        <v>39</v>
      </c>
      <c r="C1858" t="s">
        <v>40</v>
      </c>
      <c r="D1858" t="s">
        <v>21</v>
      </c>
      <c r="E1858" t="s">
        <v>22</v>
      </c>
      <c r="F1858">
        <v>32</v>
      </c>
      <c r="G1858">
        <v>43.7</v>
      </c>
      <c r="H1858" t="s">
        <v>48</v>
      </c>
      <c r="I1858" t="s">
        <v>49</v>
      </c>
    </row>
    <row r="1859" spans="1:9" x14ac:dyDescent="0.35">
      <c r="A1859" s="1">
        <v>45353</v>
      </c>
      <c r="B1859" t="s">
        <v>39</v>
      </c>
      <c r="C1859" t="s">
        <v>40</v>
      </c>
      <c r="D1859" t="s">
        <v>24</v>
      </c>
      <c r="E1859" t="s">
        <v>25</v>
      </c>
      <c r="F1859">
        <v>50</v>
      </c>
      <c r="G1859">
        <v>50.9</v>
      </c>
      <c r="H1859" t="s">
        <v>46</v>
      </c>
      <c r="I1859" t="s">
        <v>47</v>
      </c>
    </row>
    <row r="1860" spans="1:9" x14ac:dyDescent="0.35">
      <c r="A1860" s="1">
        <v>45353</v>
      </c>
      <c r="B1860" t="s">
        <v>39</v>
      </c>
      <c r="C1860" t="s">
        <v>40</v>
      </c>
      <c r="D1860" t="s">
        <v>26</v>
      </c>
      <c r="E1860" t="s">
        <v>27</v>
      </c>
      <c r="F1860">
        <v>38</v>
      </c>
      <c r="G1860">
        <v>38.9</v>
      </c>
      <c r="H1860" t="s">
        <v>46</v>
      </c>
      <c r="I1860" t="s">
        <v>47</v>
      </c>
    </row>
    <row r="1861" spans="1:9" x14ac:dyDescent="0.35">
      <c r="A1861" s="1">
        <v>45353</v>
      </c>
      <c r="B1861" t="s">
        <v>39</v>
      </c>
      <c r="C1861" t="s">
        <v>40</v>
      </c>
      <c r="D1861" t="s">
        <v>28</v>
      </c>
      <c r="E1861" t="s">
        <v>29</v>
      </c>
      <c r="F1861">
        <v>32</v>
      </c>
      <c r="G1861">
        <v>33.6</v>
      </c>
      <c r="H1861" t="s">
        <v>46</v>
      </c>
      <c r="I1861" t="s">
        <v>47</v>
      </c>
    </row>
    <row r="1862" spans="1:9" x14ac:dyDescent="0.35">
      <c r="A1862" s="1">
        <v>45354</v>
      </c>
      <c r="B1862" t="s">
        <v>12</v>
      </c>
      <c r="C1862" t="s">
        <v>13</v>
      </c>
      <c r="D1862" t="s">
        <v>15</v>
      </c>
      <c r="E1862" t="s">
        <v>16</v>
      </c>
      <c r="F1862">
        <v>34</v>
      </c>
      <c r="G1862">
        <v>35.6</v>
      </c>
      <c r="H1862" t="s">
        <v>46</v>
      </c>
      <c r="I1862" t="s">
        <v>47</v>
      </c>
    </row>
    <row r="1863" spans="1:9" x14ac:dyDescent="0.35">
      <c r="A1863" s="1">
        <v>45354</v>
      </c>
      <c r="B1863" t="s">
        <v>12</v>
      </c>
      <c r="C1863" t="s">
        <v>13</v>
      </c>
      <c r="D1863" t="s">
        <v>18</v>
      </c>
      <c r="E1863" t="s">
        <v>19</v>
      </c>
      <c r="F1863">
        <v>38</v>
      </c>
      <c r="G1863">
        <v>40.6</v>
      </c>
      <c r="H1863" t="s">
        <v>46</v>
      </c>
      <c r="I1863" t="s">
        <v>47</v>
      </c>
    </row>
    <row r="1864" spans="1:9" x14ac:dyDescent="0.35">
      <c r="A1864" s="1">
        <v>45354</v>
      </c>
      <c r="B1864" t="s">
        <v>12</v>
      </c>
      <c r="C1864" t="s">
        <v>13</v>
      </c>
      <c r="D1864" t="s">
        <v>21</v>
      </c>
      <c r="E1864" t="s">
        <v>22</v>
      </c>
      <c r="F1864">
        <v>32</v>
      </c>
      <c r="G1864">
        <v>31.9</v>
      </c>
      <c r="H1864" t="s">
        <v>46</v>
      </c>
      <c r="I1864" t="s">
        <v>47</v>
      </c>
    </row>
    <row r="1865" spans="1:9" x14ac:dyDescent="0.35">
      <c r="A1865" s="1">
        <v>45354</v>
      </c>
      <c r="B1865" t="s">
        <v>12</v>
      </c>
      <c r="C1865" t="s">
        <v>13</v>
      </c>
      <c r="D1865" t="s">
        <v>24</v>
      </c>
      <c r="E1865" t="s">
        <v>25</v>
      </c>
      <c r="F1865">
        <v>50</v>
      </c>
      <c r="G1865">
        <v>50.7</v>
      </c>
      <c r="H1865" t="s">
        <v>46</v>
      </c>
      <c r="I1865" t="s">
        <v>47</v>
      </c>
    </row>
    <row r="1866" spans="1:9" x14ac:dyDescent="0.35">
      <c r="A1866" s="1">
        <v>45354</v>
      </c>
      <c r="B1866" t="s">
        <v>12</v>
      </c>
      <c r="C1866" t="s">
        <v>13</v>
      </c>
      <c r="D1866" t="s">
        <v>26</v>
      </c>
      <c r="E1866" t="s">
        <v>27</v>
      </c>
      <c r="F1866">
        <v>38</v>
      </c>
      <c r="G1866">
        <v>37.6</v>
      </c>
      <c r="H1866" t="s">
        <v>46</v>
      </c>
      <c r="I1866" t="s">
        <v>47</v>
      </c>
    </row>
    <row r="1867" spans="1:9" x14ac:dyDescent="0.35">
      <c r="A1867" s="1">
        <v>45354</v>
      </c>
      <c r="B1867" t="s">
        <v>12</v>
      </c>
      <c r="C1867" t="s">
        <v>13</v>
      </c>
      <c r="D1867" t="s">
        <v>28</v>
      </c>
      <c r="E1867" t="s">
        <v>29</v>
      </c>
      <c r="F1867">
        <v>32</v>
      </c>
      <c r="G1867">
        <v>32</v>
      </c>
      <c r="H1867" t="s">
        <v>46</v>
      </c>
      <c r="I1867" t="s">
        <v>47</v>
      </c>
    </row>
    <row r="1868" spans="1:9" x14ac:dyDescent="0.35">
      <c r="A1868" s="1">
        <v>45354</v>
      </c>
      <c r="B1868" t="s">
        <v>30</v>
      </c>
      <c r="C1868" t="s">
        <v>31</v>
      </c>
      <c r="D1868" t="s">
        <v>15</v>
      </c>
      <c r="E1868" t="s">
        <v>16</v>
      </c>
      <c r="F1868">
        <v>34</v>
      </c>
      <c r="G1868">
        <v>46</v>
      </c>
      <c r="H1868" t="s">
        <v>48</v>
      </c>
      <c r="I1868" t="s">
        <v>49</v>
      </c>
    </row>
    <row r="1869" spans="1:9" x14ac:dyDescent="0.35">
      <c r="A1869" s="1">
        <v>45354</v>
      </c>
      <c r="B1869" t="s">
        <v>30</v>
      </c>
      <c r="C1869" t="s">
        <v>31</v>
      </c>
      <c r="D1869" t="s">
        <v>18</v>
      </c>
      <c r="E1869" t="s">
        <v>19</v>
      </c>
      <c r="F1869">
        <v>38</v>
      </c>
      <c r="G1869">
        <v>39.1</v>
      </c>
      <c r="H1869" t="s">
        <v>46</v>
      </c>
      <c r="I1869" t="s">
        <v>47</v>
      </c>
    </row>
    <row r="1870" spans="1:9" x14ac:dyDescent="0.35">
      <c r="A1870" s="1">
        <v>45354</v>
      </c>
      <c r="B1870" t="s">
        <v>30</v>
      </c>
      <c r="C1870" t="s">
        <v>31</v>
      </c>
      <c r="D1870" t="s">
        <v>21</v>
      </c>
      <c r="E1870" t="s">
        <v>22</v>
      </c>
      <c r="F1870">
        <v>32</v>
      </c>
      <c r="G1870">
        <v>31.2</v>
      </c>
      <c r="H1870" t="s">
        <v>46</v>
      </c>
      <c r="I1870" t="s">
        <v>47</v>
      </c>
    </row>
    <row r="1871" spans="1:9" x14ac:dyDescent="0.35">
      <c r="A1871" s="1">
        <v>45354</v>
      </c>
      <c r="B1871" t="s">
        <v>30</v>
      </c>
      <c r="C1871" t="s">
        <v>31</v>
      </c>
      <c r="D1871" t="s">
        <v>24</v>
      </c>
      <c r="E1871" t="s">
        <v>25</v>
      </c>
      <c r="F1871">
        <v>50</v>
      </c>
      <c r="G1871">
        <v>50.3</v>
      </c>
      <c r="H1871" t="s">
        <v>46</v>
      </c>
      <c r="I1871" t="s">
        <v>47</v>
      </c>
    </row>
    <row r="1872" spans="1:9" x14ac:dyDescent="0.35">
      <c r="A1872" s="1">
        <v>45354</v>
      </c>
      <c r="B1872" t="s">
        <v>30</v>
      </c>
      <c r="C1872" t="s">
        <v>31</v>
      </c>
      <c r="D1872" t="s">
        <v>26</v>
      </c>
      <c r="E1872" t="s">
        <v>27</v>
      </c>
      <c r="F1872">
        <v>38</v>
      </c>
      <c r="G1872">
        <v>38.700000000000003</v>
      </c>
      <c r="H1872" t="s">
        <v>46</v>
      </c>
      <c r="I1872" t="s">
        <v>47</v>
      </c>
    </row>
    <row r="1873" spans="1:9" x14ac:dyDescent="0.35">
      <c r="A1873" s="1">
        <v>45354</v>
      </c>
      <c r="B1873" t="s">
        <v>30</v>
      </c>
      <c r="C1873" t="s">
        <v>31</v>
      </c>
      <c r="D1873" t="s">
        <v>28</v>
      </c>
      <c r="E1873" t="s">
        <v>29</v>
      </c>
      <c r="F1873">
        <v>32</v>
      </c>
      <c r="G1873">
        <v>33</v>
      </c>
      <c r="H1873" t="s">
        <v>46</v>
      </c>
      <c r="I1873" t="s">
        <v>47</v>
      </c>
    </row>
    <row r="1874" spans="1:9" x14ac:dyDescent="0.35">
      <c r="A1874" s="1">
        <v>45354</v>
      </c>
      <c r="B1874" t="s">
        <v>33</v>
      </c>
      <c r="C1874" t="s">
        <v>34</v>
      </c>
      <c r="D1874" t="s">
        <v>15</v>
      </c>
      <c r="E1874" t="s">
        <v>16</v>
      </c>
      <c r="F1874">
        <v>34</v>
      </c>
      <c r="G1874">
        <v>33.1</v>
      </c>
      <c r="H1874" t="s">
        <v>46</v>
      </c>
      <c r="I1874" t="s">
        <v>47</v>
      </c>
    </row>
    <row r="1875" spans="1:9" x14ac:dyDescent="0.35">
      <c r="A1875" s="1">
        <v>45354</v>
      </c>
      <c r="B1875" t="s">
        <v>33</v>
      </c>
      <c r="C1875" t="s">
        <v>34</v>
      </c>
      <c r="D1875" t="s">
        <v>18</v>
      </c>
      <c r="E1875" t="s">
        <v>19</v>
      </c>
      <c r="F1875">
        <v>38</v>
      </c>
      <c r="G1875">
        <v>38.1</v>
      </c>
      <c r="H1875" t="s">
        <v>46</v>
      </c>
      <c r="I1875" t="s">
        <v>47</v>
      </c>
    </row>
    <row r="1876" spans="1:9" x14ac:dyDescent="0.35">
      <c r="A1876" s="1">
        <v>45354</v>
      </c>
      <c r="B1876" t="s">
        <v>33</v>
      </c>
      <c r="C1876" t="s">
        <v>34</v>
      </c>
      <c r="D1876" t="s">
        <v>21</v>
      </c>
      <c r="E1876" t="s">
        <v>22</v>
      </c>
      <c r="F1876">
        <v>32</v>
      </c>
      <c r="G1876">
        <v>45.2</v>
      </c>
      <c r="H1876" t="s">
        <v>48</v>
      </c>
      <c r="I1876" t="s">
        <v>49</v>
      </c>
    </row>
    <row r="1877" spans="1:9" x14ac:dyDescent="0.35">
      <c r="A1877" s="1">
        <v>45354</v>
      </c>
      <c r="B1877" t="s">
        <v>33</v>
      </c>
      <c r="C1877" t="s">
        <v>34</v>
      </c>
      <c r="D1877" t="s">
        <v>24</v>
      </c>
      <c r="E1877" t="s">
        <v>25</v>
      </c>
      <c r="F1877">
        <v>50</v>
      </c>
      <c r="G1877">
        <v>51</v>
      </c>
      <c r="H1877" t="s">
        <v>46</v>
      </c>
      <c r="I1877" t="s">
        <v>47</v>
      </c>
    </row>
    <row r="1878" spans="1:9" x14ac:dyDescent="0.35">
      <c r="A1878" s="1">
        <v>45354</v>
      </c>
      <c r="B1878" t="s">
        <v>33</v>
      </c>
      <c r="C1878" t="s">
        <v>34</v>
      </c>
      <c r="D1878" t="s">
        <v>26</v>
      </c>
      <c r="E1878" t="s">
        <v>27</v>
      </c>
      <c r="F1878">
        <v>38</v>
      </c>
      <c r="G1878">
        <v>37.299999999999997</v>
      </c>
      <c r="H1878" t="s">
        <v>46</v>
      </c>
      <c r="I1878" t="s">
        <v>47</v>
      </c>
    </row>
    <row r="1879" spans="1:9" x14ac:dyDescent="0.35">
      <c r="A1879" s="1">
        <v>45354</v>
      </c>
      <c r="B1879" t="s">
        <v>33</v>
      </c>
      <c r="C1879" t="s">
        <v>34</v>
      </c>
      <c r="D1879" t="s">
        <v>28</v>
      </c>
      <c r="E1879" t="s">
        <v>29</v>
      </c>
      <c r="F1879">
        <v>32</v>
      </c>
      <c r="G1879">
        <v>31.9</v>
      </c>
      <c r="H1879" t="s">
        <v>46</v>
      </c>
      <c r="I1879" t="s">
        <v>47</v>
      </c>
    </row>
    <row r="1880" spans="1:9" x14ac:dyDescent="0.35">
      <c r="A1880" s="1">
        <v>45354</v>
      </c>
      <c r="B1880" t="s">
        <v>36</v>
      </c>
      <c r="C1880" t="s">
        <v>37</v>
      </c>
      <c r="D1880" t="s">
        <v>15</v>
      </c>
      <c r="E1880" t="s">
        <v>16</v>
      </c>
      <c r="F1880">
        <v>34</v>
      </c>
      <c r="G1880">
        <v>42.9</v>
      </c>
      <c r="H1880" t="s">
        <v>48</v>
      </c>
      <c r="I1880" t="s">
        <v>50</v>
      </c>
    </row>
    <row r="1881" spans="1:9" x14ac:dyDescent="0.35">
      <c r="A1881" s="1">
        <v>45354</v>
      </c>
      <c r="B1881" t="s">
        <v>36</v>
      </c>
      <c r="C1881" t="s">
        <v>37</v>
      </c>
      <c r="D1881" t="s">
        <v>18</v>
      </c>
      <c r="E1881" t="s">
        <v>19</v>
      </c>
      <c r="F1881">
        <v>38</v>
      </c>
      <c r="G1881">
        <v>38.299999999999997</v>
      </c>
      <c r="H1881" t="s">
        <v>46</v>
      </c>
      <c r="I1881" t="s">
        <v>47</v>
      </c>
    </row>
    <row r="1882" spans="1:9" x14ac:dyDescent="0.35">
      <c r="A1882" s="1">
        <v>45354</v>
      </c>
      <c r="B1882" t="s">
        <v>36</v>
      </c>
      <c r="C1882" t="s">
        <v>37</v>
      </c>
      <c r="D1882" t="s">
        <v>21</v>
      </c>
      <c r="E1882" t="s">
        <v>22</v>
      </c>
      <c r="F1882">
        <v>32</v>
      </c>
      <c r="G1882">
        <v>32</v>
      </c>
      <c r="H1882" t="s">
        <v>46</v>
      </c>
      <c r="I1882" t="s">
        <v>47</v>
      </c>
    </row>
    <row r="1883" spans="1:9" x14ac:dyDescent="0.35">
      <c r="A1883" s="1">
        <v>45354</v>
      </c>
      <c r="B1883" t="s">
        <v>36</v>
      </c>
      <c r="C1883" t="s">
        <v>37</v>
      </c>
      <c r="D1883" t="s">
        <v>24</v>
      </c>
      <c r="E1883" t="s">
        <v>25</v>
      </c>
      <c r="F1883">
        <v>50</v>
      </c>
      <c r="G1883">
        <v>52.1</v>
      </c>
      <c r="H1883" t="s">
        <v>46</v>
      </c>
      <c r="I1883" t="s">
        <v>47</v>
      </c>
    </row>
    <row r="1884" spans="1:9" x14ac:dyDescent="0.35">
      <c r="A1884" s="1">
        <v>45354</v>
      </c>
      <c r="B1884" t="s">
        <v>36</v>
      </c>
      <c r="C1884" t="s">
        <v>37</v>
      </c>
      <c r="D1884" t="s">
        <v>26</v>
      </c>
      <c r="E1884" t="s">
        <v>27</v>
      </c>
      <c r="F1884">
        <v>38</v>
      </c>
      <c r="G1884">
        <v>37.799999999999997</v>
      </c>
      <c r="H1884" t="s">
        <v>46</v>
      </c>
      <c r="I1884" t="s">
        <v>47</v>
      </c>
    </row>
    <row r="1885" spans="1:9" x14ac:dyDescent="0.35">
      <c r="A1885" s="1">
        <v>45354</v>
      </c>
      <c r="B1885" t="s">
        <v>36</v>
      </c>
      <c r="C1885" t="s">
        <v>37</v>
      </c>
      <c r="D1885" t="s">
        <v>28</v>
      </c>
      <c r="E1885" t="s">
        <v>29</v>
      </c>
      <c r="F1885">
        <v>32</v>
      </c>
      <c r="G1885">
        <v>31.6</v>
      </c>
      <c r="H1885" t="s">
        <v>46</v>
      </c>
      <c r="I1885" t="s">
        <v>47</v>
      </c>
    </row>
    <row r="1886" spans="1:9" x14ac:dyDescent="0.35">
      <c r="A1886" s="1">
        <v>45354</v>
      </c>
      <c r="B1886" t="s">
        <v>39</v>
      </c>
      <c r="C1886" t="s">
        <v>40</v>
      </c>
      <c r="D1886" t="s">
        <v>15</v>
      </c>
      <c r="E1886" t="s">
        <v>16</v>
      </c>
      <c r="F1886">
        <v>34</v>
      </c>
      <c r="G1886">
        <v>35.9</v>
      </c>
      <c r="H1886" t="s">
        <v>46</v>
      </c>
      <c r="I1886" t="s">
        <v>47</v>
      </c>
    </row>
    <row r="1887" spans="1:9" x14ac:dyDescent="0.35">
      <c r="A1887" s="1">
        <v>45354</v>
      </c>
      <c r="B1887" t="s">
        <v>39</v>
      </c>
      <c r="C1887" t="s">
        <v>40</v>
      </c>
      <c r="D1887" t="s">
        <v>18</v>
      </c>
      <c r="E1887" t="s">
        <v>19</v>
      </c>
      <c r="F1887">
        <v>38</v>
      </c>
      <c r="G1887">
        <v>38</v>
      </c>
      <c r="H1887" t="s">
        <v>46</v>
      </c>
      <c r="I1887" t="s">
        <v>47</v>
      </c>
    </row>
    <row r="1888" spans="1:9" x14ac:dyDescent="0.35">
      <c r="A1888" s="1">
        <v>45354</v>
      </c>
      <c r="B1888" t="s">
        <v>39</v>
      </c>
      <c r="C1888" t="s">
        <v>40</v>
      </c>
      <c r="D1888" t="s">
        <v>21</v>
      </c>
      <c r="E1888" t="s">
        <v>22</v>
      </c>
      <c r="F1888">
        <v>32</v>
      </c>
      <c r="G1888">
        <v>32.1</v>
      </c>
      <c r="H1888" t="s">
        <v>46</v>
      </c>
      <c r="I1888" t="s">
        <v>47</v>
      </c>
    </row>
    <row r="1889" spans="1:9" x14ac:dyDescent="0.35">
      <c r="A1889" s="1">
        <v>45354</v>
      </c>
      <c r="B1889" t="s">
        <v>39</v>
      </c>
      <c r="C1889" t="s">
        <v>40</v>
      </c>
      <c r="D1889" t="s">
        <v>24</v>
      </c>
      <c r="E1889" t="s">
        <v>25</v>
      </c>
      <c r="F1889">
        <v>50</v>
      </c>
      <c r="G1889">
        <v>53</v>
      </c>
      <c r="H1889" t="s">
        <v>46</v>
      </c>
      <c r="I1889" t="s">
        <v>47</v>
      </c>
    </row>
    <row r="1890" spans="1:9" x14ac:dyDescent="0.35">
      <c r="A1890" s="1">
        <v>45354</v>
      </c>
      <c r="B1890" t="s">
        <v>39</v>
      </c>
      <c r="C1890" t="s">
        <v>40</v>
      </c>
      <c r="D1890" t="s">
        <v>26</v>
      </c>
      <c r="E1890" t="s">
        <v>27</v>
      </c>
      <c r="F1890">
        <v>38</v>
      </c>
      <c r="G1890">
        <v>40.299999999999997</v>
      </c>
      <c r="H1890" t="s">
        <v>46</v>
      </c>
      <c r="I1890" t="s">
        <v>47</v>
      </c>
    </row>
    <row r="1891" spans="1:9" x14ac:dyDescent="0.35">
      <c r="A1891" s="1">
        <v>45354</v>
      </c>
      <c r="B1891" t="s">
        <v>39</v>
      </c>
      <c r="C1891" t="s">
        <v>40</v>
      </c>
      <c r="D1891" t="s">
        <v>28</v>
      </c>
      <c r="E1891" t="s">
        <v>29</v>
      </c>
      <c r="F1891">
        <v>32</v>
      </c>
      <c r="G1891">
        <v>31</v>
      </c>
      <c r="H1891" t="s">
        <v>46</v>
      </c>
      <c r="I1891" t="s">
        <v>47</v>
      </c>
    </row>
    <row r="1892" spans="1:9" x14ac:dyDescent="0.35">
      <c r="A1892" s="1">
        <v>45355</v>
      </c>
      <c r="B1892" t="s">
        <v>12</v>
      </c>
      <c r="C1892" t="s">
        <v>13</v>
      </c>
      <c r="D1892" t="s">
        <v>15</v>
      </c>
      <c r="E1892" t="s">
        <v>16</v>
      </c>
      <c r="F1892">
        <v>34</v>
      </c>
      <c r="G1892">
        <v>37</v>
      </c>
      <c r="H1892" t="s">
        <v>46</v>
      </c>
      <c r="I1892" t="s">
        <v>47</v>
      </c>
    </row>
    <row r="1893" spans="1:9" x14ac:dyDescent="0.35">
      <c r="A1893" s="1">
        <v>45355</v>
      </c>
      <c r="B1893" t="s">
        <v>12</v>
      </c>
      <c r="C1893" t="s">
        <v>13</v>
      </c>
      <c r="D1893" t="s">
        <v>18</v>
      </c>
      <c r="E1893" t="s">
        <v>19</v>
      </c>
      <c r="F1893">
        <v>38</v>
      </c>
      <c r="G1893">
        <v>40.5</v>
      </c>
      <c r="H1893" t="s">
        <v>46</v>
      </c>
      <c r="I1893" t="s">
        <v>47</v>
      </c>
    </row>
    <row r="1894" spans="1:9" x14ac:dyDescent="0.35">
      <c r="A1894" s="1">
        <v>45355</v>
      </c>
      <c r="B1894" t="s">
        <v>12</v>
      </c>
      <c r="C1894" t="s">
        <v>13</v>
      </c>
      <c r="D1894" t="s">
        <v>21</v>
      </c>
      <c r="E1894" t="s">
        <v>22</v>
      </c>
      <c r="F1894">
        <v>32</v>
      </c>
      <c r="G1894">
        <v>33.9</v>
      </c>
      <c r="H1894" t="s">
        <v>46</v>
      </c>
      <c r="I1894" t="s">
        <v>47</v>
      </c>
    </row>
    <row r="1895" spans="1:9" x14ac:dyDescent="0.35">
      <c r="A1895" s="1">
        <v>45355</v>
      </c>
      <c r="B1895" t="s">
        <v>12</v>
      </c>
      <c r="C1895" t="s">
        <v>13</v>
      </c>
      <c r="D1895" t="s">
        <v>24</v>
      </c>
      <c r="E1895" t="s">
        <v>25</v>
      </c>
      <c r="F1895">
        <v>50</v>
      </c>
      <c r="G1895">
        <v>49.9</v>
      </c>
      <c r="H1895" t="s">
        <v>46</v>
      </c>
      <c r="I1895" t="s">
        <v>47</v>
      </c>
    </row>
    <row r="1896" spans="1:9" x14ac:dyDescent="0.35">
      <c r="A1896" s="1">
        <v>45355</v>
      </c>
      <c r="B1896" t="s">
        <v>12</v>
      </c>
      <c r="C1896" t="s">
        <v>13</v>
      </c>
      <c r="D1896" t="s">
        <v>26</v>
      </c>
      <c r="E1896" t="s">
        <v>27</v>
      </c>
      <c r="F1896">
        <v>38</v>
      </c>
      <c r="G1896">
        <v>39.200000000000003</v>
      </c>
      <c r="H1896" t="s">
        <v>46</v>
      </c>
      <c r="I1896" t="s">
        <v>47</v>
      </c>
    </row>
    <row r="1897" spans="1:9" x14ac:dyDescent="0.35">
      <c r="A1897" s="1">
        <v>45355</v>
      </c>
      <c r="B1897" t="s">
        <v>12</v>
      </c>
      <c r="C1897" t="s">
        <v>13</v>
      </c>
      <c r="D1897" t="s">
        <v>28</v>
      </c>
      <c r="E1897" t="s">
        <v>29</v>
      </c>
      <c r="F1897">
        <v>32</v>
      </c>
      <c r="G1897">
        <v>34.299999999999997</v>
      </c>
      <c r="H1897" t="s">
        <v>46</v>
      </c>
      <c r="I1897" t="s">
        <v>47</v>
      </c>
    </row>
    <row r="1898" spans="1:9" x14ac:dyDescent="0.35">
      <c r="A1898" s="1">
        <v>45355</v>
      </c>
      <c r="B1898" t="s">
        <v>30</v>
      </c>
      <c r="C1898" t="s">
        <v>31</v>
      </c>
      <c r="D1898" t="s">
        <v>15</v>
      </c>
      <c r="E1898" t="s">
        <v>16</v>
      </c>
      <c r="F1898">
        <v>34</v>
      </c>
      <c r="G1898">
        <v>33.299999999999997</v>
      </c>
      <c r="H1898" t="s">
        <v>46</v>
      </c>
      <c r="I1898" t="s">
        <v>47</v>
      </c>
    </row>
    <row r="1899" spans="1:9" x14ac:dyDescent="0.35">
      <c r="A1899" s="1">
        <v>45355</v>
      </c>
      <c r="B1899" t="s">
        <v>30</v>
      </c>
      <c r="C1899" t="s">
        <v>31</v>
      </c>
      <c r="D1899" t="s">
        <v>18</v>
      </c>
      <c r="E1899" t="s">
        <v>19</v>
      </c>
      <c r="F1899">
        <v>38</v>
      </c>
      <c r="G1899">
        <v>38.700000000000003</v>
      </c>
      <c r="H1899" t="s">
        <v>46</v>
      </c>
      <c r="I1899" t="s">
        <v>47</v>
      </c>
    </row>
    <row r="1900" spans="1:9" x14ac:dyDescent="0.35">
      <c r="A1900" s="1">
        <v>45355</v>
      </c>
      <c r="B1900" t="s">
        <v>30</v>
      </c>
      <c r="C1900" t="s">
        <v>31</v>
      </c>
      <c r="D1900" t="s">
        <v>21</v>
      </c>
      <c r="E1900" t="s">
        <v>22</v>
      </c>
      <c r="F1900">
        <v>32</v>
      </c>
      <c r="G1900">
        <v>32.700000000000003</v>
      </c>
      <c r="H1900" t="s">
        <v>46</v>
      </c>
      <c r="I1900" t="s">
        <v>47</v>
      </c>
    </row>
    <row r="1901" spans="1:9" x14ac:dyDescent="0.35">
      <c r="A1901" s="1">
        <v>45355</v>
      </c>
      <c r="B1901" t="s">
        <v>30</v>
      </c>
      <c r="C1901" t="s">
        <v>31</v>
      </c>
      <c r="D1901" t="s">
        <v>24</v>
      </c>
      <c r="E1901" t="s">
        <v>25</v>
      </c>
      <c r="F1901">
        <v>50</v>
      </c>
      <c r="G1901">
        <v>52.4</v>
      </c>
      <c r="H1901" t="s">
        <v>46</v>
      </c>
      <c r="I1901" t="s">
        <v>47</v>
      </c>
    </row>
    <row r="1902" spans="1:9" x14ac:dyDescent="0.35">
      <c r="A1902" s="1">
        <v>45355</v>
      </c>
      <c r="B1902" t="s">
        <v>30</v>
      </c>
      <c r="C1902" t="s">
        <v>31</v>
      </c>
      <c r="D1902" t="s">
        <v>26</v>
      </c>
      <c r="E1902" t="s">
        <v>27</v>
      </c>
      <c r="F1902">
        <v>38</v>
      </c>
      <c r="G1902">
        <v>45.1</v>
      </c>
      <c r="H1902" t="s">
        <v>48</v>
      </c>
      <c r="I1902" t="s">
        <v>50</v>
      </c>
    </row>
    <row r="1903" spans="1:9" x14ac:dyDescent="0.35">
      <c r="A1903" s="1">
        <v>45355</v>
      </c>
      <c r="B1903" t="s">
        <v>30</v>
      </c>
      <c r="C1903" t="s">
        <v>31</v>
      </c>
      <c r="D1903" t="s">
        <v>28</v>
      </c>
      <c r="E1903" t="s">
        <v>29</v>
      </c>
      <c r="F1903">
        <v>32</v>
      </c>
      <c r="G1903">
        <v>32.200000000000003</v>
      </c>
      <c r="H1903" t="s">
        <v>46</v>
      </c>
      <c r="I1903" t="s">
        <v>47</v>
      </c>
    </row>
    <row r="1904" spans="1:9" x14ac:dyDescent="0.35">
      <c r="A1904" s="1">
        <v>45355</v>
      </c>
      <c r="B1904" t="s">
        <v>33</v>
      </c>
      <c r="C1904" t="s">
        <v>34</v>
      </c>
      <c r="D1904" t="s">
        <v>15</v>
      </c>
      <c r="E1904" t="s">
        <v>16</v>
      </c>
      <c r="F1904">
        <v>34</v>
      </c>
      <c r="G1904">
        <v>35</v>
      </c>
      <c r="H1904" t="s">
        <v>46</v>
      </c>
      <c r="I1904" t="s">
        <v>47</v>
      </c>
    </row>
    <row r="1905" spans="1:9" x14ac:dyDescent="0.35">
      <c r="A1905" s="1">
        <v>45355</v>
      </c>
      <c r="B1905" t="s">
        <v>33</v>
      </c>
      <c r="C1905" t="s">
        <v>34</v>
      </c>
      <c r="D1905" t="s">
        <v>18</v>
      </c>
      <c r="E1905" t="s">
        <v>19</v>
      </c>
      <c r="F1905">
        <v>38</v>
      </c>
      <c r="G1905">
        <v>38.4</v>
      </c>
      <c r="H1905" t="s">
        <v>46</v>
      </c>
      <c r="I1905" t="s">
        <v>47</v>
      </c>
    </row>
    <row r="1906" spans="1:9" x14ac:dyDescent="0.35">
      <c r="A1906" s="1">
        <v>45355</v>
      </c>
      <c r="B1906" t="s">
        <v>33</v>
      </c>
      <c r="C1906" t="s">
        <v>34</v>
      </c>
      <c r="D1906" t="s">
        <v>21</v>
      </c>
      <c r="E1906" t="s">
        <v>22</v>
      </c>
      <c r="F1906">
        <v>32</v>
      </c>
      <c r="G1906">
        <v>32.700000000000003</v>
      </c>
      <c r="H1906" t="s">
        <v>46</v>
      </c>
      <c r="I1906" t="s">
        <v>47</v>
      </c>
    </row>
    <row r="1907" spans="1:9" x14ac:dyDescent="0.35">
      <c r="A1907" s="1">
        <v>45355</v>
      </c>
      <c r="B1907" t="s">
        <v>33</v>
      </c>
      <c r="C1907" t="s">
        <v>34</v>
      </c>
      <c r="D1907" t="s">
        <v>24</v>
      </c>
      <c r="E1907" t="s">
        <v>25</v>
      </c>
      <c r="F1907">
        <v>50</v>
      </c>
      <c r="G1907">
        <v>52.1</v>
      </c>
      <c r="H1907" t="s">
        <v>46</v>
      </c>
      <c r="I1907" t="s">
        <v>47</v>
      </c>
    </row>
    <row r="1908" spans="1:9" x14ac:dyDescent="0.35">
      <c r="A1908" s="1">
        <v>45355</v>
      </c>
      <c r="B1908" t="s">
        <v>33</v>
      </c>
      <c r="C1908" t="s">
        <v>34</v>
      </c>
      <c r="D1908" t="s">
        <v>26</v>
      </c>
      <c r="E1908" t="s">
        <v>27</v>
      </c>
      <c r="F1908">
        <v>38</v>
      </c>
      <c r="G1908">
        <v>38.200000000000003</v>
      </c>
      <c r="H1908" t="s">
        <v>46</v>
      </c>
      <c r="I1908" t="s">
        <v>47</v>
      </c>
    </row>
    <row r="1909" spans="1:9" x14ac:dyDescent="0.35">
      <c r="A1909" s="1">
        <v>45355</v>
      </c>
      <c r="B1909" t="s">
        <v>33</v>
      </c>
      <c r="C1909" t="s">
        <v>34</v>
      </c>
      <c r="D1909" t="s">
        <v>28</v>
      </c>
      <c r="E1909" t="s">
        <v>29</v>
      </c>
      <c r="F1909">
        <v>32</v>
      </c>
      <c r="G1909">
        <v>33.299999999999997</v>
      </c>
      <c r="H1909" t="s">
        <v>46</v>
      </c>
      <c r="I1909" t="s">
        <v>47</v>
      </c>
    </row>
    <row r="1910" spans="1:9" x14ac:dyDescent="0.35">
      <c r="A1910" s="1">
        <v>45355</v>
      </c>
      <c r="B1910" t="s">
        <v>36</v>
      </c>
      <c r="C1910" t="s">
        <v>37</v>
      </c>
      <c r="D1910" t="s">
        <v>15</v>
      </c>
      <c r="E1910" t="s">
        <v>16</v>
      </c>
      <c r="F1910">
        <v>34</v>
      </c>
      <c r="G1910">
        <v>41.1</v>
      </c>
      <c r="H1910" t="s">
        <v>48</v>
      </c>
      <c r="I1910" t="s">
        <v>50</v>
      </c>
    </row>
    <row r="1911" spans="1:9" x14ac:dyDescent="0.35">
      <c r="A1911" s="1">
        <v>45355</v>
      </c>
      <c r="B1911" t="s">
        <v>36</v>
      </c>
      <c r="C1911" t="s">
        <v>37</v>
      </c>
      <c r="D1911" t="s">
        <v>18</v>
      </c>
      <c r="E1911" t="s">
        <v>19</v>
      </c>
      <c r="F1911">
        <v>38</v>
      </c>
      <c r="G1911">
        <v>41</v>
      </c>
      <c r="H1911" t="s">
        <v>46</v>
      </c>
      <c r="I1911" t="s">
        <v>47</v>
      </c>
    </row>
    <row r="1912" spans="1:9" x14ac:dyDescent="0.35">
      <c r="A1912" s="1">
        <v>45355</v>
      </c>
      <c r="B1912" t="s">
        <v>36</v>
      </c>
      <c r="C1912" t="s">
        <v>37</v>
      </c>
      <c r="D1912" t="s">
        <v>21</v>
      </c>
      <c r="E1912" t="s">
        <v>22</v>
      </c>
      <c r="F1912">
        <v>32</v>
      </c>
      <c r="G1912">
        <v>34.200000000000003</v>
      </c>
      <c r="H1912" t="s">
        <v>46</v>
      </c>
      <c r="I1912" t="s">
        <v>47</v>
      </c>
    </row>
    <row r="1913" spans="1:9" x14ac:dyDescent="0.35">
      <c r="A1913" s="1">
        <v>45355</v>
      </c>
      <c r="B1913" t="s">
        <v>36</v>
      </c>
      <c r="C1913" t="s">
        <v>37</v>
      </c>
      <c r="D1913" t="s">
        <v>24</v>
      </c>
      <c r="E1913" t="s">
        <v>25</v>
      </c>
      <c r="F1913">
        <v>50</v>
      </c>
      <c r="G1913">
        <v>51.3</v>
      </c>
      <c r="H1913" t="s">
        <v>46</v>
      </c>
      <c r="I1913" t="s">
        <v>47</v>
      </c>
    </row>
    <row r="1914" spans="1:9" x14ac:dyDescent="0.35">
      <c r="A1914" s="1">
        <v>45355</v>
      </c>
      <c r="B1914" t="s">
        <v>36</v>
      </c>
      <c r="C1914" t="s">
        <v>37</v>
      </c>
      <c r="D1914" t="s">
        <v>26</v>
      </c>
      <c r="E1914" t="s">
        <v>27</v>
      </c>
      <c r="F1914">
        <v>38</v>
      </c>
      <c r="G1914">
        <v>38.5</v>
      </c>
      <c r="H1914" t="s">
        <v>46</v>
      </c>
      <c r="I1914" t="s">
        <v>47</v>
      </c>
    </row>
    <row r="1915" spans="1:9" x14ac:dyDescent="0.35">
      <c r="A1915" s="1">
        <v>45355</v>
      </c>
      <c r="B1915" t="s">
        <v>36</v>
      </c>
      <c r="C1915" t="s">
        <v>37</v>
      </c>
      <c r="D1915" t="s">
        <v>28</v>
      </c>
      <c r="E1915" t="s">
        <v>29</v>
      </c>
      <c r="F1915">
        <v>32</v>
      </c>
      <c r="G1915">
        <v>31.3</v>
      </c>
      <c r="H1915" t="s">
        <v>46</v>
      </c>
      <c r="I1915" t="s">
        <v>47</v>
      </c>
    </row>
    <row r="1916" spans="1:9" x14ac:dyDescent="0.35">
      <c r="A1916" s="1">
        <v>45355</v>
      </c>
      <c r="B1916" t="s">
        <v>39</v>
      </c>
      <c r="C1916" t="s">
        <v>40</v>
      </c>
      <c r="D1916" t="s">
        <v>15</v>
      </c>
      <c r="E1916" t="s">
        <v>16</v>
      </c>
      <c r="F1916">
        <v>34</v>
      </c>
      <c r="G1916">
        <v>34.9</v>
      </c>
      <c r="H1916" t="s">
        <v>46</v>
      </c>
      <c r="I1916" t="s">
        <v>47</v>
      </c>
    </row>
    <row r="1917" spans="1:9" x14ac:dyDescent="0.35">
      <c r="A1917" s="1">
        <v>45355</v>
      </c>
      <c r="B1917" t="s">
        <v>39</v>
      </c>
      <c r="C1917" t="s">
        <v>40</v>
      </c>
      <c r="D1917" t="s">
        <v>18</v>
      </c>
      <c r="E1917" t="s">
        <v>19</v>
      </c>
      <c r="F1917">
        <v>38</v>
      </c>
      <c r="G1917">
        <v>40.799999999999997</v>
      </c>
      <c r="H1917" t="s">
        <v>46</v>
      </c>
      <c r="I1917" t="s">
        <v>47</v>
      </c>
    </row>
    <row r="1918" spans="1:9" x14ac:dyDescent="0.35">
      <c r="A1918" s="1">
        <v>45355</v>
      </c>
      <c r="B1918" t="s">
        <v>39</v>
      </c>
      <c r="C1918" t="s">
        <v>40</v>
      </c>
      <c r="D1918" t="s">
        <v>21</v>
      </c>
      <c r="E1918" t="s">
        <v>22</v>
      </c>
      <c r="F1918">
        <v>32</v>
      </c>
      <c r="G1918">
        <v>32.200000000000003</v>
      </c>
      <c r="H1918" t="s">
        <v>46</v>
      </c>
      <c r="I1918" t="s">
        <v>47</v>
      </c>
    </row>
    <row r="1919" spans="1:9" x14ac:dyDescent="0.35">
      <c r="A1919" s="1">
        <v>45355</v>
      </c>
      <c r="B1919" t="s">
        <v>39</v>
      </c>
      <c r="C1919" t="s">
        <v>40</v>
      </c>
      <c r="D1919" t="s">
        <v>24</v>
      </c>
      <c r="E1919" t="s">
        <v>25</v>
      </c>
      <c r="F1919">
        <v>50</v>
      </c>
      <c r="G1919">
        <v>61.4</v>
      </c>
      <c r="H1919" t="s">
        <v>48</v>
      </c>
      <c r="I1919" t="s">
        <v>49</v>
      </c>
    </row>
    <row r="1920" spans="1:9" x14ac:dyDescent="0.35">
      <c r="A1920" s="1">
        <v>45355</v>
      </c>
      <c r="B1920" t="s">
        <v>39</v>
      </c>
      <c r="C1920" t="s">
        <v>40</v>
      </c>
      <c r="D1920" t="s">
        <v>26</v>
      </c>
      <c r="E1920" t="s">
        <v>27</v>
      </c>
      <c r="F1920">
        <v>38</v>
      </c>
      <c r="G1920">
        <v>50.6</v>
      </c>
      <c r="H1920" t="s">
        <v>48</v>
      </c>
      <c r="I1920" t="s">
        <v>49</v>
      </c>
    </row>
    <row r="1921" spans="1:9" x14ac:dyDescent="0.35">
      <c r="A1921" s="1">
        <v>45355</v>
      </c>
      <c r="B1921" t="s">
        <v>39</v>
      </c>
      <c r="C1921" t="s">
        <v>40</v>
      </c>
      <c r="D1921" t="s">
        <v>28</v>
      </c>
      <c r="E1921" t="s">
        <v>29</v>
      </c>
      <c r="F1921">
        <v>32</v>
      </c>
      <c r="G1921">
        <v>31.1</v>
      </c>
      <c r="H1921" t="s">
        <v>46</v>
      </c>
      <c r="I1921" t="s">
        <v>47</v>
      </c>
    </row>
    <row r="1922" spans="1:9" x14ac:dyDescent="0.35">
      <c r="A1922" s="1">
        <v>45356</v>
      </c>
      <c r="B1922" t="s">
        <v>12</v>
      </c>
      <c r="C1922" t="s">
        <v>13</v>
      </c>
      <c r="D1922" t="s">
        <v>15</v>
      </c>
      <c r="E1922" t="s">
        <v>16</v>
      </c>
      <c r="F1922">
        <v>34</v>
      </c>
      <c r="G1922">
        <v>36.6</v>
      </c>
      <c r="H1922" t="s">
        <v>46</v>
      </c>
      <c r="I1922" t="s">
        <v>47</v>
      </c>
    </row>
    <row r="1923" spans="1:9" x14ac:dyDescent="0.35">
      <c r="A1923" s="1">
        <v>45356</v>
      </c>
      <c r="B1923" t="s">
        <v>12</v>
      </c>
      <c r="C1923" t="s">
        <v>13</v>
      </c>
      <c r="D1923" t="s">
        <v>18</v>
      </c>
      <c r="E1923" t="s">
        <v>19</v>
      </c>
      <c r="F1923">
        <v>38</v>
      </c>
      <c r="G1923">
        <v>37.799999999999997</v>
      </c>
      <c r="H1923" t="s">
        <v>46</v>
      </c>
      <c r="I1923" t="s">
        <v>47</v>
      </c>
    </row>
    <row r="1924" spans="1:9" x14ac:dyDescent="0.35">
      <c r="A1924" s="1">
        <v>45356</v>
      </c>
      <c r="B1924" t="s">
        <v>12</v>
      </c>
      <c r="C1924" t="s">
        <v>13</v>
      </c>
      <c r="D1924" t="s">
        <v>21</v>
      </c>
      <c r="E1924" t="s">
        <v>22</v>
      </c>
      <c r="F1924">
        <v>32</v>
      </c>
      <c r="G1924">
        <v>33.1</v>
      </c>
      <c r="H1924" t="s">
        <v>46</v>
      </c>
      <c r="I1924" t="s">
        <v>47</v>
      </c>
    </row>
    <row r="1925" spans="1:9" x14ac:dyDescent="0.35">
      <c r="A1925" s="1">
        <v>45356</v>
      </c>
      <c r="B1925" t="s">
        <v>12</v>
      </c>
      <c r="C1925" t="s">
        <v>13</v>
      </c>
      <c r="D1925" t="s">
        <v>24</v>
      </c>
      <c r="E1925" t="s">
        <v>25</v>
      </c>
      <c r="F1925">
        <v>50</v>
      </c>
      <c r="G1925">
        <v>50.5</v>
      </c>
      <c r="H1925" t="s">
        <v>46</v>
      </c>
      <c r="I1925" t="s">
        <v>47</v>
      </c>
    </row>
    <row r="1926" spans="1:9" x14ac:dyDescent="0.35">
      <c r="A1926" s="1">
        <v>45356</v>
      </c>
      <c r="B1926" t="s">
        <v>12</v>
      </c>
      <c r="C1926" t="s">
        <v>13</v>
      </c>
      <c r="D1926" t="s">
        <v>26</v>
      </c>
      <c r="E1926" t="s">
        <v>27</v>
      </c>
      <c r="F1926">
        <v>38</v>
      </c>
      <c r="G1926">
        <v>46.6</v>
      </c>
      <c r="H1926" t="s">
        <v>48</v>
      </c>
      <c r="I1926" t="s">
        <v>50</v>
      </c>
    </row>
    <row r="1927" spans="1:9" x14ac:dyDescent="0.35">
      <c r="A1927" s="1">
        <v>45356</v>
      </c>
      <c r="B1927" t="s">
        <v>12</v>
      </c>
      <c r="C1927" t="s">
        <v>13</v>
      </c>
      <c r="D1927" t="s">
        <v>28</v>
      </c>
      <c r="E1927" t="s">
        <v>29</v>
      </c>
      <c r="F1927">
        <v>32</v>
      </c>
      <c r="G1927">
        <v>32.6</v>
      </c>
      <c r="H1927" t="s">
        <v>46</v>
      </c>
      <c r="I1927" t="s">
        <v>47</v>
      </c>
    </row>
    <row r="1928" spans="1:9" x14ac:dyDescent="0.35">
      <c r="A1928" s="1">
        <v>45356</v>
      </c>
      <c r="B1928" t="s">
        <v>30</v>
      </c>
      <c r="C1928" t="s">
        <v>31</v>
      </c>
      <c r="D1928" t="s">
        <v>15</v>
      </c>
      <c r="E1928" t="s">
        <v>16</v>
      </c>
      <c r="F1928">
        <v>34</v>
      </c>
      <c r="G1928">
        <v>33.5</v>
      </c>
      <c r="H1928" t="s">
        <v>46</v>
      </c>
      <c r="I1928" t="s">
        <v>47</v>
      </c>
    </row>
    <row r="1929" spans="1:9" x14ac:dyDescent="0.35">
      <c r="A1929" s="1">
        <v>45356</v>
      </c>
      <c r="B1929" t="s">
        <v>30</v>
      </c>
      <c r="C1929" t="s">
        <v>31</v>
      </c>
      <c r="D1929" t="s">
        <v>18</v>
      </c>
      <c r="E1929" t="s">
        <v>19</v>
      </c>
      <c r="F1929">
        <v>38</v>
      </c>
      <c r="G1929">
        <v>40</v>
      </c>
      <c r="H1929" t="s">
        <v>46</v>
      </c>
      <c r="I1929" t="s">
        <v>47</v>
      </c>
    </row>
    <row r="1930" spans="1:9" x14ac:dyDescent="0.35">
      <c r="A1930" s="1">
        <v>45356</v>
      </c>
      <c r="B1930" t="s">
        <v>30</v>
      </c>
      <c r="C1930" t="s">
        <v>31</v>
      </c>
      <c r="D1930" t="s">
        <v>21</v>
      </c>
      <c r="E1930" t="s">
        <v>22</v>
      </c>
      <c r="F1930">
        <v>32</v>
      </c>
      <c r="G1930">
        <v>34.6</v>
      </c>
      <c r="H1930" t="s">
        <v>46</v>
      </c>
      <c r="I1930" t="s">
        <v>47</v>
      </c>
    </row>
    <row r="1931" spans="1:9" x14ac:dyDescent="0.35">
      <c r="A1931" s="1">
        <v>45356</v>
      </c>
      <c r="B1931" t="s">
        <v>30</v>
      </c>
      <c r="C1931" t="s">
        <v>31</v>
      </c>
      <c r="D1931" t="s">
        <v>24</v>
      </c>
      <c r="E1931" t="s">
        <v>25</v>
      </c>
      <c r="F1931">
        <v>50</v>
      </c>
      <c r="G1931">
        <v>52.5</v>
      </c>
      <c r="H1931" t="s">
        <v>46</v>
      </c>
      <c r="I1931" t="s">
        <v>47</v>
      </c>
    </row>
    <row r="1932" spans="1:9" x14ac:dyDescent="0.35">
      <c r="A1932" s="1">
        <v>45356</v>
      </c>
      <c r="B1932" t="s">
        <v>30</v>
      </c>
      <c r="C1932" t="s">
        <v>31</v>
      </c>
      <c r="D1932" t="s">
        <v>26</v>
      </c>
      <c r="E1932" t="s">
        <v>27</v>
      </c>
      <c r="F1932">
        <v>38</v>
      </c>
      <c r="G1932">
        <v>40.299999999999997</v>
      </c>
      <c r="H1932" t="s">
        <v>46</v>
      </c>
      <c r="I1932" t="s">
        <v>47</v>
      </c>
    </row>
    <row r="1933" spans="1:9" x14ac:dyDescent="0.35">
      <c r="A1933" s="1">
        <v>45356</v>
      </c>
      <c r="B1933" t="s">
        <v>30</v>
      </c>
      <c r="C1933" t="s">
        <v>31</v>
      </c>
      <c r="D1933" t="s">
        <v>28</v>
      </c>
      <c r="E1933" t="s">
        <v>29</v>
      </c>
      <c r="F1933">
        <v>32</v>
      </c>
      <c r="G1933">
        <v>31.6</v>
      </c>
      <c r="H1933" t="s">
        <v>46</v>
      </c>
      <c r="I1933" t="s">
        <v>47</v>
      </c>
    </row>
    <row r="1934" spans="1:9" x14ac:dyDescent="0.35">
      <c r="A1934" s="1">
        <v>45356</v>
      </c>
      <c r="B1934" t="s">
        <v>33</v>
      </c>
      <c r="C1934" t="s">
        <v>34</v>
      </c>
      <c r="D1934" t="s">
        <v>15</v>
      </c>
      <c r="E1934" t="s">
        <v>16</v>
      </c>
      <c r="F1934">
        <v>34</v>
      </c>
      <c r="G1934">
        <v>34.200000000000003</v>
      </c>
      <c r="H1934" t="s">
        <v>46</v>
      </c>
      <c r="I1934" t="s">
        <v>47</v>
      </c>
    </row>
    <row r="1935" spans="1:9" x14ac:dyDescent="0.35">
      <c r="A1935" s="1">
        <v>45356</v>
      </c>
      <c r="B1935" t="s">
        <v>33</v>
      </c>
      <c r="C1935" t="s">
        <v>34</v>
      </c>
      <c r="D1935" t="s">
        <v>18</v>
      </c>
      <c r="E1935" t="s">
        <v>19</v>
      </c>
      <c r="F1935">
        <v>38</v>
      </c>
      <c r="G1935">
        <v>39.9</v>
      </c>
      <c r="H1935" t="s">
        <v>46</v>
      </c>
      <c r="I1935" t="s">
        <v>47</v>
      </c>
    </row>
    <row r="1936" spans="1:9" x14ac:dyDescent="0.35">
      <c r="A1936" s="1">
        <v>45356</v>
      </c>
      <c r="B1936" t="s">
        <v>33</v>
      </c>
      <c r="C1936" t="s">
        <v>34</v>
      </c>
      <c r="D1936" t="s">
        <v>21</v>
      </c>
      <c r="E1936" t="s">
        <v>22</v>
      </c>
      <c r="F1936">
        <v>32</v>
      </c>
      <c r="G1936">
        <v>31.8</v>
      </c>
      <c r="H1936" t="s">
        <v>46</v>
      </c>
      <c r="I1936" t="s">
        <v>47</v>
      </c>
    </row>
    <row r="1937" spans="1:9" x14ac:dyDescent="0.35">
      <c r="A1937" s="1">
        <v>45356</v>
      </c>
      <c r="B1937" t="s">
        <v>33</v>
      </c>
      <c r="C1937" t="s">
        <v>34</v>
      </c>
      <c r="D1937" t="s">
        <v>24</v>
      </c>
      <c r="E1937" t="s">
        <v>25</v>
      </c>
      <c r="F1937">
        <v>50</v>
      </c>
      <c r="G1937">
        <v>50.8</v>
      </c>
      <c r="H1937" t="s">
        <v>46</v>
      </c>
      <c r="I1937" t="s">
        <v>47</v>
      </c>
    </row>
    <row r="1938" spans="1:9" x14ac:dyDescent="0.35">
      <c r="A1938" s="1">
        <v>45356</v>
      </c>
      <c r="B1938" t="s">
        <v>33</v>
      </c>
      <c r="C1938" t="s">
        <v>34</v>
      </c>
      <c r="D1938" t="s">
        <v>26</v>
      </c>
      <c r="E1938" t="s">
        <v>27</v>
      </c>
      <c r="F1938">
        <v>38</v>
      </c>
      <c r="G1938">
        <v>39.4</v>
      </c>
      <c r="H1938" t="s">
        <v>46</v>
      </c>
      <c r="I1938" t="s">
        <v>47</v>
      </c>
    </row>
    <row r="1939" spans="1:9" x14ac:dyDescent="0.35">
      <c r="A1939" s="1">
        <v>45356</v>
      </c>
      <c r="B1939" t="s">
        <v>33</v>
      </c>
      <c r="C1939" t="s">
        <v>34</v>
      </c>
      <c r="D1939" t="s">
        <v>28</v>
      </c>
      <c r="E1939" t="s">
        <v>29</v>
      </c>
      <c r="F1939">
        <v>32</v>
      </c>
      <c r="G1939">
        <v>32.299999999999997</v>
      </c>
      <c r="H1939" t="s">
        <v>46</v>
      </c>
      <c r="I1939" t="s">
        <v>47</v>
      </c>
    </row>
    <row r="1940" spans="1:9" x14ac:dyDescent="0.35">
      <c r="A1940" s="1">
        <v>45356</v>
      </c>
      <c r="B1940" t="s">
        <v>36</v>
      </c>
      <c r="C1940" t="s">
        <v>37</v>
      </c>
      <c r="D1940" t="s">
        <v>15</v>
      </c>
      <c r="E1940" t="s">
        <v>16</v>
      </c>
      <c r="F1940">
        <v>34</v>
      </c>
      <c r="G1940">
        <v>35</v>
      </c>
      <c r="H1940" t="s">
        <v>46</v>
      </c>
      <c r="I1940" t="s">
        <v>47</v>
      </c>
    </row>
    <row r="1941" spans="1:9" x14ac:dyDescent="0.35">
      <c r="A1941" s="1">
        <v>45356</v>
      </c>
      <c r="B1941" t="s">
        <v>36</v>
      </c>
      <c r="C1941" t="s">
        <v>37</v>
      </c>
      <c r="D1941" t="s">
        <v>18</v>
      </c>
      <c r="E1941" t="s">
        <v>19</v>
      </c>
      <c r="F1941">
        <v>38</v>
      </c>
      <c r="G1941">
        <v>37.200000000000003</v>
      </c>
      <c r="H1941" t="s">
        <v>46</v>
      </c>
      <c r="I1941" t="s">
        <v>47</v>
      </c>
    </row>
    <row r="1942" spans="1:9" x14ac:dyDescent="0.35">
      <c r="A1942" s="1">
        <v>45356</v>
      </c>
      <c r="B1942" t="s">
        <v>36</v>
      </c>
      <c r="C1942" t="s">
        <v>37</v>
      </c>
      <c r="D1942" t="s">
        <v>21</v>
      </c>
      <c r="E1942" t="s">
        <v>22</v>
      </c>
      <c r="F1942">
        <v>32</v>
      </c>
      <c r="G1942">
        <v>43.2</v>
      </c>
      <c r="H1942" t="s">
        <v>48</v>
      </c>
      <c r="I1942" t="s">
        <v>49</v>
      </c>
    </row>
    <row r="1943" spans="1:9" x14ac:dyDescent="0.35">
      <c r="A1943" s="1">
        <v>45356</v>
      </c>
      <c r="B1943" t="s">
        <v>36</v>
      </c>
      <c r="C1943" t="s">
        <v>37</v>
      </c>
      <c r="D1943" t="s">
        <v>24</v>
      </c>
      <c r="E1943" t="s">
        <v>25</v>
      </c>
      <c r="F1943">
        <v>50</v>
      </c>
      <c r="G1943">
        <v>50.4</v>
      </c>
      <c r="H1943" t="s">
        <v>46</v>
      </c>
      <c r="I1943" t="s">
        <v>47</v>
      </c>
    </row>
    <row r="1944" spans="1:9" x14ac:dyDescent="0.35">
      <c r="A1944" s="1">
        <v>45356</v>
      </c>
      <c r="B1944" t="s">
        <v>36</v>
      </c>
      <c r="C1944" t="s">
        <v>37</v>
      </c>
      <c r="D1944" t="s">
        <v>26</v>
      </c>
      <c r="E1944" t="s">
        <v>27</v>
      </c>
      <c r="F1944">
        <v>38</v>
      </c>
      <c r="G1944">
        <v>40.200000000000003</v>
      </c>
      <c r="H1944" t="s">
        <v>46</v>
      </c>
      <c r="I1944" t="s">
        <v>47</v>
      </c>
    </row>
    <row r="1945" spans="1:9" x14ac:dyDescent="0.35">
      <c r="A1945" s="1">
        <v>45356</v>
      </c>
      <c r="B1945" t="s">
        <v>36</v>
      </c>
      <c r="C1945" t="s">
        <v>37</v>
      </c>
      <c r="D1945" t="s">
        <v>28</v>
      </c>
      <c r="E1945" t="s">
        <v>29</v>
      </c>
      <c r="F1945">
        <v>32</v>
      </c>
      <c r="G1945">
        <v>34.299999999999997</v>
      </c>
      <c r="H1945" t="s">
        <v>46</v>
      </c>
      <c r="I1945" t="s">
        <v>47</v>
      </c>
    </row>
    <row r="1946" spans="1:9" x14ac:dyDescent="0.35">
      <c r="A1946" s="1">
        <v>45356</v>
      </c>
      <c r="B1946" t="s">
        <v>39</v>
      </c>
      <c r="C1946" t="s">
        <v>40</v>
      </c>
      <c r="D1946" t="s">
        <v>15</v>
      </c>
      <c r="E1946" t="s">
        <v>16</v>
      </c>
      <c r="F1946">
        <v>34</v>
      </c>
      <c r="G1946">
        <v>34.700000000000003</v>
      </c>
      <c r="H1946" t="s">
        <v>46</v>
      </c>
      <c r="I1946" t="s">
        <v>47</v>
      </c>
    </row>
    <row r="1947" spans="1:9" x14ac:dyDescent="0.35">
      <c r="A1947" s="1">
        <v>45356</v>
      </c>
      <c r="B1947" t="s">
        <v>39</v>
      </c>
      <c r="C1947" t="s">
        <v>40</v>
      </c>
      <c r="D1947" t="s">
        <v>18</v>
      </c>
      <c r="E1947" t="s">
        <v>19</v>
      </c>
      <c r="F1947">
        <v>38</v>
      </c>
      <c r="G1947">
        <v>48.9</v>
      </c>
      <c r="H1947" t="s">
        <v>48</v>
      </c>
      <c r="I1947" t="s">
        <v>49</v>
      </c>
    </row>
    <row r="1948" spans="1:9" x14ac:dyDescent="0.35">
      <c r="A1948" s="1">
        <v>45356</v>
      </c>
      <c r="B1948" t="s">
        <v>39</v>
      </c>
      <c r="C1948" t="s">
        <v>40</v>
      </c>
      <c r="D1948" t="s">
        <v>21</v>
      </c>
      <c r="E1948" t="s">
        <v>22</v>
      </c>
      <c r="F1948">
        <v>32</v>
      </c>
      <c r="G1948">
        <v>32.5</v>
      </c>
      <c r="H1948" t="s">
        <v>46</v>
      </c>
      <c r="I1948" t="s">
        <v>47</v>
      </c>
    </row>
    <row r="1949" spans="1:9" x14ac:dyDescent="0.35">
      <c r="A1949" s="1">
        <v>45356</v>
      </c>
      <c r="B1949" t="s">
        <v>39</v>
      </c>
      <c r="C1949" t="s">
        <v>40</v>
      </c>
      <c r="D1949" t="s">
        <v>24</v>
      </c>
      <c r="E1949" t="s">
        <v>25</v>
      </c>
      <c r="F1949">
        <v>50</v>
      </c>
      <c r="G1949">
        <v>51.8</v>
      </c>
      <c r="H1949" t="s">
        <v>46</v>
      </c>
      <c r="I1949" t="s">
        <v>47</v>
      </c>
    </row>
    <row r="1950" spans="1:9" x14ac:dyDescent="0.35">
      <c r="A1950" s="1">
        <v>45356</v>
      </c>
      <c r="B1950" t="s">
        <v>39</v>
      </c>
      <c r="C1950" t="s">
        <v>40</v>
      </c>
      <c r="D1950" t="s">
        <v>26</v>
      </c>
      <c r="E1950" t="s">
        <v>27</v>
      </c>
      <c r="F1950">
        <v>38</v>
      </c>
      <c r="G1950">
        <v>49.6</v>
      </c>
      <c r="H1950" t="s">
        <v>48</v>
      </c>
      <c r="I1950" t="s">
        <v>49</v>
      </c>
    </row>
    <row r="1951" spans="1:9" x14ac:dyDescent="0.35">
      <c r="A1951" s="1">
        <v>45356</v>
      </c>
      <c r="B1951" t="s">
        <v>39</v>
      </c>
      <c r="C1951" t="s">
        <v>40</v>
      </c>
      <c r="D1951" t="s">
        <v>28</v>
      </c>
      <c r="E1951" t="s">
        <v>29</v>
      </c>
      <c r="F1951">
        <v>32</v>
      </c>
      <c r="G1951">
        <v>45.1</v>
      </c>
      <c r="H1951" t="s">
        <v>48</v>
      </c>
      <c r="I1951" t="s">
        <v>49</v>
      </c>
    </row>
    <row r="1952" spans="1:9" x14ac:dyDescent="0.35">
      <c r="A1952" s="1">
        <v>45357</v>
      </c>
      <c r="B1952" t="s">
        <v>12</v>
      </c>
      <c r="C1952" t="s">
        <v>13</v>
      </c>
      <c r="D1952" t="s">
        <v>15</v>
      </c>
      <c r="E1952" t="s">
        <v>16</v>
      </c>
      <c r="F1952">
        <v>34</v>
      </c>
      <c r="G1952">
        <v>47.1</v>
      </c>
      <c r="H1952" t="s">
        <v>48</v>
      </c>
      <c r="I1952" t="s">
        <v>49</v>
      </c>
    </row>
    <row r="1953" spans="1:9" x14ac:dyDescent="0.35">
      <c r="A1953" s="1">
        <v>45357</v>
      </c>
      <c r="B1953" t="s">
        <v>12</v>
      </c>
      <c r="C1953" t="s">
        <v>13</v>
      </c>
      <c r="D1953" t="s">
        <v>18</v>
      </c>
      <c r="E1953" t="s">
        <v>19</v>
      </c>
      <c r="F1953">
        <v>38</v>
      </c>
      <c r="G1953">
        <v>39.700000000000003</v>
      </c>
      <c r="H1953" t="s">
        <v>46</v>
      </c>
      <c r="I1953" t="s">
        <v>47</v>
      </c>
    </row>
    <row r="1954" spans="1:9" x14ac:dyDescent="0.35">
      <c r="A1954" s="1">
        <v>45357</v>
      </c>
      <c r="B1954" t="s">
        <v>12</v>
      </c>
      <c r="C1954" t="s">
        <v>13</v>
      </c>
      <c r="D1954" t="s">
        <v>21</v>
      </c>
      <c r="E1954" t="s">
        <v>22</v>
      </c>
      <c r="F1954">
        <v>32</v>
      </c>
      <c r="G1954">
        <v>43.8</v>
      </c>
      <c r="H1954" t="s">
        <v>48</v>
      </c>
      <c r="I1954" t="s">
        <v>49</v>
      </c>
    </row>
    <row r="1955" spans="1:9" x14ac:dyDescent="0.35">
      <c r="A1955" s="1">
        <v>45357</v>
      </c>
      <c r="B1955" t="s">
        <v>12</v>
      </c>
      <c r="C1955" t="s">
        <v>13</v>
      </c>
      <c r="D1955" t="s">
        <v>24</v>
      </c>
      <c r="E1955" t="s">
        <v>25</v>
      </c>
      <c r="F1955">
        <v>50</v>
      </c>
      <c r="G1955">
        <v>52.6</v>
      </c>
      <c r="H1955" t="s">
        <v>46</v>
      </c>
      <c r="I1955" t="s">
        <v>47</v>
      </c>
    </row>
    <row r="1956" spans="1:9" x14ac:dyDescent="0.35">
      <c r="A1956" s="1">
        <v>45357</v>
      </c>
      <c r="B1956" t="s">
        <v>12</v>
      </c>
      <c r="C1956" t="s">
        <v>13</v>
      </c>
      <c r="D1956" t="s">
        <v>26</v>
      </c>
      <c r="E1956" t="s">
        <v>27</v>
      </c>
      <c r="F1956">
        <v>38</v>
      </c>
      <c r="G1956">
        <v>40</v>
      </c>
      <c r="H1956" t="s">
        <v>46</v>
      </c>
      <c r="I1956" t="s">
        <v>47</v>
      </c>
    </row>
    <row r="1957" spans="1:9" x14ac:dyDescent="0.35">
      <c r="A1957" s="1">
        <v>45357</v>
      </c>
      <c r="B1957" t="s">
        <v>12</v>
      </c>
      <c r="C1957" t="s">
        <v>13</v>
      </c>
      <c r="D1957" t="s">
        <v>28</v>
      </c>
      <c r="E1957" t="s">
        <v>29</v>
      </c>
      <c r="F1957">
        <v>32</v>
      </c>
      <c r="G1957">
        <v>40.9</v>
      </c>
      <c r="H1957" t="s">
        <v>48</v>
      </c>
      <c r="I1957" t="s">
        <v>50</v>
      </c>
    </row>
    <row r="1958" spans="1:9" x14ac:dyDescent="0.35">
      <c r="A1958" s="1">
        <v>45357</v>
      </c>
      <c r="B1958" t="s">
        <v>30</v>
      </c>
      <c r="C1958" t="s">
        <v>31</v>
      </c>
      <c r="D1958" t="s">
        <v>15</v>
      </c>
      <c r="E1958" t="s">
        <v>16</v>
      </c>
      <c r="F1958">
        <v>34</v>
      </c>
      <c r="G1958">
        <v>35</v>
      </c>
      <c r="H1958" t="s">
        <v>46</v>
      </c>
      <c r="I1958" t="s">
        <v>47</v>
      </c>
    </row>
    <row r="1959" spans="1:9" x14ac:dyDescent="0.35">
      <c r="A1959" s="1">
        <v>45357</v>
      </c>
      <c r="B1959" t="s">
        <v>30</v>
      </c>
      <c r="C1959" t="s">
        <v>31</v>
      </c>
      <c r="D1959" t="s">
        <v>18</v>
      </c>
      <c r="E1959" t="s">
        <v>19</v>
      </c>
      <c r="F1959">
        <v>38</v>
      </c>
      <c r="G1959">
        <v>38.6</v>
      </c>
      <c r="H1959" t="s">
        <v>46</v>
      </c>
      <c r="I1959" t="s">
        <v>47</v>
      </c>
    </row>
    <row r="1960" spans="1:9" x14ac:dyDescent="0.35">
      <c r="A1960" s="1">
        <v>45357</v>
      </c>
      <c r="B1960" t="s">
        <v>30</v>
      </c>
      <c r="C1960" t="s">
        <v>31</v>
      </c>
      <c r="D1960" t="s">
        <v>21</v>
      </c>
      <c r="E1960" t="s">
        <v>22</v>
      </c>
      <c r="F1960">
        <v>32</v>
      </c>
      <c r="G1960">
        <v>39.700000000000003</v>
      </c>
      <c r="H1960" t="s">
        <v>48</v>
      </c>
      <c r="I1960" t="s">
        <v>50</v>
      </c>
    </row>
    <row r="1961" spans="1:9" x14ac:dyDescent="0.35">
      <c r="A1961" s="1">
        <v>45357</v>
      </c>
      <c r="B1961" t="s">
        <v>30</v>
      </c>
      <c r="C1961" t="s">
        <v>31</v>
      </c>
      <c r="D1961" t="s">
        <v>24</v>
      </c>
      <c r="E1961" t="s">
        <v>25</v>
      </c>
      <c r="F1961">
        <v>50</v>
      </c>
      <c r="G1961">
        <v>56.2</v>
      </c>
      <c r="H1961" t="s">
        <v>48</v>
      </c>
      <c r="I1961" t="s">
        <v>50</v>
      </c>
    </row>
    <row r="1962" spans="1:9" x14ac:dyDescent="0.35">
      <c r="A1962" s="1">
        <v>45357</v>
      </c>
      <c r="B1962" t="s">
        <v>30</v>
      </c>
      <c r="C1962" t="s">
        <v>31</v>
      </c>
      <c r="D1962" t="s">
        <v>26</v>
      </c>
      <c r="E1962" t="s">
        <v>27</v>
      </c>
      <c r="F1962">
        <v>38</v>
      </c>
      <c r="G1962">
        <v>39.700000000000003</v>
      </c>
      <c r="H1962" t="s">
        <v>46</v>
      </c>
      <c r="I1962" t="s">
        <v>47</v>
      </c>
    </row>
    <row r="1963" spans="1:9" x14ac:dyDescent="0.35">
      <c r="A1963" s="1">
        <v>45357</v>
      </c>
      <c r="B1963" t="s">
        <v>30</v>
      </c>
      <c r="C1963" t="s">
        <v>31</v>
      </c>
      <c r="D1963" t="s">
        <v>28</v>
      </c>
      <c r="E1963" t="s">
        <v>29</v>
      </c>
      <c r="F1963">
        <v>32</v>
      </c>
      <c r="G1963">
        <v>32.4</v>
      </c>
      <c r="H1963" t="s">
        <v>46</v>
      </c>
      <c r="I1963" t="s">
        <v>47</v>
      </c>
    </row>
    <row r="1964" spans="1:9" x14ac:dyDescent="0.35">
      <c r="A1964" s="1">
        <v>45357</v>
      </c>
      <c r="B1964" t="s">
        <v>33</v>
      </c>
      <c r="C1964" t="s">
        <v>34</v>
      </c>
      <c r="D1964" t="s">
        <v>15</v>
      </c>
      <c r="E1964" t="s">
        <v>16</v>
      </c>
      <c r="F1964">
        <v>34</v>
      </c>
      <c r="G1964">
        <v>33.799999999999997</v>
      </c>
      <c r="H1964" t="s">
        <v>46</v>
      </c>
      <c r="I1964" t="s">
        <v>47</v>
      </c>
    </row>
    <row r="1965" spans="1:9" x14ac:dyDescent="0.35">
      <c r="A1965" s="1">
        <v>45357</v>
      </c>
      <c r="B1965" t="s">
        <v>33</v>
      </c>
      <c r="C1965" t="s">
        <v>34</v>
      </c>
      <c r="D1965" t="s">
        <v>18</v>
      </c>
      <c r="E1965" t="s">
        <v>19</v>
      </c>
      <c r="F1965">
        <v>38</v>
      </c>
      <c r="G1965">
        <v>46</v>
      </c>
      <c r="H1965" t="s">
        <v>48</v>
      </c>
      <c r="I1965" t="s">
        <v>50</v>
      </c>
    </row>
    <row r="1966" spans="1:9" x14ac:dyDescent="0.35">
      <c r="A1966" s="1">
        <v>45357</v>
      </c>
      <c r="B1966" t="s">
        <v>33</v>
      </c>
      <c r="C1966" t="s">
        <v>34</v>
      </c>
      <c r="D1966" t="s">
        <v>21</v>
      </c>
      <c r="E1966" t="s">
        <v>22</v>
      </c>
      <c r="F1966">
        <v>32</v>
      </c>
      <c r="G1966">
        <v>31.5</v>
      </c>
      <c r="H1966" t="s">
        <v>46</v>
      </c>
      <c r="I1966" t="s">
        <v>47</v>
      </c>
    </row>
    <row r="1967" spans="1:9" x14ac:dyDescent="0.35">
      <c r="A1967" s="1">
        <v>45357</v>
      </c>
      <c r="B1967" t="s">
        <v>33</v>
      </c>
      <c r="C1967" t="s">
        <v>34</v>
      </c>
      <c r="D1967" t="s">
        <v>24</v>
      </c>
      <c r="E1967" t="s">
        <v>25</v>
      </c>
      <c r="F1967">
        <v>50</v>
      </c>
      <c r="G1967">
        <v>50.9</v>
      </c>
      <c r="H1967" t="s">
        <v>46</v>
      </c>
      <c r="I1967" t="s">
        <v>47</v>
      </c>
    </row>
    <row r="1968" spans="1:9" x14ac:dyDescent="0.35">
      <c r="A1968" s="1">
        <v>45357</v>
      </c>
      <c r="B1968" t="s">
        <v>33</v>
      </c>
      <c r="C1968" t="s">
        <v>34</v>
      </c>
      <c r="D1968" t="s">
        <v>26</v>
      </c>
      <c r="E1968" t="s">
        <v>27</v>
      </c>
      <c r="F1968">
        <v>38</v>
      </c>
      <c r="G1968">
        <v>37.299999999999997</v>
      </c>
      <c r="H1968" t="s">
        <v>46</v>
      </c>
      <c r="I1968" t="s">
        <v>47</v>
      </c>
    </row>
    <row r="1969" spans="1:9" x14ac:dyDescent="0.35">
      <c r="A1969" s="1">
        <v>45357</v>
      </c>
      <c r="B1969" t="s">
        <v>33</v>
      </c>
      <c r="C1969" t="s">
        <v>34</v>
      </c>
      <c r="D1969" t="s">
        <v>28</v>
      </c>
      <c r="E1969" t="s">
        <v>29</v>
      </c>
      <c r="F1969">
        <v>32</v>
      </c>
      <c r="G1969">
        <v>33.9</v>
      </c>
      <c r="H1969" t="s">
        <v>46</v>
      </c>
      <c r="I1969" t="s">
        <v>47</v>
      </c>
    </row>
    <row r="1970" spans="1:9" x14ac:dyDescent="0.35">
      <c r="A1970" s="1">
        <v>45357</v>
      </c>
      <c r="B1970" t="s">
        <v>36</v>
      </c>
      <c r="C1970" t="s">
        <v>37</v>
      </c>
      <c r="D1970" t="s">
        <v>15</v>
      </c>
      <c r="E1970" t="s">
        <v>16</v>
      </c>
      <c r="F1970">
        <v>34</v>
      </c>
      <c r="G1970">
        <v>34.9</v>
      </c>
      <c r="H1970" t="s">
        <v>46</v>
      </c>
      <c r="I1970" t="s">
        <v>47</v>
      </c>
    </row>
    <row r="1971" spans="1:9" x14ac:dyDescent="0.35">
      <c r="A1971" s="1">
        <v>45357</v>
      </c>
      <c r="B1971" t="s">
        <v>36</v>
      </c>
      <c r="C1971" t="s">
        <v>37</v>
      </c>
      <c r="D1971" t="s">
        <v>18</v>
      </c>
      <c r="E1971" t="s">
        <v>19</v>
      </c>
      <c r="F1971">
        <v>38</v>
      </c>
      <c r="G1971">
        <v>37.6</v>
      </c>
      <c r="H1971" t="s">
        <v>46</v>
      </c>
      <c r="I1971" t="s">
        <v>47</v>
      </c>
    </row>
    <row r="1972" spans="1:9" x14ac:dyDescent="0.35">
      <c r="A1972" s="1">
        <v>45357</v>
      </c>
      <c r="B1972" t="s">
        <v>36</v>
      </c>
      <c r="C1972" t="s">
        <v>37</v>
      </c>
      <c r="D1972" t="s">
        <v>21</v>
      </c>
      <c r="E1972" t="s">
        <v>22</v>
      </c>
      <c r="F1972">
        <v>32</v>
      </c>
      <c r="G1972">
        <v>33.4</v>
      </c>
      <c r="H1972" t="s">
        <v>46</v>
      </c>
      <c r="I1972" t="s">
        <v>47</v>
      </c>
    </row>
    <row r="1973" spans="1:9" x14ac:dyDescent="0.35">
      <c r="A1973" s="1">
        <v>45357</v>
      </c>
      <c r="B1973" t="s">
        <v>36</v>
      </c>
      <c r="C1973" t="s">
        <v>37</v>
      </c>
      <c r="D1973" t="s">
        <v>24</v>
      </c>
      <c r="E1973" t="s">
        <v>25</v>
      </c>
      <c r="F1973">
        <v>50</v>
      </c>
      <c r="G1973">
        <v>57</v>
      </c>
      <c r="H1973" t="s">
        <v>48</v>
      </c>
      <c r="I1973" t="s">
        <v>50</v>
      </c>
    </row>
    <row r="1974" spans="1:9" x14ac:dyDescent="0.35">
      <c r="A1974" s="1">
        <v>45357</v>
      </c>
      <c r="B1974" t="s">
        <v>36</v>
      </c>
      <c r="C1974" t="s">
        <v>37</v>
      </c>
      <c r="D1974" t="s">
        <v>26</v>
      </c>
      <c r="E1974" t="s">
        <v>27</v>
      </c>
      <c r="F1974">
        <v>38</v>
      </c>
      <c r="G1974">
        <v>37.700000000000003</v>
      </c>
      <c r="H1974" t="s">
        <v>46</v>
      </c>
      <c r="I1974" t="s">
        <v>47</v>
      </c>
    </row>
    <row r="1975" spans="1:9" x14ac:dyDescent="0.35">
      <c r="A1975" s="1">
        <v>45357</v>
      </c>
      <c r="B1975" t="s">
        <v>36</v>
      </c>
      <c r="C1975" t="s">
        <v>37</v>
      </c>
      <c r="D1975" t="s">
        <v>28</v>
      </c>
      <c r="E1975" t="s">
        <v>29</v>
      </c>
      <c r="F1975">
        <v>32</v>
      </c>
      <c r="G1975">
        <v>31</v>
      </c>
      <c r="H1975" t="s">
        <v>46</v>
      </c>
      <c r="I1975" t="s">
        <v>47</v>
      </c>
    </row>
    <row r="1976" spans="1:9" x14ac:dyDescent="0.35">
      <c r="A1976" s="1">
        <v>45357</v>
      </c>
      <c r="B1976" t="s">
        <v>39</v>
      </c>
      <c r="C1976" t="s">
        <v>40</v>
      </c>
      <c r="D1976" t="s">
        <v>15</v>
      </c>
      <c r="E1976" t="s">
        <v>16</v>
      </c>
      <c r="F1976">
        <v>34</v>
      </c>
      <c r="G1976">
        <v>34.799999999999997</v>
      </c>
      <c r="H1976" t="s">
        <v>46</v>
      </c>
      <c r="I1976" t="s">
        <v>47</v>
      </c>
    </row>
    <row r="1977" spans="1:9" x14ac:dyDescent="0.35">
      <c r="A1977" s="1">
        <v>45357</v>
      </c>
      <c r="B1977" t="s">
        <v>39</v>
      </c>
      <c r="C1977" t="s">
        <v>40</v>
      </c>
      <c r="D1977" t="s">
        <v>18</v>
      </c>
      <c r="E1977" t="s">
        <v>19</v>
      </c>
      <c r="F1977">
        <v>38</v>
      </c>
      <c r="G1977">
        <v>49.7</v>
      </c>
      <c r="H1977" t="s">
        <v>48</v>
      </c>
      <c r="I1977" t="s">
        <v>49</v>
      </c>
    </row>
    <row r="1978" spans="1:9" x14ac:dyDescent="0.35">
      <c r="A1978" s="1">
        <v>45357</v>
      </c>
      <c r="B1978" t="s">
        <v>39</v>
      </c>
      <c r="C1978" t="s">
        <v>40</v>
      </c>
      <c r="D1978" t="s">
        <v>21</v>
      </c>
      <c r="E1978" t="s">
        <v>22</v>
      </c>
      <c r="F1978">
        <v>32</v>
      </c>
      <c r="G1978">
        <v>33.1</v>
      </c>
      <c r="H1978" t="s">
        <v>46</v>
      </c>
      <c r="I1978" t="s">
        <v>47</v>
      </c>
    </row>
    <row r="1979" spans="1:9" x14ac:dyDescent="0.35">
      <c r="A1979" s="1">
        <v>45357</v>
      </c>
      <c r="B1979" t="s">
        <v>39</v>
      </c>
      <c r="C1979" t="s">
        <v>40</v>
      </c>
      <c r="D1979" t="s">
        <v>24</v>
      </c>
      <c r="E1979" t="s">
        <v>25</v>
      </c>
      <c r="F1979">
        <v>50</v>
      </c>
      <c r="G1979">
        <v>49.2</v>
      </c>
      <c r="H1979" t="s">
        <v>46</v>
      </c>
      <c r="I1979" t="s">
        <v>47</v>
      </c>
    </row>
    <row r="1980" spans="1:9" x14ac:dyDescent="0.35">
      <c r="A1980" s="1">
        <v>45357</v>
      </c>
      <c r="B1980" t="s">
        <v>39</v>
      </c>
      <c r="C1980" t="s">
        <v>40</v>
      </c>
      <c r="D1980" t="s">
        <v>26</v>
      </c>
      <c r="E1980" t="s">
        <v>27</v>
      </c>
      <c r="F1980">
        <v>38</v>
      </c>
      <c r="G1980">
        <v>39.1</v>
      </c>
      <c r="H1980" t="s">
        <v>46</v>
      </c>
      <c r="I1980" t="s">
        <v>47</v>
      </c>
    </row>
    <row r="1981" spans="1:9" x14ac:dyDescent="0.35">
      <c r="A1981" s="1">
        <v>45357</v>
      </c>
      <c r="B1981" t="s">
        <v>39</v>
      </c>
      <c r="C1981" t="s">
        <v>40</v>
      </c>
      <c r="D1981" t="s">
        <v>28</v>
      </c>
      <c r="E1981" t="s">
        <v>29</v>
      </c>
      <c r="F1981">
        <v>32</v>
      </c>
      <c r="G1981">
        <v>33.6</v>
      </c>
      <c r="H1981" t="s">
        <v>46</v>
      </c>
      <c r="I1981" t="s">
        <v>47</v>
      </c>
    </row>
    <row r="1982" spans="1:9" x14ac:dyDescent="0.35">
      <c r="A1982" s="1">
        <v>45358</v>
      </c>
      <c r="B1982" t="s">
        <v>12</v>
      </c>
      <c r="C1982" t="s">
        <v>13</v>
      </c>
      <c r="D1982" t="s">
        <v>15</v>
      </c>
      <c r="E1982" t="s">
        <v>16</v>
      </c>
      <c r="F1982">
        <v>34</v>
      </c>
      <c r="G1982">
        <v>45.5</v>
      </c>
      <c r="H1982" t="s">
        <v>48</v>
      </c>
      <c r="I1982" t="s">
        <v>49</v>
      </c>
    </row>
    <row r="1983" spans="1:9" x14ac:dyDescent="0.35">
      <c r="A1983" s="1">
        <v>45358</v>
      </c>
      <c r="B1983" t="s">
        <v>12</v>
      </c>
      <c r="C1983" t="s">
        <v>13</v>
      </c>
      <c r="D1983" t="s">
        <v>18</v>
      </c>
      <c r="E1983" t="s">
        <v>19</v>
      </c>
      <c r="F1983">
        <v>38</v>
      </c>
      <c r="G1983">
        <v>39.4</v>
      </c>
      <c r="H1983" t="s">
        <v>46</v>
      </c>
      <c r="I1983" t="s">
        <v>47</v>
      </c>
    </row>
    <row r="1984" spans="1:9" x14ac:dyDescent="0.35">
      <c r="A1984" s="1">
        <v>45358</v>
      </c>
      <c r="B1984" t="s">
        <v>12</v>
      </c>
      <c r="C1984" t="s">
        <v>13</v>
      </c>
      <c r="D1984" t="s">
        <v>21</v>
      </c>
      <c r="E1984" t="s">
        <v>22</v>
      </c>
      <c r="F1984">
        <v>32</v>
      </c>
      <c r="G1984">
        <v>41</v>
      </c>
      <c r="H1984" t="s">
        <v>48</v>
      </c>
      <c r="I1984" t="s">
        <v>50</v>
      </c>
    </row>
    <row r="1985" spans="1:9" x14ac:dyDescent="0.35">
      <c r="A1985" s="1">
        <v>45358</v>
      </c>
      <c r="B1985" t="s">
        <v>12</v>
      </c>
      <c r="C1985" t="s">
        <v>13</v>
      </c>
      <c r="D1985" t="s">
        <v>24</v>
      </c>
      <c r="E1985" t="s">
        <v>25</v>
      </c>
      <c r="F1985">
        <v>50</v>
      </c>
      <c r="G1985">
        <v>50</v>
      </c>
      <c r="H1985" t="s">
        <v>46</v>
      </c>
      <c r="I1985" t="s">
        <v>47</v>
      </c>
    </row>
    <row r="1986" spans="1:9" x14ac:dyDescent="0.35">
      <c r="A1986" s="1">
        <v>45358</v>
      </c>
      <c r="B1986" t="s">
        <v>12</v>
      </c>
      <c r="C1986" t="s">
        <v>13</v>
      </c>
      <c r="D1986" t="s">
        <v>26</v>
      </c>
      <c r="E1986" t="s">
        <v>27</v>
      </c>
      <c r="F1986">
        <v>38</v>
      </c>
      <c r="G1986">
        <v>37.799999999999997</v>
      </c>
      <c r="H1986" t="s">
        <v>46</v>
      </c>
      <c r="I1986" t="s">
        <v>47</v>
      </c>
    </row>
    <row r="1987" spans="1:9" x14ac:dyDescent="0.35">
      <c r="A1987" s="1">
        <v>45358</v>
      </c>
      <c r="B1987" t="s">
        <v>12</v>
      </c>
      <c r="C1987" t="s">
        <v>13</v>
      </c>
      <c r="D1987" t="s">
        <v>28</v>
      </c>
      <c r="E1987" t="s">
        <v>29</v>
      </c>
      <c r="F1987">
        <v>32</v>
      </c>
      <c r="G1987">
        <v>38.200000000000003</v>
      </c>
      <c r="H1987" t="s">
        <v>48</v>
      </c>
      <c r="I1987" t="s">
        <v>50</v>
      </c>
    </row>
    <row r="1988" spans="1:9" x14ac:dyDescent="0.35">
      <c r="A1988" s="1">
        <v>45358</v>
      </c>
      <c r="B1988" t="s">
        <v>30</v>
      </c>
      <c r="C1988" t="s">
        <v>31</v>
      </c>
      <c r="D1988" t="s">
        <v>15</v>
      </c>
      <c r="E1988" t="s">
        <v>16</v>
      </c>
      <c r="F1988">
        <v>34</v>
      </c>
      <c r="G1988">
        <v>46.6</v>
      </c>
      <c r="H1988" t="s">
        <v>48</v>
      </c>
      <c r="I1988" t="s">
        <v>49</v>
      </c>
    </row>
    <row r="1989" spans="1:9" x14ac:dyDescent="0.35">
      <c r="A1989" s="1">
        <v>45358</v>
      </c>
      <c r="B1989" t="s">
        <v>30</v>
      </c>
      <c r="C1989" t="s">
        <v>31</v>
      </c>
      <c r="D1989" t="s">
        <v>18</v>
      </c>
      <c r="E1989" t="s">
        <v>19</v>
      </c>
      <c r="F1989">
        <v>38</v>
      </c>
      <c r="G1989">
        <v>37.299999999999997</v>
      </c>
      <c r="H1989" t="s">
        <v>46</v>
      </c>
      <c r="I1989" t="s">
        <v>47</v>
      </c>
    </row>
    <row r="1990" spans="1:9" x14ac:dyDescent="0.35">
      <c r="A1990" s="1">
        <v>45358</v>
      </c>
      <c r="B1990" t="s">
        <v>30</v>
      </c>
      <c r="C1990" t="s">
        <v>31</v>
      </c>
      <c r="D1990" t="s">
        <v>21</v>
      </c>
      <c r="E1990" t="s">
        <v>22</v>
      </c>
      <c r="F1990">
        <v>32</v>
      </c>
      <c r="G1990">
        <v>31.4</v>
      </c>
      <c r="H1990" t="s">
        <v>46</v>
      </c>
      <c r="I1990" t="s">
        <v>47</v>
      </c>
    </row>
    <row r="1991" spans="1:9" x14ac:dyDescent="0.35">
      <c r="A1991" s="1">
        <v>45358</v>
      </c>
      <c r="B1991" t="s">
        <v>30</v>
      </c>
      <c r="C1991" t="s">
        <v>31</v>
      </c>
      <c r="D1991" t="s">
        <v>24</v>
      </c>
      <c r="E1991" t="s">
        <v>25</v>
      </c>
      <c r="F1991">
        <v>50</v>
      </c>
      <c r="G1991">
        <v>51.7</v>
      </c>
      <c r="H1991" t="s">
        <v>46</v>
      </c>
      <c r="I1991" t="s">
        <v>47</v>
      </c>
    </row>
    <row r="1992" spans="1:9" x14ac:dyDescent="0.35">
      <c r="A1992" s="1">
        <v>45358</v>
      </c>
      <c r="B1992" t="s">
        <v>30</v>
      </c>
      <c r="C1992" t="s">
        <v>31</v>
      </c>
      <c r="D1992" t="s">
        <v>26</v>
      </c>
      <c r="E1992" t="s">
        <v>27</v>
      </c>
      <c r="F1992">
        <v>38</v>
      </c>
      <c r="G1992">
        <v>37.200000000000003</v>
      </c>
      <c r="H1992" t="s">
        <v>46</v>
      </c>
      <c r="I1992" t="s">
        <v>47</v>
      </c>
    </row>
    <row r="1993" spans="1:9" x14ac:dyDescent="0.35">
      <c r="A1993" s="1">
        <v>45358</v>
      </c>
      <c r="B1993" t="s">
        <v>30</v>
      </c>
      <c r="C1993" t="s">
        <v>31</v>
      </c>
      <c r="D1993" t="s">
        <v>28</v>
      </c>
      <c r="E1993" t="s">
        <v>29</v>
      </c>
      <c r="F1993">
        <v>32</v>
      </c>
      <c r="G1993">
        <v>34.299999999999997</v>
      </c>
      <c r="H1993" t="s">
        <v>46</v>
      </c>
      <c r="I1993" t="s">
        <v>47</v>
      </c>
    </row>
    <row r="1994" spans="1:9" x14ac:dyDescent="0.35">
      <c r="A1994" s="1">
        <v>45358</v>
      </c>
      <c r="B1994" t="s">
        <v>33</v>
      </c>
      <c r="C1994" t="s">
        <v>34</v>
      </c>
      <c r="D1994" t="s">
        <v>15</v>
      </c>
      <c r="E1994" t="s">
        <v>16</v>
      </c>
      <c r="F1994">
        <v>34</v>
      </c>
      <c r="G1994">
        <v>35.5</v>
      </c>
      <c r="H1994" t="s">
        <v>46</v>
      </c>
      <c r="I1994" t="s">
        <v>47</v>
      </c>
    </row>
    <row r="1995" spans="1:9" x14ac:dyDescent="0.35">
      <c r="A1995" s="1">
        <v>45358</v>
      </c>
      <c r="B1995" t="s">
        <v>33</v>
      </c>
      <c r="C1995" t="s">
        <v>34</v>
      </c>
      <c r="D1995" t="s">
        <v>18</v>
      </c>
      <c r="E1995" t="s">
        <v>19</v>
      </c>
      <c r="F1995">
        <v>38</v>
      </c>
      <c r="G1995">
        <v>40.700000000000003</v>
      </c>
      <c r="H1995" t="s">
        <v>46</v>
      </c>
      <c r="I1995" t="s">
        <v>47</v>
      </c>
    </row>
    <row r="1996" spans="1:9" x14ac:dyDescent="0.35">
      <c r="A1996" s="1">
        <v>45358</v>
      </c>
      <c r="B1996" t="s">
        <v>33</v>
      </c>
      <c r="C1996" t="s">
        <v>34</v>
      </c>
      <c r="D1996" t="s">
        <v>21</v>
      </c>
      <c r="E1996" t="s">
        <v>22</v>
      </c>
      <c r="F1996">
        <v>32</v>
      </c>
      <c r="G1996">
        <v>32.700000000000003</v>
      </c>
      <c r="H1996" t="s">
        <v>46</v>
      </c>
      <c r="I1996" t="s">
        <v>47</v>
      </c>
    </row>
    <row r="1997" spans="1:9" x14ac:dyDescent="0.35">
      <c r="A1997" s="1">
        <v>45358</v>
      </c>
      <c r="B1997" t="s">
        <v>33</v>
      </c>
      <c r="C1997" t="s">
        <v>34</v>
      </c>
      <c r="D1997" t="s">
        <v>24</v>
      </c>
      <c r="E1997" t="s">
        <v>25</v>
      </c>
      <c r="F1997">
        <v>50</v>
      </c>
      <c r="G1997">
        <v>49.4</v>
      </c>
      <c r="H1997" t="s">
        <v>46</v>
      </c>
      <c r="I1997" t="s">
        <v>47</v>
      </c>
    </row>
    <row r="1998" spans="1:9" x14ac:dyDescent="0.35">
      <c r="A1998" s="1">
        <v>45358</v>
      </c>
      <c r="B1998" t="s">
        <v>33</v>
      </c>
      <c r="C1998" t="s">
        <v>34</v>
      </c>
      <c r="D1998" t="s">
        <v>26</v>
      </c>
      <c r="E1998" t="s">
        <v>27</v>
      </c>
      <c r="F1998">
        <v>38</v>
      </c>
      <c r="G1998">
        <v>37.1</v>
      </c>
      <c r="H1998" t="s">
        <v>46</v>
      </c>
      <c r="I1998" t="s">
        <v>47</v>
      </c>
    </row>
    <row r="1999" spans="1:9" x14ac:dyDescent="0.35">
      <c r="A1999" s="1">
        <v>45358</v>
      </c>
      <c r="B1999" t="s">
        <v>33</v>
      </c>
      <c r="C1999" t="s">
        <v>34</v>
      </c>
      <c r="D1999" t="s">
        <v>28</v>
      </c>
      <c r="E1999" t="s">
        <v>29</v>
      </c>
      <c r="F1999">
        <v>32</v>
      </c>
      <c r="G1999">
        <v>31</v>
      </c>
      <c r="H1999" t="s">
        <v>46</v>
      </c>
      <c r="I1999" t="s">
        <v>47</v>
      </c>
    </row>
    <row r="2000" spans="1:9" x14ac:dyDescent="0.35">
      <c r="A2000" s="1">
        <v>45358</v>
      </c>
      <c r="B2000" t="s">
        <v>36</v>
      </c>
      <c r="C2000" t="s">
        <v>37</v>
      </c>
      <c r="D2000" t="s">
        <v>15</v>
      </c>
      <c r="E2000" t="s">
        <v>16</v>
      </c>
      <c r="F2000">
        <v>34</v>
      </c>
      <c r="G2000">
        <v>33.9</v>
      </c>
      <c r="H2000" t="s">
        <v>46</v>
      </c>
      <c r="I2000" t="s">
        <v>47</v>
      </c>
    </row>
    <row r="2001" spans="1:9" x14ac:dyDescent="0.35">
      <c r="A2001" s="1">
        <v>45358</v>
      </c>
      <c r="B2001" t="s">
        <v>36</v>
      </c>
      <c r="C2001" t="s">
        <v>37</v>
      </c>
      <c r="D2001" t="s">
        <v>18</v>
      </c>
      <c r="E2001" t="s">
        <v>19</v>
      </c>
      <c r="F2001">
        <v>38</v>
      </c>
      <c r="G2001">
        <v>38.1</v>
      </c>
      <c r="H2001" t="s">
        <v>46</v>
      </c>
      <c r="I2001" t="s">
        <v>47</v>
      </c>
    </row>
    <row r="2002" spans="1:9" x14ac:dyDescent="0.35">
      <c r="A2002" s="1">
        <v>45358</v>
      </c>
      <c r="B2002" t="s">
        <v>36</v>
      </c>
      <c r="C2002" t="s">
        <v>37</v>
      </c>
      <c r="D2002" t="s">
        <v>21</v>
      </c>
      <c r="E2002" t="s">
        <v>22</v>
      </c>
      <c r="F2002">
        <v>32</v>
      </c>
      <c r="G2002">
        <v>31.2</v>
      </c>
      <c r="H2002" t="s">
        <v>46</v>
      </c>
      <c r="I2002" t="s">
        <v>47</v>
      </c>
    </row>
    <row r="2003" spans="1:9" x14ac:dyDescent="0.35">
      <c r="A2003" s="1">
        <v>45358</v>
      </c>
      <c r="B2003" t="s">
        <v>36</v>
      </c>
      <c r="C2003" t="s">
        <v>37</v>
      </c>
      <c r="D2003" t="s">
        <v>24</v>
      </c>
      <c r="E2003" t="s">
        <v>25</v>
      </c>
      <c r="F2003">
        <v>50</v>
      </c>
      <c r="G2003">
        <v>50.6</v>
      </c>
      <c r="H2003" t="s">
        <v>46</v>
      </c>
      <c r="I2003" t="s">
        <v>47</v>
      </c>
    </row>
    <row r="2004" spans="1:9" x14ac:dyDescent="0.35">
      <c r="A2004" s="1">
        <v>45358</v>
      </c>
      <c r="B2004" t="s">
        <v>36</v>
      </c>
      <c r="C2004" t="s">
        <v>37</v>
      </c>
      <c r="D2004" t="s">
        <v>26</v>
      </c>
      <c r="E2004" t="s">
        <v>27</v>
      </c>
      <c r="F2004">
        <v>38</v>
      </c>
      <c r="G2004">
        <v>39</v>
      </c>
      <c r="H2004" t="s">
        <v>46</v>
      </c>
      <c r="I2004" t="s">
        <v>47</v>
      </c>
    </row>
    <row r="2005" spans="1:9" x14ac:dyDescent="0.35">
      <c r="A2005" s="1">
        <v>45358</v>
      </c>
      <c r="B2005" t="s">
        <v>36</v>
      </c>
      <c r="C2005" t="s">
        <v>37</v>
      </c>
      <c r="D2005" t="s">
        <v>28</v>
      </c>
      <c r="E2005" t="s">
        <v>29</v>
      </c>
      <c r="F2005">
        <v>32</v>
      </c>
      <c r="G2005">
        <v>33.9</v>
      </c>
      <c r="H2005" t="s">
        <v>46</v>
      </c>
      <c r="I2005" t="s">
        <v>47</v>
      </c>
    </row>
    <row r="2006" spans="1:9" x14ac:dyDescent="0.35">
      <c r="A2006" s="1">
        <v>45358</v>
      </c>
      <c r="B2006" t="s">
        <v>39</v>
      </c>
      <c r="C2006" t="s">
        <v>40</v>
      </c>
      <c r="D2006" t="s">
        <v>15</v>
      </c>
      <c r="E2006" t="s">
        <v>16</v>
      </c>
      <c r="F2006">
        <v>34</v>
      </c>
      <c r="G2006">
        <v>36.700000000000003</v>
      </c>
      <c r="H2006" t="s">
        <v>46</v>
      </c>
      <c r="I2006" t="s">
        <v>47</v>
      </c>
    </row>
    <row r="2007" spans="1:9" x14ac:dyDescent="0.35">
      <c r="A2007" s="1">
        <v>45358</v>
      </c>
      <c r="B2007" t="s">
        <v>39</v>
      </c>
      <c r="C2007" t="s">
        <v>40</v>
      </c>
      <c r="D2007" t="s">
        <v>18</v>
      </c>
      <c r="E2007" t="s">
        <v>19</v>
      </c>
      <c r="F2007">
        <v>38</v>
      </c>
      <c r="G2007">
        <v>38</v>
      </c>
      <c r="H2007" t="s">
        <v>46</v>
      </c>
      <c r="I2007" t="s">
        <v>47</v>
      </c>
    </row>
    <row r="2008" spans="1:9" x14ac:dyDescent="0.35">
      <c r="A2008" s="1">
        <v>45358</v>
      </c>
      <c r="B2008" t="s">
        <v>39</v>
      </c>
      <c r="C2008" t="s">
        <v>40</v>
      </c>
      <c r="D2008" t="s">
        <v>21</v>
      </c>
      <c r="E2008" t="s">
        <v>22</v>
      </c>
      <c r="F2008">
        <v>32</v>
      </c>
      <c r="G2008">
        <v>40.6</v>
      </c>
      <c r="H2008" t="s">
        <v>48</v>
      </c>
      <c r="I2008" t="s">
        <v>50</v>
      </c>
    </row>
    <row r="2009" spans="1:9" x14ac:dyDescent="0.35">
      <c r="A2009" s="1">
        <v>45358</v>
      </c>
      <c r="B2009" t="s">
        <v>39</v>
      </c>
      <c r="C2009" t="s">
        <v>40</v>
      </c>
      <c r="D2009" t="s">
        <v>24</v>
      </c>
      <c r="E2009" t="s">
        <v>25</v>
      </c>
      <c r="F2009">
        <v>50</v>
      </c>
      <c r="G2009">
        <v>50.6</v>
      </c>
      <c r="H2009" t="s">
        <v>46</v>
      </c>
      <c r="I2009" t="s">
        <v>47</v>
      </c>
    </row>
    <row r="2010" spans="1:9" x14ac:dyDescent="0.35">
      <c r="A2010" s="1">
        <v>45358</v>
      </c>
      <c r="B2010" t="s">
        <v>39</v>
      </c>
      <c r="C2010" t="s">
        <v>40</v>
      </c>
      <c r="D2010" t="s">
        <v>26</v>
      </c>
      <c r="E2010" t="s">
        <v>27</v>
      </c>
      <c r="F2010">
        <v>38</v>
      </c>
      <c r="G2010">
        <v>40.1</v>
      </c>
      <c r="H2010" t="s">
        <v>46</v>
      </c>
      <c r="I2010" t="s">
        <v>47</v>
      </c>
    </row>
    <row r="2011" spans="1:9" x14ac:dyDescent="0.35">
      <c r="A2011" s="1">
        <v>45358</v>
      </c>
      <c r="B2011" t="s">
        <v>39</v>
      </c>
      <c r="C2011" t="s">
        <v>40</v>
      </c>
      <c r="D2011" t="s">
        <v>28</v>
      </c>
      <c r="E2011" t="s">
        <v>29</v>
      </c>
      <c r="F2011">
        <v>32</v>
      </c>
      <c r="G2011">
        <v>39.4</v>
      </c>
      <c r="H2011" t="s">
        <v>48</v>
      </c>
      <c r="I2011" t="s">
        <v>50</v>
      </c>
    </row>
    <row r="2012" spans="1:9" x14ac:dyDescent="0.35">
      <c r="A2012" s="1">
        <v>45359</v>
      </c>
      <c r="B2012" t="s">
        <v>12</v>
      </c>
      <c r="C2012" t="s">
        <v>13</v>
      </c>
      <c r="D2012" t="s">
        <v>15</v>
      </c>
      <c r="E2012" t="s">
        <v>16</v>
      </c>
      <c r="F2012">
        <v>34</v>
      </c>
      <c r="G2012">
        <v>35.799999999999997</v>
      </c>
      <c r="H2012" t="s">
        <v>46</v>
      </c>
      <c r="I2012" t="s">
        <v>47</v>
      </c>
    </row>
    <row r="2013" spans="1:9" x14ac:dyDescent="0.35">
      <c r="A2013" s="1">
        <v>45359</v>
      </c>
      <c r="B2013" t="s">
        <v>12</v>
      </c>
      <c r="C2013" t="s">
        <v>13</v>
      </c>
      <c r="D2013" t="s">
        <v>18</v>
      </c>
      <c r="E2013" t="s">
        <v>19</v>
      </c>
      <c r="F2013">
        <v>38</v>
      </c>
      <c r="G2013">
        <v>39.700000000000003</v>
      </c>
      <c r="H2013" t="s">
        <v>46</v>
      </c>
      <c r="I2013" t="s">
        <v>47</v>
      </c>
    </row>
    <row r="2014" spans="1:9" x14ac:dyDescent="0.35">
      <c r="A2014" s="1">
        <v>45359</v>
      </c>
      <c r="B2014" t="s">
        <v>12</v>
      </c>
      <c r="C2014" t="s">
        <v>13</v>
      </c>
      <c r="D2014" t="s">
        <v>21</v>
      </c>
      <c r="E2014" t="s">
        <v>22</v>
      </c>
      <c r="F2014">
        <v>32</v>
      </c>
      <c r="G2014">
        <v>38.1</v>
      </c>
      <c r="H2014" t="s">
        <v>48</v>
      </c>
      <c r="I2014" t="s">
        <v>50</v>
      </c>
    </row>
    <row r="2015" spans="1:9" x14ac:dyDescent="0.35">
      <c r="A2015" s="1">
        <v>45359</v>
      </c>
      <c r="B2015" t="s">
        <v>12</v>
      </c>
      <c r="C2015" t="s">
        <v>13</v>
      </c>
      <c r="D2015" t="s">
        <v>24</v>
      </c>
      <c r="E2015" t="s">
        <v>25</v>
      </c>
      <c r="F2015">
        <v>50</v>
      </c>
      <c r="G2015">
        <v>50.8</v>
      </c>
      <c r="H2015" t="s">
        <v>46</v>
      </c>
      <c r="I2015" t="s">
        <v>47</v>
      </c>
    </row>
    <row r="2016" spans="1:9" x14ac:dyDescent="0.35">
      <c r="A2016" s="1">
        <v>45359</v>
      </c>
      <c r="B2016" t="s">
        <v>12</v>
      </c>
      <c r="C2016" t="s">
        <v>13</v>
      </c>
      <c r="D2016" t="s">
        <v>26</v>
      </c>
      <c r="E2016" t="s">
        <v>27</v>
      </c>
      <c r="F2016">
        <v>38</v>
      </c>
      <c r="G2016">
        <v>40</v>
      </c>
      <c r="H2016" t="s">
        <v>46</v>
      </c>
      <c r="I2016" t="s">
        <v>47</v>
      </c>
    </row>
    <row r="2017" spans="1:9" x14ac:dyDescent="0.35">
      <c r="A2017" s="1">
        <v>45359</v>
      </c>
      <c r="B2017" t="s">
        <v>12</v>
      </c>
      <c r="C2017" t="s">
        <v>13</v>
      </c>
      <c r="D2017" t="s">
        <v>28</v>
      </c>
      <c r="E2017" t="s">
        <v>29</v>
      </c>
      <c r="F2017">
        <v>32</v>
      </c>
      <c r="G2017">
        <v>33.799999999999997</v>
      </c>
      <c r="H2017" t="s">
        <v>46</v>
      </c>
      <c r="I2017" t="s">
        <v>47</v>
      </c>
    </row>
    <row r="2018" spans="1:9" x14ac:dyDescent="0.35">
      <c r="A2018" s="1">
        <v>45359</v>
      </c>
      <c r="B2018" t="s">
        <v>30</v>
      </c>
      <c r="C2018" t="s">
        <v>31</v>
      </c>
      <c r="D2018" t="s">
        <v>15</v>
      </c>
      <c r="E2018" t="s">
        <v>16</v>
      </c>
      <c r="F2018">
        <v>34</v>
      </c>
      <c r="G2018">
        <v>40.200000000000003</v>
      </c>
      <c r="H2018" t="s">
        <v>48</v>
      </c>
      <c r="I2018" t="s">
        <v>50</v>
      </c>
    </row>
    <row r="2019" spans="1:9" x14ac:dyDescent="0.35">
      <c r="A2019" s="1">
        <v>45359</v>
      </c>
      <c r="B2019" t="s">
        <v>30</v>
      </c>
      <c r="C2019" t="s">
        <v>31</v>
      </c>
      <c r="D2019" t="s">
        <v>18</v>
      </c>
      <c r="E2019" t="s">
        <v>19</v>
      </c>
      <c r="F2019">
        <v>38</v>
      </c>
      <c r="G2019">
        <v>37.5</v>
      </c>
      <c r="H2019" t="s">
        <v>46</v>
      </c>
      <c r="I2019" t="s">
        <v>47</v>
      </c>
    </row>
    <row r="2020" spans="1:9" x14ac:dyDescent="0.35">
      <c r="A2020" s="1">
        <v>45359</v>
      </c>
      <c r="B2020" t="s">
        <v>30</v>
      </c>
      <c r="C2020" t="s">
        <v>31</v>
      </c>
      <c r="D2020" t="s">
        <v>21</v>
      </c>
      <c r="E2020" t="s">
        <v>22</v>
      </c>
      <c r="F2020">
        <v>32</v>
      </c>
      <c r="G2020">
        <v>32.700000000000003</v>
      </c>
      <c r="H2020" t="s">
        <v>46</v>
      </c>
      <c r="I2020" t="s">
        <v>47</v>
      </c>
    </row>
    <row r="2021" spans="1:9" x14ac:dyDescent="0.35">
      <c r="A2021" s="1">
        <v>45359</v>
      </c>
      <c r="B2021" t="s">
        <v>30</v>
      </c>
      <c r="C2021" t="s">
        <v>31</v>
      </c>
      <c r="D2021" t="s">
        <v>24</v>
      </c>
      <c r="E2021" t="s">
        <v>25</v>
      </c>
      <c r="F2021">
        <v>50</v>
      </c>
      <c r="G2021">
        <v>49.3</v>
      </c>
      <c r="H2021" t="s">
        <v>46</v>
      </c>
      <c r="I2021" t="s">
        <v>47</v>
      </c>
    </row>
    <row r="2022" spans="1:9" x14ac:dyDescent="0.35">
      <c r="A2022" s="1">
        <v>45359</v>
      </c>
      <c r="B2022" t="s">
        <v>30</v>
      </c>
      <c r="C2022" t="s">
        <v>31</v>
      </c>
      <c r="D2022" t="s">
        <v>26</v>
      </c>
      <c r="E2022" t="s">
        <v>27</v>
      </c>
      <c r="F2022">
        <v>38</v>
      </c>
      <c r="G2022">
        <v>48</v>
      </c>
      <c r="H2022" t="s">
        <v>48</v>
      </c>
      <c r="I2022" t="s">
        <v>50</v>
      </c>
    </row>
    <row r="2023" spans="1:9" x14ac:dyDescent="0.35">
      <c r="A2023" s="1">
        <v>45359</v>
      </c>
      <c r="B2023" t="s">
        <v>30</v>
      </c>
      <c r="C2023" t="s">
        <v>31</v>
      </c>
      <c r="D2023" t="s">
        <v>28</v>
      </c>
      <c r="E2023" t="s">
        <v>29</v>
      </c>
      <c r="F2023">
        <v>32</v>
      </c>
      <c r="G2023">
        <v>32.5</v>
      </c>
      <c r="H2023" t="s">
        <v>46</v>
      </c>
      <c r="I2023" t="s">
        <v>47</v>
      </c>
    </row>
    <row r="2024" spans="1:9" x14ac:dyDescent="0.35">
      <c r="A2024" s="1">
        <v>45359</v>
      </c>
      <c r="B2024" t="s">
        <v>33</v>
      </c>
      <c r="C2024" t="s">
        <v>34</v>
      </c>
      <c r="D2024" t="s">
        <v>15</v>
      </c>
      <c r="E2024" t="s">
        <v>16</v>
      </c>
      <c r="F2024">
        <v>34</v>
      </c>
      <c r="G2024">
        <v>34</v>
      </c>
      <c r="H2024" t="s">
        <v>46</v>
      </c>
      <c r="I2024" t="s">
        <v>47</v>
      </c>
    </row>
    <row r="2025" spans="1:9" x14ac:dyDescent="0.35">
      <c r="A2025" s="1">
        <v>45359</v>
      </c>
      <c r="B2025" t="s">
        <v>33</v>
      </c>
      <c r="C2025" t="s">
        <v>34</v>
      </c>
      <c r="D2025" t="s">
        <v>18</v>
      </c>
      <c r="E2025" t="s">
        <v>19</v>
      </c>
      <c r="F2025">
        <v>38</v>
      </c>
      <c r="G2025">
        <v>41</v>
      </c>
      <c r="H2025" t="s">
        <v>46</v>
      </c>
      <c r="I2025" t="s">
        <v>47</v>
      </c>
    </row>
    <row r="2026" spans="1:9" x14ac:dyDescent="0.35">
      <c r="A2026" s="1">
        <v>45359</v>
      </c>
      <c r="B2026" t="s">
        <v>33</v>
      </c>
      <c r="C2026" t="s">
        <v>34</v>
      </c>
      <c r="D2026" t="s">
        <v>21</v>
      </c>
      <c r="E2026" t="s">
        <v>22</v>
      </c>
      <c r="F2026">
        <v>32</v>
      </c>
      <c r="G2026">
        <v>34.5</v>
      </c>
      <c r="H2026" t="s">
        <v>46</v>
      </c>
      <c r="I2026" t="s">
        <v>47</v>
      </c>
    </row>
    <row r="2027" spans="1:9" x14ac:dyDescent="0.35">
      <c r="A2027" s="1">
        <v>45359</v>
      </c>
      <c r="B2027" t="s">
        <v>33</v>
      </c>
      <c r="C2027" t="s">
        <v>34</v>
      </c>
      <c r="D2027" t="s">
        <v>24</v>
      </c>
      <c r="E2027" t="s">
        <v>25</v>
      </c>
      <c r="F2027">
        <v>50</v>
      </c>
      <c r="G2027">
        <v>58.5</v>
      </c>
      <c r="H2027" t="s">
        <v>48</v>
      </c>
      <c r="I2027" t="s">
        <v>50</v>
      </c>
    </row>
    <row r="2028" spans="1:9" x14ac:dyDescent="0.35">
      <c r="A2028" s="1">
        <v>45359</v>
      </c>
      <c r="B2028" t="s">
        <v>33</v>
      </c>
      <c r="C2028" t="s">
        <v>34</v>
      </c>
      <c r="D2028" t="s">
        <v>26</v>
      </c>
      <c r="E2028" t="s">
        <v>27</v>
      </c>
      <c r="F2028">
        <v>38</v>
      </c>
      <c r="G2028">
        <v>37.200000000000003</v>
      </c>
      <c r="H2028" t="s">
        <v>46</v>
      </c>
      <c r="I2028" t="s">
        <v>47</v>
      </c>
    </row>
    <row r="2029" spans="1:9" x14ac:dyDescent="0.35">
      <c r="A2029" s="1">
        <v>45359</v>
      </c>
      <c r="B2029" t="s">
        <v>33</v>
      </c>
      <c r="C2029" t="s">
        <v>34</v>
      </c>
      <c r="D2029" t="s">
        <v>28</v>
      </c>
      <c r="E2029" t="s">
        <v>29</v>
      </c>
      <c r="F2029">
        <v>32</v>
      </c>
      <c r="G2029">
        <v>32.700000000000003</v>
      </c>
      <c r="H2029" t="s">
        <v>46</v>
      </c>
      <c r="I2029" t="s">
        <v>47</v>
      </c>
    </row>
    <row r="2030" spans="1:9" x14ac:dyDescent="0.35">
      <c r="A2030" s="1">
        <v>45359</v>
      </c>
      <c r="B2030" t="s">
        <v>36</v>
      </c>
      <c r="C2030" t="s">
        <v>37</v>
      </c>
      <c r="D2030" t="s">
        <v>15</v>
      </c>
      <c r="E2030" t="s">
        <v>16</v>
      </c>
      <c r="F2030">
        <v>34</v>
      </c>
      <c r="G2030">
        <v>36</v>
      </c>
      <c r="H2030" t="s">
        <v>46</v>
      </c>
      <c r="I2030" t="s">
        <v>47</v>
      </c>
    </row>
    <row r="2031" spans="1:9" x14ac:dyDescent="0.35">
      <c r="A2031" s="1">
        <v>45359</v>
      </c>
      <c r="B2031" t="s">
        <v>36</v>
      </c>
      <c r="C2031" t="s">
        <v>37</v>
      </c>
      <c r="D2031" t="s">
        <v>18</v>
      </c>
      <c r="E2031" t="s">
        <v>19</v>
      </c>
      <c r="F2031">
        <v>38</v>
      </c>
      <c r="G2031">
        <v>39.9</v>
      </c>
      <c r="H2031" t="s">
        <v>46</v>
      </c>
      <c r="I2031" t="s">
        <v>47</v>
      </c>
    </row>
    <row r="2032" spans="1:9" x14ac:dyDescent="0.35">
      <c r="A2032" s="1">
        <v>45359</v>
      </c>
      <c r="B2032" t="s">
        <v>36</v>
      </c>
      <c r="C2032" t="s">
        <v>37</v>
      </c>
      <c r="D2032" t="s">
        <v>21</v>
      </c>
      <c r="E2032" t="s">
        <v>22</v>
      </c>
      <c r="F2032">
        <v>32</v>
      </c>
      <c r="G2032">
        <v>31.8</v>
      </c>
      <c r="H2032" t="s">
        <v>46</v>
      </c>
      <c r="I2032" t="s">
        <v>47</v>
      </c>
    </row>
    <row r="2033" spans="1:9" x14ac:dyDescent="0.35">
      <c r="A2033" s="1">
        <v>45359</v>
      </c>
      <c r="B2033" t="s">
        <v>36</v>
      </c>
      <c r="C2033" t="s">
        <v>37</v>
      </c>
      <c r="D2033" t="s">
        <v>24</v>
      </c>
      <c r="E2033" t="s">
        <v>25</v>
      </c>
      <c r="F2033">
        <v>50</v>
      </c>
      <c r="G2033">
        <v>63.3</v>
      </c>
      <c r="H2033" t="s">
        <v>48</v>
      </c>
      <c r="I2033" t="s">
        <v>49</v>
      </c>
    </row>
    <row r="2034" spans="1:9" x14ac:dyDescent="0.35">
      <c r="A2034" s="1">
        <v>45359</v>
      </c>
      <c r="B2034" t="s">
        <v>36</v>
      </c>
      <c r="C2034" t="s">
        <v>37</v>
      </c>
      <c r="D2034" t="s">
        <v>26</v>
      </c>
      <c r="E2034" t="s">
        <v>27</v>
      </c>
      <c r="F2034">
        <v>38</v>
      </c>
      <c r="G2034">
        <v>40.200000000000003</v>
      </c>
      <c r="H2034" t="s">
        <v>46</v>
      </c>
      <c r="I2034" t="s">
        <v>47</v>
      </c>
    </row>
    <row r="2035" spans="1:9" x14ac:dyDescent="0.35">
      <c r="A2035" s="1">
        <v>45359</v>
      </c>
      <c r="B2035" t="s">
        <v>36</v>
      </c>
      <c r="C2035" t="s">
        <v>37</v>
      </c>
      <c r="D2035" t="s">
        <v>28</v>
      </c>
      <c r="E2035" t="s">
        <v>29</v>
      </c>
      <c r="F2035">
        <v>32</v>
      </c>
      <c r="G2035">
        <v>31.9</v>
      </c>
      <c r="H2035" t="s">
        <v>46</v>
      </c>
      <c r="I2035" t="s">
        <v>47</v>
      </c>
    </row>
    <row r="2036" spans="1:9" x14ac:dyDescent="0.35">
      <c r="A2036" s="1">
        <v>45359</v>
      </c>
      <c r="B2036" t="s">
        <v>39</v>
      </c>
      <c r="C2036" t="s">
        <v>40</v>
      </c>
      <c r="D2036" t="s">
        <v>15</v>
      </c>
      <c r="E2036" t="s">
        <v>16</v>
      </c>
      <c r="F2036">
        <v>34</v>
      </c>
      <c r="G2036">
        <v>35.1</v>
      </c>
      <c r="H2036" t="s">
        <v>46</v>
      </c>
      <c r="I2036" t="s">
        <v>47</v>
      </c>
    </row>
    <row r="2037" spans="1:9" x14ac:dyDescent="0.35">
      <c r="A2037" s="1">
        <v>45359</v>
      </c>
      <c r="B2037" t="s">
        <v>39</v>
      </c>
      <c r="C2037" t="s">
        <v>40</v>
      </c>
      <c r="D2037" t="s">
        <v>18</v>
      </c>
      <c r="E2037" t="s">
        <v>19</v>
      </c>
      <c r="F2037">
        <v>38</v>
      </c>
      <c r="G2037">
        <v>39.5</v>
      </c>
      <c r="H2037" t="s">
        <v>46</v>
      </c>
      <c r="I2037" t="s">
        <v>47</v>
      </c>
    </row>
    <row r="2038" spans="1:9" x14ac:dyDescent="0.35">
      <c r="A2038" s="1">
        <v>45359</v>
      </c>
      <c r="B2038" t="s">
        <v>39</v>
      </c>
      <c r="C2038" t="s">
        <v>40</v>
      </c>
      <c r="D2038" t="s">
        <v>21</v>
      </c>
      <c r="E2038" t="s">
        <v>22</v>
      </c>
      <c r="F2038">
        <v>32</v>
      </c>
      <c r="G2038">
        <v>41.9</v>
      </c>
      <c r="H2038" t="s">
        <v>48</v>
      </c>
      <c r="I2038" t="s">
        <v>50</v>
      </c>
    </row>
    <row r="2039" spans="1:9" x14ac:dyDescent="0.35">
      <c r="A2039" s="1">
        <v>45359</v>
      </c>
      <c r="B2039" t="s">
        <v>39</v>
      </c>
      <c r="C2039" t="s">
        <v>40</v>
      </c>
      <c r="D2039" t="s">
        <v>24</v>
      </c>
      <c r="E2039" t="s">
        <v>25</v>
      </c>
      <c r="F2039">
        <v>50</v>
      </c>
      <c r="G2039">
        <v>49.2</v>
      </c>
      <c r="H2039" t="s">
        <v>46</v>
      </c>
      <c r="I2039" t="s">
        <v>47</v>
      </c>
    </row>
    <row r="2040" spans="1:9" x14ac:dyDescent="0.35">
      <c r="A2040" s="1">
        <v>45359</v>
      </c>
      <c r="B2040" t="s">
        <v>39</v>
      </c>
      <c r="C2040" t="s">
        <v>40</v>
      </c>
      <c r="D2040" t="s">
        <v>26</v>
      </c>
      <c r="E2040" t="s">
        <v>27</v>
      </c>
      <c r="F2040">
        <v>38</v>
      </c>
      <c r="G2040">
        <v>40.799999999999997</v>
      </c>
      <c r="H2040" t="s">
        <v>46</v>
      </c>
      <c r="I2040" t="s">
        <v>47</v>
      </c>
    </row>
    <row r="2041" spans="1:9" x14ac:dyDescent="0.35">
      <c r="A2041" s="1">
        <v>45359</v>
      </c>
      <c r="B2041" t="s">
        <v>39</v>
      </c>
      <c r="C2041" t="s">
        <v>40</v>
      </c>
      <c r="D2041" t="s">
        <v>28</v>
      </c>
      <c r="E2041" t="s">
        <v>29</v>
      </c>
      <c r="F2041">
        <v>32</v>
      </c>
      <c r="G2041">
        <v>39.4</v>
      </c>
      <c r="H2041" t="s">
        <v>48</v>
      </c>
      <c r="I2041" t="s">
        <v>50</v>
      </c>
    </row>
    <row r="2042" spans="1:9" x14ac:dyDescent="0.35">
      <c r="A2042" s="1">
        <v>45360</v>
      </c>
      <c r="B2042" t="s">
        <v>12</v>
      </c>
      <c r="C2042" t="s">
        <v>13</v>
      </c>
      <c r="D2042" t="s">
        <v>15</v>
      </c>
      <c r="E2042" t="s">
        <v>16</v>
      </c>
      <c r="F2042">
        <v>34</v>
      </c>
      <c r="G2042">
        <v>36.200000000000003</v>
      </c>
      <c r="H2042" t="s">
        <v>46</v>
      </c>
      <c r="I2042" t="s">
        <v>47</v>
      </c>
    </row>
    <row r="2043" spans="1:9" x14ac:dyDescent="0.35">
      <c r="A2043" s="1">
        <v>45360</v>
      </c>
      <c r="B2043" t="s">
        <v>12</v>
      </c>
      <c r="C2043" t="s">
        <v>13</v>
      </c>
      <c r="D2043" t="s">
        <v>18</v>
      </c>
      <c r="E2043" t="s">
        <v>19</v>
      </c>
      <c r="F2043">
        <v>38</v>
      </c>
      <c r="G2043">
        <v>39</v>
      </c>
      <c r="H2043" t="s">
        <v>46</v>
      </c>
      <c r="I2043" t="s">
        <v>47</v>
      </c>
    </row>
    <row r="2044" spans="1:9" x14ac:dyDescent="0.35">
      <c r="A2044" s="1">
        <v>45360</v>
      </c>
      <c r="B2044" t="s">
        <v>12</v>
      </c>
      <c r="C2044" t="s">
        <v>13</v>
      </c>
      <c r="D2044" t="s">
        <v>21</v>
      </c>
      <c r="E2044" t="s">
        <v>22</v>
      </c>
      <c r="F2044">
        <v>32</v>
      </c>
      <c r="G2044">
        <v>32.9</v>
      </c>
      <c r="H2044" t="s">
        <v>46</v>
      </c>
      <c r="I2044" t="s">
        <v>47</v>
      </c>
    </row>
    <row r="2045" spans="1:9" x14ac:dyDescent="0.35">
      <c r="A2045" s="1">
        <v>45360</v>
      </c>
      <c r="B2045" t="s">
        <v>12</v>
      </c>
      <c r="C2045" t="s">
        <v>13</v>
      </c>
      <c r="D2045" t="s">
        <v>24</v>
      </c>
      <c r="E2045" t="s">
        <v>25</v>
      </c>
      <c r="F2045">
        <v>50</v>
      </c>
      <c r="G2045">
        <v>57.6</v>
      </c>
      <c r="H2045" t="s">
        <v>48</v>
      </c>
      <c r="I2045" t="s">
        <v>50</v>
      </c>
    </row>
    <row r="2046" spans="1:9" x14ac:dyDescent="0.35">
      <c r="A2046" s="1">
        <v>45360</v>
      </c>
      <c r="B2046" t="s">
        <v>12</v>
      </c>
      <c r="C2046" t="s">
        <v>13</v>
      </c>
      <c r="D2046" t="s">
        <v>26</v>
      </c>
      <c r="E2046" t="s">
        <v>27</v>
      </c>
      <c r="F2046">
        <v>38</v>
      </c>
      <c r="G2046">
        <v>39.4</v>
      </c>
      <c r="H2046" t="s">
        <v>46</v>
      </c>
      <c r="I2046" t="s">
        <v>47</v>
      </c>
    </row>
    <row r="2047" spans="1:9" x14ac:dyDescent="0.35">
      <c r="A2047" s="1">
        <v>45360</v>
      </c>
      <c r="B2047" t="s">
        <v>12</v>
      </c>
      <c r="C2047" t="s">
        <v>13</v>
      </c>
      <c r="D2047" t="s">
        <v>28</v>
      </c>
      <c r="E2047" t="s">
        <v>29</v>
      </c>
      <c r="F2047">
        <v>32</v>
      </c>
      <c r="G2047">
        <v>33.299999999999997</v>
      </c>
      <c r="H2047" t="s">
        <v>46</v>
      </c>
      <c r="I2047" t="s">
        <v>47</v>
      </c>
    </row>
    <row r="2048" spans="1:9" x14ac:dyDescent="0.35">
      <c r="A2048" s="1">
        <v>45360</v>
      </c>
      <c r="B2048" t="s">
        <v>30</v>
      </c>
      <c r="C2048" t="s">
        <v>31</v>
      </c>
      <c r="D2048" t="s">
        <v>15</v>
      </c>
      <c r="E2048" t="s">
        <v>16</v>
      </c>
      <c r="F2048">
        <v>34</v>
      </c>
      <c r="G2048">
        <v>33.799999999999997</v>
      </c>
      <c r="H2048" t="s">
        <v>46</v>
      </c>
      <c r="I2048" t="s">
        <v>47</v>
      </c>
    </row>
    <row r="2049" spans="1:9" x14ac:dyDescent="0.35">
      <c r="A2049" s="1">
        <v>45360</v>
      </c>
      <c r="B2049" t="s">
        <v>30</v>
      </c>
      <c r="C2049" t="s">
        <v>31</v>
      </c>
      <c r="D2049" t="s">
        <v>18</v>
      </c>
      <c r="E2049" t="s">
        <v>19</v>
      </c>
      <c r="F2049">
        <v>38</v>
      </c>
      <c r="G2049">
        <v>38.9</v>
      </c>
      <c r="H2049" t="s">
        <v>46</v>
      </c>
      <c r="I2049" t="s">
        <v>47</v>
      </c>
    </row>
    <row r="2050" spans="1:9" x14ac:dyDescent="0.35">
      <c r="A2050" s="1">
        <v>45360</v>
      </c>
      <c r="B2050" t="s">
        <v>30</v>
      </c>
      <c r="C2050" t="s">
        <v>31</v>
      </c>
      <c r="D2050" t="s">
        <v>21</v>
      </c>
      <c r="E2050" t="s">
        <v>22</v>
      </c>
      <c r="F2050">
        <v>32</v>
      </c>
      <c r="G2050">
        <v>32.4</v>
      </c>
      <c r="H2050" t="s">
        <v>46</v>
      </c>
      <c r="I2050" t="s">
        <v>47</v>
      </c>
    </row>
    <row r="2051" spans="1:9" x14ac:dyDescent="0.35">
      <c r="A2051" s="1">
        <v>45360</v>
      </c>
      <c r="B2051" t="s">
        <v>30</v>
      </c>
      <c r="C2051" t="s">
        <v>31</v>
      </c>
      <c r="D2051" t="s">
        <v>24</v>
      </c>
      <c r="E2051" t="s">
        <v>25</v>
      </c>
      <c r="F2051">
        <v>50</v>
      </c>
      <c r="G2051">
        <v>50.9</v>
      </c>
      <c r="H2051" t="s">
        <v>46</v>
      </c>
      <c r="I2051" t="s">
        <v>47</v>
      </c>
    </row>
    <row r="2052" spans="1:9" x14ac:dyDescent="0.35">
      <c r="A2052" s="1">
        <v>45360</v>
      </c>
      <c r="B2052" t="s">
        <v>30</v>
      </c>
      <c r="C2052" t="s">
        <v>31</v>
      </c>
      <c r="D2052" t="s">
        <v>26</v>
      </c>
      <c r="E2052" t="s">
        <v>27</v>
      </c>
      <c r="F2052">
        <v>38</v>
      </c>
      <c r="G2052">
        <v>39.4</v>
      </c>
      <c r="H2052" t="s">
        <v>46</v>
      </c>
      <c r="I2052" t="s">
        <v>47</v>
      </c>
    </row>
    <row r="2053" spans="1:9" x14ac:dyDescent="0.35">
      <c r="A2053" s="1">
        <v>45360</v>
      </c>
      <c r="B2053" t="s">
        <v>30</v>
      </c>
      <c r="C2053" t="s">
        <v>31</v>
      </c>
      <c r="D2053" t="s">
        <v>28</v>
      </c>
      <c r="E2053" t="s">
        <v>29</v>
      </c>
      <c r="F2053">
        <v>32</v>
      </c>
      <c r="G2053">
        <v>31.6</v>
      </c>
      <c r="H2053" t="s">
        <v>46</v>
      </c>
      <c r="I2053" t="s">
        <v>47</v>
      </c>
    </row>
    <row r="2054" spans="1:9" x14ac:dyDescent="0.35">
      <c r="A2054" s="1">
        <v>45360</v>
      </c>
      <c r="B2054" t="s">
        <v>33</v>
      </c>
      <c r="C2054" t="s">
        <v>34</v>
      </c>
      <c r="D2054" t="s">
        <v>15</v>
      </c>
      <c r="E2054" t="s">
        <v>16</v>
      </c>
      <c r="F2054">
        <v>34</v>
      </c>
      <c r="G2054">
        <v>34.9</v>
      </c>
      <c r="H2054" t="s">
        <v>46</v>
      </c>
      <c r="I2054" t="s">
        <v>47</v>
      </c>
    </row>
    <row r="2055" spans="1:9" x14ac:dyDescent="0.35">
      <c r="A2055" s="1">
        <v>45360</v>
      </c>
      <c r="B2055" t="s">
        <v>33</v>
      </c>
      <c r="C2055" t="s">
        <v>34</v>
      </c>
      <c r="D2055" t="s">
        <v>18</v>
      </c>
      <c r="E2055" t="s">
        <v>19</v>
      </c>
      <c r="F2055">
        <v>38</v>
      </c>
      <c r="G2055">
        <v>38.700000000000003</v>
      </c>
      <c r="H2055" t="s">
        <v>46</v>
      </c>
      <c r="I2055" t="s">
        <v>47</v>
      </c>
    </row>
    <row r="2056" spans="1:9" x14ac:dyDescent="0.35">
      <c r="A2056" s="1">
        <v>45360</v>
      </c>
      <c r="B2056" t="s">
        <v>33</v>
      </c>
      <c r="C2056" t="s">
        <v>34</v>
      </c>
      <c r="D2056" t="s">
        <v>21</v>
      </c>
      <c r="E2056" t="s">
        <v>22</v>
      </c>
      <c r="F2056">
        <v>32</v>
      </c>
      <c r="G2056">
        <v>45.3</v>
      </c>
      <c r="H2056" t="s">
        <v>48</v>
      </c>
      <c r="I2056" t="s">
        <v>49</v>
      </c>
    </row>
    <row r="2057" spans="1:9" x14ac:dyDescent="0.35">
      <c r="A2057" s="1">
        <v>45360</v>
      </c>
      <c r="B2057" t="s">
        <v>33</v>
      </c>
      <c r="C2057" t="s">
        <v>34</v>
      </c>
      <c r="D2057" t="s">
        <v>24</v>
      </c>
      <c r="E2057" t="s">
        <v>25</v>
      </c>
      <c r="F2057">
        <v>50</v>
      </c>
      <c r="G2057">
        <v>51.1</v>
      </c>
      <c r="H2057" t="s">
        <v>46</v>
      </c>
      <c r="I2057" t="s">
        <v>47</v>
      </c>
    </row>
    <row r="2058" spans="1:9" x14ac:dyDescent="0.35">
      <c r="A2058" s="1">
        <v>45360</v>
      </c>
      <c r="B2058" t="s">
        <v>33</v>
      </c>
      <c r="C2058" t="s">
        <v>34</v>
      </c>
      <c r="D2058" t="s">
        <v>26</v>
      </c>
      <c r="E2058" t="s">
        <v>27</v>
      </c>
      <c r="F2058">
        <v>38</v>
      </c>
      <c r="G2058">
        <v>37.700000000000003</v>
      </c>
      <c r="H2058" t="s">
        <v>46</v>
      </c>
      <c r="I2058" t="s">
        <v>47</v>
      </c>
    </row>
    <row r="2059" spans="1:9" x14ac:dyDescent="0.35">
      <c r="A2059" s="1">
        <v>45360</v>
      </c>
      <c r="B2059" t="s">
        <v>33</v>
      </c>
      <c r="C2059" t="s">
        <v>34</v>
      </c>
      <c r="D2059" t="s">
        <v>28</v>
      </c>
      <c r="E2059" t="s">
        <v>29</v>
      </c>
      <c r="F2059">
        <v>32</v>
      </c>
      <c r="G2059">
        <v>32.200000000000003</v>
      </c>
      <c r="H2059" t="s">
        <v>46</v>
      </c>
      <c r="I2059" t="s">
        <v>47</v>
      </c>
    </row>
    <row r="2060" spans="1:9" x14ac:dyDescent="0.35">
      <c r="A2060" s="1">
        <v>45360</v>
      </c>
      <c r="B2060" t="s">
        <v>36</v>
      </c>
      <c r="C2060" t="s">
        <v>37</v>
      </c>
      <c r="D2060" t="s">
        <v>15</v>
      </c>
      <c r="E2060" t="s">
        <v>16</v>
      </c>
      <c r="F2060">
        <v>34</v>
      </c>
      <c r="G2060">
        <v>35.200000000000003</v>
      </c>
      <c r="H2060" t="s">
        <v>46</v>
      </c>
      <c r="I2060" t="s">
        <v>47</v>
      </c>
    </row>
    <row r="2061" spans="1:9" x14ac:dyDescent="0.35">
      <c r="A2061" s="1">
        <v>45360</v>
      </c>
      <c r="B2061" t="s">
        <v>36</v>
      </c>
      <c r="C2061" t="s">
        <v>37</v>
      </c>
      <c r="D2061" t="s">
        <v>18</v>
      </c>
      <c r="E2061" t="s">
        <v>19</v>
      </c>
      <c r="F2061">
        <v>38</v>
      </c>
      <c r="G2061">
        <v>38.299999999999997</v>
      </c>
      <c r="H2061" t="s">
        <v>46</v>
      </c>
      <c r="I2061" t="s">
        <v>47</v>
      </c>
    </row>
    <row r="2062" spans="1:9" x14ac:dyDescent="0.35">
      <c r="A2062" s="1">
        <v>45360</v>
      </c>
      <c r="B2062" t="s">
        <v>36</v>
      </c>
      <c r="C2062" t="s">
        <v>37</v>
      </c>
      <c r="D2062" t="s">
        <v>21</v>
      </c>
      <c r="E2062" t="s">
        <v>22</v>
      </c>
      <c r="F2062">
        <v>32</v>
      </c>
      <c r="G2062">
        <v>31.8</v>
      </c>
      <c r="H2062" t="s">
        <v>46</v>
      </c>
      <c r="I2062" t="s">
        <v>47</v>
      </c>
    </row>
    <row r="2063" spans="1:9" x14ac:dyDescent="0.35">
      <c r="A2063" s="1">
        <v>45360</v>
      </c>
      <c r="B2063" t="s">
        <v>36</v>
      </c>
      <c r="C2063" t="s">
        <v>37</v>
      </c>
      <c r="D2063" t="s">
        <v>24</v>
      </c>
      <c r="E2063" t="s">
        <v>25</v>
      </c>
      <c r="F2063">
        <v>50</v>
      </c>
      <c r="G2063">
        <v>49</v>
      </c>
      <c r="H2063" t="s">
        <v>46</v>
      </c>
      <c r="I2063" t="s">
        <v>47</v>
      </c>
    </row>
    <row r="2064" spans="1:9" x14ac:dyDescent="0.35">
      <c r="A2064" s="1">
        <v>45360</v>
      </c>
      <c r="B2064" t="s">
        <v>36</v>
      </c>
      <c r="C2064" t="s">
        <v>37</v>
      </c>
      <c r="D2064" t="s">
        <v>26</v>
      </c>
      <c r="E2064" t="s">
        <v>27</v>
      </c>
      <c r="F2064">
        <v>38</v>
      </c>
      <c r="G2064">
        <v>39.9</v>
      </c>
      <c r="H2064" t="s">
        <v>46</v>
      </c>
      <c r="I2064" t="s">
        <v>47</v>
      </c>
    </row>
    <row r="2065" spans="1:9" x14ac:dyDescent="0.35">
      <c r="A2065" s="1">
        <v>45360</v>
      </c>
      <c r="B2065" t="s">
        <v>36</v>
      </c>
      <c r="C2065" t="s">
        <v>37</v>
      </c>
      <c r="D2065" t="s">
        <v>28</v>
      </c>
      <c r="E2065" t="s">
        <v>29</v>
      </c>
      <c r="F2065">
        <v>32</v>
      </c>
      <c r="G2065">
        <v>32.6</v>
      </c>
      <c r="H2065" t="s">
        <v>46</v>
      </c>
      <c r="I2065" t="s">
        <v>47</v>
      </c>
    </row>
    <row r="2066" spans="1:9" x14ac:dyDescent="0.35">
      <c r="A2066" s="1">
        <v>45360</v>
      </c>
      <c r="B2066" t="s">
        <v>39</v>
      </c>
      <c r="C2066" t="s">
        <v>40</v>
      </c>
      <c r="D2066" t="s">
        <v>15</v>
      </c>
      <c r="E2066" t="s">
        <v>16</v>
      </c>
      <c r="F2066">
        <v>34</v>
      </c>
      <c r="G2066">
        <v>34.6</v>
      </c>
      <c r="H2066" t="s">
        <v>46</v>
      </c>
      <c r="I2066" t="s">
        <v>47</v>
      </c>
    </row>
    <row r="2067" spans="1:9" x14ac:dyDescent="0.35">
      <c r="A2067" s="1">
        <v>45360</v>
      </c>
      <c r="B2067" t="s">
        <v>39</v>
      </c>
      <c r="C2067" t="s">
        <v>40</v>
      </c>
      <c r="D2067" t="s">
        <v>18</v>
      </c>
      <c r="E2067" t="s">
        <v>19</v>
      </c>
      <c r="F2067">
        <v>38</v>
      </c>
      <c r="G2067">
        <v>38.5</v>
      </c>
      <c r="H2067" t="s">
        <v>46</v>
      </c>
      <c r="I2067" t="s">
        <v>47</v>
      </c>
    </row>
    <row r="2068" spans="1:9" x14ac:dyDescent="0.35">
      <c r="A2068" s="1">
        <v>45360</v>
      </c>
      <c r="B2068" t="s">
        <v>39</v>
      </c>
      <c r="C2068" t="s">
        <v>40</v>
      </c>
      <c r="D2068" t="s">
        <v>21</v>
      </c>
      <c r="E2068" t="s">
        <v>22</v>
      </c>
      <c r="F2068">
        <v>32</v>
      </c>
      <c r="G2068">
        <v>35</v>
      </c>
      <c r="H2068" t="s">
        <v>46</v>
      </c>
      <c r="I2068" t="s">
        <v>47</v>
      </c>
    </row>
    <row r="2069" spans="1:9" x14ac:dyDescent="0.35">
      <c r="A2069" s="1">
        <v>45360</v>
      </c>
      <c r="B2069" t="s">
        <v>39</v>
      </c>
      <c r="C2069" t="s">
        <v>40</v>
      </c>
      <c r="D2069" t="s">
        <v>24</v>
      </c>
      <c r="E2069" t="s">
        <v>25</v>
      </c>
      <c r="F2069">
        <v>50</v>
      </c>
      <c r="G2069">
        <v>63.1</v>
      </c>
      <c r="H2069" t="s">
        <v>48</v>
      </c>
      <c r="I2069" t="s">
        <v>49</v>
      </c>
    </row>
    <row r="2070" spans="1:9" x14ac:dyDescent="0.35">
      <c r="A2070" s="1">
        <v>45360</v>
      </c>
      <c r="B2070" t="s">
        <v>39</v>
      </c>
      <c r="C2070" t="s">
        <v>40</v>
      </c>
      <c r="D2070" t="s">
        <v>26</v>
      </c>
      <c r="E2070" t="s">
        <v>27</v>
      </c>
      <c r="F2070">
        <v>38</v>
      </c>
      <c r="G2070">
        <v>37.5</v>
      </c>
      <c r="H2070" t="s">
        <v>46</v>
      </c>
      <c r="I2070" t="s">
        <v>47</v>
      </c>
    </row>
    <row r="2071" spans="1:9" x14ac:dyDescent="0.35">
      <c r="A2071" s="1">
        <v>45360</v>
      </c>
      <c r="B2071" t="s">
        <v>39</v>
      </c>
      <c r="C2071" t="s">
        <v>40</v>
      </c>
      <c r="D2071" t="s">
        <v>28</v>
      </c>
      <c r="E2071" t="s">
        <v>29</v>
      </c>
      <c r="F2071">
        <v>32</v>
      </c>
      <c r="G2071">
        <v>31.6</v>
      </c>
      <c r="H2071" t="s">
        <v>46</v>
      </c>
      <c r="I2071" t="s">
        <v>47</v>
      </c>
    </row>
    <row r="2072" spans="1:9" x14ac:dyDescent="0.35">
      <c r="A2072" s="1">
        <v>45361</v>
      </c>
      <c r="B2072" t="s">
        <v>12</v>
      </c>
      <c r="C2072" t="s">
        <v>13</v>
      </c>
      <c r="D2072" t="s">
        <v>15</v>
      </c>
      <c r="E2072" t="s">
        <v>16</v>
      </c>
      <c r="F2072">
        <v>34</v>
      </c>
      <c r="G2072">
        <v>36.799999999999997</v>
      </c>
      <c r="H2072" t="s">
        <v>46</v>
      </c>
      <c r="I2072" t="s">
        <v>47</v>
      </c>
    </row>
    <row r="2073" spans="1:9" x14ac:dyDescent="0.35">
      <c r="A2073" s="1">
        <v>45361</v>
      </c>
      <c r="B2073" t="s">
        <v>12</v>
      </c>
      <c r="C2073" t="s">
        <v>13</v>
      </c>
      <c r="D2073" t="s">
        <v>18</v>
      </c>
      <c r="E2073" t="s">
        <v>19</v>
      </c>
      <c r="F2073">
        <v>38</v>
      </c>
      <c r="G2073">
        <v>40</v>
      </c>
      <c r="H2073" t="s">
        <v>46</v>
      </c>
      <c r="I2073" t="s">
        <v>47</v>
      </c>
    </row>
    <row r="2074" spans="1:9" x14ac:dyDescent="0.35">
      <c r="A2074" s="1">
        <v>45361</v>
      </c>
      <c r="B2074" t="s">
        <v>12</v>
      </c>
      <c r="C2074" t="s">
        <v>13</v>
      </c>
      <c r="D2074" t="s">
        <v>21</v>
      </c>
      <c r="E2074" t="s">
        <v>22</v>
      </c>
      <c r="F2074">
        <v>32</v>
      </c>
      <c r="G2074">
        <v>33.799999999999997</v>
      </c>
      <c r="H2074" t="s">
        <v>46</v>
      </c>
      <c r="I2074" t="s">
        <v>47</v>
      </c>
    </row>
    <row r="2075" spans="1:9" x14ac:dyDescent="0.35">
      <c r="A2075" s="1">
        <v>45361</v>
      </c>
      <c r="B2075" t="s">
        <v>12</v>
      </c>
      <c r="C2075" t="s">
        <v>13</v>
      </c>
      <c r="D2075" t="s">
        <v>24</v>
      </c>
      <c r="E2075" t="s">
        <v>25</v>
      </c>
      <c r="F2075">
        <v>50</v>
      </c>
      <c r="G2075">
        <v>50.5</v>
      </c>
      <c r="H2075" t="s">
        <v>46</v>
      </c>
      <c r="I2075" t="s">
        <v>47</v>
      </c>
    </row>
    <row r="2076" spans="1:9" x14ac:dyDescent="0.35">
      <c r="A2076" s="1">
        <v>45361</v>
      </c>
      <c r="B2076" t="s">
        <v>12</v>
      </c>
      <c r="C2076" t="s">
        <v>13</v>
      </c>
      <c r="D2076" t="s">
        <v>26</v>
      </c>
      <c r="E2076" t="s">
        <v>27</v>
      </c>
      <c r="F2076">
        <v>38</v>
      </c>
      <c r="G2076">
        <v>47.1</v>
      </c>
      <c r="H2076" t="s">
        <v>48</v>
      </c>
      <c r="I2076" t="s">
        <v>50</v>
      </c>
    </row>
    <row r="2077" spans="1:9" x14ac:dyDescent="0.35">
      <c r="A2077" s="1">
        <v>45361</v>
      </c>
      <c r="B2077" t="s">
        <v>12</v>
      </c>
      <c r="C2077" t="s">
        <v>13</v>
      </c>
      <c r="D2077" t="s">
        <v>28</v>
      </c>
      <c r="E2077" t="s">
        <v>29</v>
      </c>
      <c r="F2077">
        <v>32</v>
      </c>
      <c r="G2077">
        <v>32</v>
      </c>
      <c r="H2077" t="s">
        <v>46</v>
      </c>
      <c r="I2077" t="s">
        <v>47</v>
      </c>
    </row>
    <row r="2078" spans="1:9" x14ac:dyDescent="0.35">
      <c r="A2078" s="1">
        <v>45361</v>
      </c>
      <c r="B2078" t="s">
        <v>30</v>
      </c>
      <c r="C2078" t="s">
        <v>31</v>
      </c>
      <c r="D2078" t="s">
        <v>15</v>
      </c>
      <c r="E2078" t="s">
        <v>16</v>
      </c>
      <c r="F2078">
        <v>34</v>
      </c>
      <c r="G2078">
        <v>36.700000000000003</v>
      </c>
      <c r="H2078" t="s">
        <v>46</v>
      </c>
      <c r="I2078" t="s">
        <v>47</v>
      </c>
    </row>
    <row r="2079" spans="1:9" x14ac:dyDescent="0.35">
      <c r="A2079" s="1">
        <v>45361</v>
      </c>
      <c r="B2079" t="s">
        <v>30</v>
      </c>
      <c r="C2079" t="s">
        <v>31</v>
      </c>
      <c r="D2079" t="s">
        <v>18</v>
      </c>
      <c r="E2079" t="s">
        <v>19</v>
      </c>
      <c r="F2079">
        <v>38</v>
      </c>
      <c r="G2079">
        <v>39.799999999999997</v>
      </c>
      <c r="H2079" t="s">
        <v>46</v>
      </c>
      <c r="I2079" t="s">
        <v>47</v>
      </c>
    </row>
    <row r="2080" spans="1:9" x14ac:dyDescent="0.35">
      <c r="A2080" s="1">
        <v>45361</v>
      </c>
      <c r="B2080" t="s">
        <v>30</v>
      </c>
      <c r="C2080" t="s">
        <v>31</v>
      </c>
      <c r="D2080" t="s">
        <v>21</v>
      </c>
      <c r="E2080" t="s">
        <v>22</v>
      </c>
      <c r="F2080">
        <v>32</v>
      </c>
      <c r="G2080">
        <v>43.3</v>
      </c>
      <c r="H2080" t="s">
        <v>48</v>
      </c>
      <c r="I2080" t="s">
        <v>49</v>
      </c>
    </row>
    <row r="2081" spans="1:9" x14ac:dyDescent="0.35">
      <c r="A2081" s="1">
        <v>45361</v>
      </c>
      <c r="B2081" t="s">
        <v>30</v>
      </c>
      <c r="C2081" t="s">
        <v>31</v>
      </c>
      <c r="D2081" t="s">
        <v>24</v>
      </c>
      <c r="E2081" t="s">
        <v>25</v>
      </c>
      <c r="F2081">
        <v>50</v>
      </c>
      <c r="G2081">
        <v>60.8</v>
      </c>
      <c r="H2081" t="s">
        <v>48</v>
      </c>
      <c r="I2081" t="s">
        <v>49</v>
      </c>
    </row>
    <row r="2082" spans="1:9" x14ac:dyDescent="0.35">
      <c r="A2082" s="1">
        <v>45361</v>
      </c>
      <c r="B2082" t="s">
        <v>30</v>
      </c>
      <c r="C2082" t="s">
        <v>31</v>
      </c>
      <c r="D2082" t="s">
        <v>26</v>
      </c>
      <c r="E2082" t="s">
        <v>27</v>
      </c>
      <c r="F2082">
        <v>38</v>
      </c>
      <c r="G2082">
        <v>37.6</v>
      </c>
      <c r="H2082" t="s">
        <v>46</v>
      </c>
      <c r="I2082" t="s">
        <v>47</v>
      </c>
    </row>
    <row r="2083" spans="1:9" x14ac:dyDescent="0.35">
      <c r="A2083" s="1">
        <v>45361</v>
      </c>
      <c r="B2083" t="s">
        <v>30</v>
      </c>
      <c r="C2083" t="s">
        <v>31</v>
      </c>
      <c r="D2083" t="s">
        <v>28</v>
      </c>
      <c r="E2083" t="s">
        <v>29</v>
      </c>
      <c r="F2083">
        <v>32</v>
      </c>
      <c r="G2083">
        <v>33.299999999999997</v>
      </c>
      <c r="H2083" t="s">
        <v>46</v>
      </c>
      <c r="I2083" t="s">
        <v>47</v>
      </c>
    </row>
    <row r="2084" spans="1:9" x14ac:dyDescent="0.35">
      <c r="A2084" s="1">
        <v>45361</v>
      </c>
      <c r="B2084" t="s">
        <v>33</v>
      </c>
      <c r="C2084" t="s">
        <v>34</v>
      </c>
      <c r="D2084" t="s">
        <v>15</v>
      </c>
      <c r="E2084" t="s">
        <v>16</v>
      </c>
      <c r="F2084">
        <v>34</v>
      </c>
      <c r="G2084">
        <v>33.6</v>
      </c>
      <c r="H2084" t="s">
        <v>46</v>
      </c>
      <c r="I2084" t="s">
        <v>47</v>
      </c>
    </row>
    <row r="2085" spans="1:9" x14ac:dyDescent="0.35">
      <c r="A2085" s="1">
        <v>45361</v>
      </c>
      <c r="B2085" t="s">
        <v>33</v>
      </c>
      <c r="C2085" t="s">
        <v>34</v>
      </c>
      <c r="D2085" t="s">
        <v>18</v>
      </c>
      <c r="E2085" t="s">
        <v>19</v>
      </c>
      <c r="F2085">
        <v>38</v>
      </c>
      <c r="G2085">
        <v>44.7</v>
      </c>
      <c r="H2085" t="s">
        <v>48</v>
      </c>
      <c r="I2085" t="s">
        <v>50</v>
      </c>
    </row>
    <row r="2086" spans="1:9" x14ac:dyDescent="0.35">
      <c r="A2086" s="1">
        <v>45361</v>
      </c>
      <c r="B2086" t="s">
        <v>33</v>
      </c>
      <c r="C2086" t="s">
        <v>34</v>
      </c>
      <c r="D2086" t="s">
        <v>21</v>
      </c>
      <c r="E2086" t="s">
        <v>22</v>
      </c>
      <c r="F2086">
        <v>32</v>
      </c>
      <c r="G2086">
        <v>32.5</v>
      </c>
      <c r="H2086" t="s">
        <v>46</v>
      </c>
      <c r="I2086" t="s">
        <v>47</v>
      </c>
    </row>
    <row r="2087" spans="1:9" x14ac:dyDescent="0.35">
      <c r="A2087" s="1">
        <v>45361</v>
      </c>
      <c r="B2087" t="s">
        <v>33</v>
      </c>
      <c r="C2087" t="s">
        <v>34</v>
      </c>
      <c r="D2087" t="s">
        <v>24</v>
      </c>
      <c r="E2087" t="s">
        <v>25</v>
      </c>
      <c r="F2087">
        <v>50</v>
      </c>
      <c r="G2087">
        <v>52.9</v>
      </c>
      <c r="H2087" t="s">
        <v>46</v>
      </c>
      <c r="I2087" t="s">
        <v>47</v>
      </c>
    </row>
    <row r="2088" spans="1:9" x14ac:dyDescent="0.35">
      <c r="A2088" s="1">
        <v>45361</v>
      </c>
      <c r="B2088" t="s">
        <v>33</v>
      </c>
      <c r="C2088" t="s">
        <v>34</v>
      </c>
      <c r="D2088" t="s">
        <v>26</v>
      </c>
      <c r="E2088" t="s">
        <v>27</v>
      </c>
      <c r="F2088">
        <v>38</v>
      </c>
      <c r="G2088">
        <v>51.3</v>
      </c>
      <c r="H2088" t="s">
        <v>48</v>
      </c>
      <c r="I2088" t="s">
        <v>49</v>
      </c>
    </row>
    <row r="2089" spans="1:9" x14ac:dyDescent="0.35">
      <c r="A2089" s="1">
        <v>45361</v>
      </c>
      <c r="B2089" t="s">
        <v>33</v>
      </c>
      <c r="C2089" t="s">
        <v>34</v>
      </c>
      <c r="D2089" t="s">
        <v>28</v>
      </c>
      <c r="E2089" t="s">
        <v>29</v>
      </c>
      <c r="F2089">
        <v>32</v>
      </c>
      <c r="G2089">
        <v>31.7</v>
      </c>
      <c r="H2089" t="s">
        <v>46</v>
      </c>
      <c r="I2089" t="s">
        <v>47</v>
      </c>
    </row>
    <row r="2090" spans="1:9" x14ac:dyDescent="0.35">
      <c r="A2090" s="1">
        <v>45361</v>
      </c>
      <c r="B2090" t="s">
        <v>36</v>
      </c>
      <c r="C2090" t="s">
        <v>37</v>
      </c>
      <c r="D2090" t="s">
        <v>15</v>
      </c>
      <c r="E2090" t="s">
        <v>16</v>
      </c>
      <c r="F2090">
        <v>34</v>
      </c>
      <c r="G2090">
        <v>35.799999999999997</v>
      </c>
      <c r="H2090" t="s">
        <v>46</v>
      </c>
      <c r="I2090" t="s">
        <v>47</v>
      </c>
    </row>
    <row r="2091" spans="1:9" x14ac:dyDescent="0.35">
      <c r="A2091" s="1">
        <v>45361</v>
      </c>
      <c r="B2091" t="s">
        <v>36</v>
      </c>
      <c r="C2091" t="s">
        <v>37</v>
      </c>
      <c r="D2091" t="s">
        <v>18</v>
      </c>
      <c r="E2091" t="s">
        <v>19</v>
      </c>
      <c r="F2091">
        <v>38</v>
      </c>
      <c r="G2091">
        <v>39.1</v>
      </c>
      <c r="H2091" t="s">
        <v>46</v>
      </c>
      <c r="I2091" t="s">
        <v>47</v>
      </c>
    </row>
    <row r="2092" spans="1:9" x14ac:dyDescent="0.35">
      <c r="A2092" s="1">
        <v>45361</v>
      </c>
      <c r="B2092" t="s">
        <v>36</v>
      </c>
      <c r="C2092" t="s">
        <v>37</v>
      </c>
      <c r="D2092" t="s">
        <v>21</v>
      </c>
      <c r="E2092" t="s">
        <v>22</v>
      </c>
      <c r="F2092">
        <v>32</v>
      </c>
      <c r="G2092">
        <v>33.299999999999997</v>
      </c>
      <c r="H2092" t="s">
        <v>46</v>
      </c>
      <c r="I2092" t="s">
        <v>47</v>
      </c>
    </row>
    <row r="2093" spans="1:9" x14ac:dyDescent="0.35">
      <c r="A2093" s="1">
        <v>45361</v>
      </c>
      <c r="B2093" t="s">
        <v>36</v>
      </c>
      <c r="C2093" t="s">
        <v>37</v>
      </c>
      <c r="D2093" t="s">
        <v>24</v>
      </c>
      <c r="E2093" t="s">
        <v>25</v>
      </c>
      <c r="F2093">
        <v>50</v>
      </c>
      <c r="G2093">
        <v>52</v>
      </c>
      <c r="H2093" t="s">
        <v>46</v>
      </c>
      <c r="I2093" t="s">
        <v>47</v>
      </c>
    </row>
    <row r="2094" spans="1:9" x14ac:dyDescent="0.35">
      <c r="A2094" s="1">
        <v>45361</v>
      </c>
      <c r="B2094" t="s">
        <v>36</v>
      </c>
      <c r="C2094" t="s">
        <v>37</v>
      </c>
      <c r="D2094" t="s">
        <v>26</v>
      </c>
      <c r="E2094" t="s">
        <v>27</v>
      </c>
      <c r="F2094">
        <v>38</v>
      </c>
      <c r="G2094">
        <v>40.5</v>
      </c>
      <c r="H2094" t="s">
        <v>46</v>
      </c>
      <c r="I2094" t="s">
        <v>47</v>
      </c>
    </row>
    <row r="2095" spans="1:9" x14ac:dyDescent="0.35">
      <c r="A2095" s="1">
        <v>45361</v>
      </c>
      <c r="B2095" t="s">
        <v>36</v>
      </c>
      <c r="C2095" t="s">
        <v>37</v>
      </c>
      <c r="D2095" t="s">
        <v>28</v>
      </c>
      <c r="E2095" t="s">
        <v>29</v>
      </c>
      <c r="F2095">
        <v>32</v>
      </c>
      <c r="G2095">
        <v>42.6</v>
      </c>
      <c r="H2095" t="s">
        <v>48</v>
      </c>
      <c r="I2095" t="s">
        <v>49</v>
      </c>
    </row>
    <row r="2096" spans="1:9" x14ac:dyDescent="0.35">
      <c r="A2096" s="1">
        <v>45361</v>
      </c>
      <c r="B2096" t="s">
        <v>39</v>
      </c>
      <c r="C2096" t="s">
        <v>40</v>
      </c>
      <c r="D2096" t="s">
        <v>15</v>
      </c>
      <c r="E2096" t="s">
        <v>16</v>
      </c>
      <c r="F2096">
        <v>34</v>
      </c>
      <c r="G2096">
        <v>36.299999999999997</v>
      </c>
      <c r="H2096" t="s">
        <v>46</v>
      </c>
      <c r="I2096" t="s">
        <v>47</v>
      </c>
    </row>
    <row r="2097" spans="1:9" x14ac:dyDescent="0.35">
      <c r="A2097" s="1">
        <v>45361</v>
      </c>
      <c r="B2097" t="s">
        <v>39</v>
      </c>
      <c r="C2097" t="s">
        <v>40</v>
      </c>
      <c r="D2097" t="s">
        <v>18</v>
      </c>
      <c r="E2097" t="s">
        <v>19</v>
      </c>
      <c r="F2097">
        <v>38</v>
      </c>
      <c r="G2097">
        <v>37.799999999999997</v>
      </c>
      <c r="H2097" t="s">
        <v>46</v>
      </c>
      <c r="I2097" t="s">
        <v>47</v>
      </c>
    </row>
    <row r="2098" spans="1:9" x14ac:dyDescent="0.35">
      <c r="A2098" s="1">
        <v>45361</v>
      </c>
      <c r="B2098" t="s">
        <v>39</v>
      </c>
      <c r="C2098" t="s">
        <v>40</v>
      </c>
      <c r="D2098" t="s">
        <v>21</v>
      </c>
      <c r="E2098" t="s">
        <v>22</v>
      </c>
      <c r="F2098">
        <v>32</v>
      </c>
      <c r="G2098">
        <v>33.799999999999997</v>
      </c>
      <c r="H2098" t="s">
        <v>46</v>
      </c>
      <c r="I2098" t="s">
        <v>47</v>
      </c>
    </row>
    <row r="2099" spans="1:9" x14ac:dyDescent="0.35">
      <c r="A2099" s="1">
        <v>45361</v>
      </c>
      <c r="B2099" t="s">
        <v>39</v>
      </c>
      <c r="C2099" t="s">
        <v>40</v>
      </c>
      <c r="D2099" t="s">
        <v>24</v>
      </c>
      <c r="E2099" t="s">
        <v>25</v>
      </c>
      <c r="F2099">
        <v>50</v>
      </c>
      <c r="G2099">
        <v>57.3</v>
      </c>
      <c r="H2099" t="s">
        <v>48</v>
      </c>
      <c r="I2099" t="s">
        <v>50</v>
      </c>
    </row>
    <row r="2100" spans="1:9" x14ac:dyDescent="0.35">
      <c r="A2100" s="1">
        <v>45361</v>
      </c>
      <c r="B2100" t="s">
        <v>39</v>
      </c>
      <c r="C2100" t="s">
        <v>40</v>
      </c>
      <c r="D2100" t="s">
        <v>26</v>
      </c>
      <c r="E2100" t="s">
        <v>27</v>
      </c>
      <c r="F2100">
        <v>38</v>
      </c>
      <c r="G2100">
        <v>37.4</v>
      </c>
      <c r="H2100" t="s">
        <v>46</v>
      </c>
      <c r="I2100" t="s">
        <v>47</v>
      </c>
    </row>
    <row r="2101" spans="1:9" x14ac:dyDescent="0.35">
      <c r="A2101" s="1">
        <v>45361</v>
      </c>
      <c r="B2101" t="s">
        <v>39</v>
      </c>
      <c r="C2101" t="s">
        <v>40</v>
      </c>
      <c r="D2101" t="s">
        <v>28</v>
      </c>
      <c r="E2101" t="s">
        <v>29</v>
      </c>
      <c r="F2101">
        <v>32</v>
      </c>
      <c r="G2101">
        <v>32.700000000000003</v>
      </c>
      <c r="H2101" t="s">
        <v>46</v>
      </c>
      <c r="I2101" t="s">
        <v>47</v>
      </c>
    </row>
    <row r="2102" spans="1:9" x14ac:dyDescent="0.35">
      <c r="A2102" s="1">
        <v>45362</v>
      </c>
      <c r="B2102" t="s">
        <v>12</v>
      </c>
      <c r="C2102" t="s">
        <v>13</v>
      </c>
      <c r="D2102" t="s">
        <v>15</v>
      </c>
      <c r="E2102" t="s">
        <v>16</v>
      </c>
      <c r="F2102">
        <v>34</v>
      </c>
      <c r="G2102">
        <v>34.200000000000003</v>
      </c>
      <c r="H2102" t="s">
        <v>46</v>
      </c>
      <c r="I2102" t="s">
        <v>47</v>
      </c>
    </row>
    <row r="2103" spans="1:9" x14ac:dyDescent="0.35">
      <c r="A2103" s="1">
        <v>45362</v>
      </c>
      <c r="B2103" t="s">
        <v>12</v>
      </c>
      <c r="C2103" t="s">
        <v>13</v>
      </c>
      <c r="D2103" t="s">
        <v>18</v>
      </c>
      <c r="E2103" t="s">
        <v>19</v>
      </c>
      <c r="F2103">
        <v>38</v>
      </c>
      <c r="G2103">
        <v>37.700000000000003</v>
      </c>
      <c r="H2103" t="s">
        <v>46</v>
      </c>
      <c r="I2103" t="s">
        <v>47</v>
      </c>
    </row>
    <row r="2104" spans="1:9" x14ac:dyDescent="0.35">
      <c r="A2104" s="1">
        <v>45362</v>
      </c>
      <c r="B2104" t="s">
        <v>12</v>
      </c>
      <c r="C2104" t="s">
        <v>13</v>
      </c>
      <c r="D2104" t="s">
        <v>21</v>
      </c>
      <c r="E2104" t="s">
        <v>22</v>
      </c>
      <c r="F2104">
        <v>32</v>
      </c>
      <c r="G2104">
        <v>31.5</v>
      </c>
      <c r="H2104" t="s">
        <v>46</v>
      </c>
      <c r="I2104" t="s">
        <v>47</v>
      </c>
    </row>
    <row r="2105" spans="1:9" x14ac:dyDescent="0.35">
      <c r="A2105" s="1">
        <v>45362</v>
      </c>
      <c r="B2105" t="s">
        <v>12</v>
      </c>
      <c r="C2105" t="s">
        <v>13</v>
      </c>
      <c r="D2105" t="s">
        <v>24</v>
      </c>
      <c r="E2105" t="s">
        <v>25</v>
      </c>
      <c r="F2105">
        <v>50</v>
      </c>
      <c r="G2105">
        <v>51</v>
      </c>
      <c r="H2105" t="s">
        <v>46</v>
      </c>
      <c r="I2105" t="s">
        <v>47</v>
      </c>
    </row>
    <row r="2106" spans="1:9" x14ac:dyDescent="0.35">
      <c r="A2106" s="1">
        <v>45362</v>
      </c>
      <c r="B2106" t="s">
        <v>12</v>
      </c>
      <c r="C2106" t="s">
        <v>13</v>
      </c>
      <c r="D2106" t="s">
        <v>26</v>
      </c>
      <c r="E2106" t="s">
        <v>27</v>
      </c>
      <c r="F2106">
        <v>38</v>
      </c>
      <c r="G2106">
        <v>48.5</v>
      </c>
      <c r="H2106" t="s">
        <v>48</v>
      </c>
      <c r="I2106" t="s">
        <v>49</v>
      </c>
    </row>
    <row r="2107" spans="1:9" x14ac:dyDescent="0.35">
      <c r="A2107" s="1">
        <v>45362</v>
      </c>
      <c r="B2107" t="s">
        <v>12</v>
      </c>
      <c r="C2107" t="s">
        <v>13</v>
      </c>
      <c r="D2107" t="s">
        <v>28</v>
      </c>
      <c r="E2107" t="s">
        <v>29</v>
      </c>
      <c r="F2107">
        <v>32</v>
      </c>
      <c r="G2107">
        <v>31.8</v>
      </c>
      <c r="H2107" t="s">
        <v>46</v>
      </c>
      <c r="I2107" t="s">
        <v>47</v>
      </c>
    </row>
    <row r="2108" spans="1:9" x14ac:dyDescent="0.35">
      <c r="A2108" s="1">
        <v>45362</v>
      </c>
      <c r="B2108" t="s">
        <v>30</v>
      </c>
      <c r="C2108" t="s">
        <v>31</v>
      </c>
      <c r="D2108" t="s">
        <v>15</v>
      </c>
      <c r="E2108" t="s">
        <v>16</v>
      </c>
      <c r="F2108">
        <v>34</v>
      </c>
      <c r="G2108">
        <v>36.200000000000003</v>
      </c>
      <c r="H2108" t="s">
        <v>46</v>
      </c>
      <c r="I2108" t="s">
        <v>47</v>
      </c>
    </row>
    <row r="2109" spans="1:9" x14ac:dyDescent="0.35">
      <c r="A2109" s="1">
        <v>45362</v>
      </c>
      <c r="B2109" t="s">
        <v>30</v>
      </c>
      <c r="C2109" t="s">
        <v>31</v>
      </c>
      <c r="D2109" t="s">
        <v>18</v>
      </c>
      <c r="E2109" t="s">
        <v>19</v>
      </c>
      <c r="F2109">
        <v>38</v>
      </c>
      <c r="G2109">
        <v>40.9</v>
      </c>
      <c r="H2109" t="s">
        <v>46</v>
      </c>
      <c r="I2109" t="s">
        <v>47</v>
      </c>
    </row>
    <row r="2110" spans="1:9" x14ac:dyDescent="0.35">
      <c r="A2110" s="1">
        <v>45362</v>
      </c>
      <c r="B2110" t="s">
        <v>30</v>
      </c>
      <c r="C2110" t="s">
        <v>31</v>
      </c>
      <c r="D2110" t="s">
        <v>21</v>
      </c>
      <c r="E2110" t="s">
        <v>22</v>
      </c>
      <c r="F2110">
        <v>32</v>
      </c>
      <c r="G2110">
        <v>32.799999999999997</v>
      </c>
      <c r="H2110" t="s">
        <v>46</v>
      </c>
      <c r="I2110" t="s">
        <v>47</v>
      </c>
    </row>
    <row r="2111" spans="1:9" x14ac:dyDescent="0.35">
      <c r="A2111" s="1">
        <v>45362</v>
      </c>
      <c r="B2111" t="s">
        <v>30</v>
      </c>
      <c r="C2111" t="s">
        <v>31</v>
      </c>
      <c r="D2111" t="s">
        <v>24</v>
      </c>
      <c r="E2111" t="s">
        <v>25</v>
      </c>
      <c r="F2111">
        <v>50</v>
      </c>
      <c r="G2111">
        <v>49.4</v>
      </c>
      <c r="H2111" t="s">
        <v>46</v>
      </c>
      <c r="I2111" t="s">
        <v>47</v>
      </c>
    </row>
    <row r="2112" spans="1:9" x14ac:dyDescent="0.35">
      <c r="A2112" s="1">
        <v>45362</v>
      </c>
      <c r="B2112" t="s">
        <v>30</v>
      </c>
      <c r="C2112" t="s">
        <v>31</v>
      </c>
      <c r="D2112" t="s">
        <v>26</v>
      </c>
      <c r="E2112" t="s">
        <v>27</v>
      </c>
      <c r="F2112">
        <v>38</v>
      </c>
      <c r="G2112">
        <v>37.299999999999997</v>
      </c>
      <c r="H2112" t="s">
        <v>46</v>
      </c>
      <c r="I2112" t="s">
        <v>47</v>
      </c>
    </row>
    <row r="2113" spans="1:9" x14ac:dyDescent="0.35">
      <c r="A2113" s="1">
        <v>45362</v>
      </c>
      <c r="B2113" t="s">
        <v>30</v>
      </c>
      <c r="C2113" t="s">
        <v>31</v>
      </c>
      <c r="D2113" t="s">
        <v>28</v>
      </c>
      <c r="E2113" t="s">
        <v>29</v>
      </c>
      <c r="F2113">
        <v>32</v>
      </c>
      <c r="G2113">
        <v>39</v>
      </c>
      <c r="H2113" t="s">
        <v>48</v>
      </c>
      <c r="I2113" t="s">
        <v>50</v>
      </c>
    </row>
    <row r="2114" spans="1:9" x14ac:dyDescent="0.35">
      <c r="A2114" s="1">
        <v>45362</v>
      </c>
      <c r="B2114" t="s">
        <v>33</v>
      </c>
      <c r="C2114" t="s">
        <v>34</v>
      </c>
      <c r="D2114" t="s">
        <v>15</v>
      </c>
      <c r="E2114" t="s">
        <v>16</v>
      </c>
      <c r="F2114">
        <v>34</v>
      </c>
      <c r="G2114">
        <v>40.200000000000003</v>
      </c>
      <c r="H2114" t="s">
        <v>48</v>
      </c>
      <c r="I2114" t="s">
        <v>50</v>
      </c>
    </row>
    <row r="2115" spans="1:9" x14ac:dyDescent="0.35">
      <c r="A2115" s="1">
        <v>45362</v>
      </c>
      <c r="B2115" t="s">
        <v>33</v>
      </c>
      <c r="C2115" t="s">
        <v>34</v>
      </c>
      <c r="D2115" t="s">
        <v>18</v>
      </c>
      <c r="E2115" t="s">
        <v>19</v>
      </c>
      <c r="F2115">
        <v>38</v>
      </c>
      <c r="G2115">
        <v>38.9</v>
      </c>
      <c r="H2115" t="s">
        <v>46</v>
      </c>
      <c r="I2115" t="s">
        <v>47</v>
      </c>
    </row>
    <row r="2116" spans="1:9" x14ac:dyDescent="0.35">
      <c r="A2116" s="1">
        <v>45362</v>
      </c>
      <c r="B2116" t="s">
        <v>33</v>
      </c>
      <c r="C2116" t="s">
        <v>34</v>
      </c>
      <c r="D2116" t="s">
        <v>21</v>
      </c>
      <c r="E2116" t="s">
        <v>22</v>
      </c>
      <c r="F2116">
        <v>32</v>
      </c>
      <c r="G2116">
        <v>31</v>
      </c>
      <c r="H2116" t="s">
        <v>46</v>
      </c>
      <c r="I2116" t="s">
        <v>47</v>
      </c>
    </row>
    <row r="2117" spans="1:9" x14ac:dyDescent="0.35">
      <c r="A2117" s="1">
        <v>45362</v>
      </c>
      <c r="B2117" t="s">
        <v>33</v>
      </c>
      <c r="C2117" t="s">
        <v>34</v>
      </c>
      <c r="D2117" t="s">
        <v>24</v>
      </c>
      <c r="E2117" t="s">
        <v>25</v>
      </c>
      <c r="F2117">
        <v>50</v>
      </c>
      <c r="G2117">
        <v>52.8</v>
      </c>
      <c r="H2117" t="s">
        <v>46</v>
      </c>
      <c r="I2117" t="s">
        <v>47</v>
      </c>
    </row>
    <row r="2118" spans="1:9" x14ac:dyDescent="0.35">
      <c r="A2118" s="1">
        <v>45362</v>
      </c>
      <c r="B2118" t="s">
        <v>33</v>
      </c>
      <c r="C2118" t="s">
        <v>34</v>
      </c>
      <c r="D2118" t="s">
        <v>26</v>
      </c>
      <c r="E2118" t="s">
        <v>27</v>
      </c>
      <c r="F2118">
        <v>38</v>
      </c>
      <c r="G2118">
        <v>40.200000000000003</v>
      </c>
      <c r="H2118" t="s">
        <v>46</v>
      </c>
      <c r="I2118" t="s">
        <v>47</v>
      </c>
    </row>
    <row r="2119" spans="1:9" x14ac:dyDescent="0.35">
      <c r="A2119" s="1">
        <v>45362</v>
      </c>
      <c r="B2119" t="s">
        <v>33</v>
      </c>
      <c r="C2119" t="s">
        <v>34</v>
      </c>
      <c r="D2119" t="s">
        <v>28</v>
      </c>
      <c r="E2119" t="s">
        <v>29</v>
      </c>
      <c r="F2119">
        <v>32</v>
      </c>
      <c r="G2119">
        <v>39.700000000000003</v>
      </c>
      <c r="H2119" t="s">
        <v>48</v>
      </c>
      <c r="I2119" t="s">
        <v>50</v>
      </c>
    </row>
    <row r="2120" spans="1:9" x14ac:dyDescent="0.35">
      <c r="A2120" s="1">
        <v>45362</v>
      </c>
      <c r="B2120" t="s">
        <v>36</v>
      </c>
      <c r="C2120" t="s">
        <v>37</v>
      </c>
      <c r="D2120" t="s">
        <v>15</v>
      </c>
      <c r="E2120" t="s">
        <v>16</v>
      </c>
      <c r="F2120">
        <v>34</v>
      </c>
      <c r="G2120">
        <v>34.5</v>
      </c>
      <c r="H2120" t="s">
        <v>46</v>
      </c>
      <c r="I2120" t="s">
        <v>47</v>
      </c>
    </row>
    <row r="2121" spans="1:9" x14ac:dyDescent="0.35">
      <c r="A2121" s="1">
        <v>45362</v>
      </c>
      <c r="B2121" t="s">
        <v>36</v>
      </c>
      <c r="C2121" t="s">
        <v>37</v>
      </c>
      <c r="D2121" t="s">
        <v>18</v>
      </c>
      <c r="E2121" t="s">
        <v>19</v>
      </c>
      <c r="F2121">
        <v>38</v>
      </c>
      <c r="G2121">
        <v>40.799999999999997</v>
      </c>
      <c r="H2121" t="s">
        <v>46</v>
      </c>
      <c r="I2121" t="s">
        <v>47</v>
      </c>
    </row>
    <row r="2122" spans="1:9" x14ac:dyDescent="0.35">
      <c r="A2122" s="1">
        <v>45362</v>
      </c>
      <c r="B2122" t="s">
        <v>36</v>
      </c>
      <c r="C2122" t="s">
        <v>37</v>
      </c>
      <c r="D2122" t="s">
        <v>21</v>
      </c>
      <c r="E2122" t="s">
        <v>22</v>
      </c>
      <c r="F2122">
        <v>32</v>
      </c>
      <c r="G2122">
        <v>32.9</v>
      </c>
      <c r="H2122" t="s">
        <v>46</v>
      </c>
      <c r="I2122" t="s">
        <v>47</v>
      </c>
    </row>
    <row r="2123" spans="1:9" x14ac:dyDescent="0.35">
      <c r="A2123" s="1">
        <v>45362</v>
      </c>
      <c r="B2123" t="s">
        <v>36</v>
      </c>
      <c r="C2123" t="s">
        <v>37</v>
      </c>
      <c r="D2123" t="s">
        <v>24</v>
      </c>
      <c r="E2123" t="s">
        <v>25</v>
      </c>
      <c r="F2123">
        <v>50</v>
      </c>
      <c r="G2123">
        <v>51.4</v>
      </c>
      <c r="H2123" t="s">
        <v>46</v>
      </c>
      <c r="I2123" t="s">
        <v>47</v>
      </c>
    </row>
    <row r="2124" spans="1:9" x14ac:dyDescent="0.35">
      <c r="A2124" s="1">
        <v>45362</v>
      </c>
      <c r="B2124" t="s">
        <v>36</v>
      </c>
      <c r="C2124" t="s">
        <v>37</v>
      </c>
      <c r="D2124" t="s">
        <v>26</v>
      </c>
      <c r="E2124" t="s">
        <v>27</v>
      </c>
      <c r="F2124">
        <v>38</v>
      </c>
      <c r="G2124">
        <v>39.700000000000003</v>
      </c>
      <c r="H2124" t="s">
        <v>46</v>
      </c>
      <c r="I2124" t="s">
        <v>47</v>
      </c>
    </row>
    <row r="2125" spans="1:9" x14ac:dyDescent="0.35">
      <c r="A2125" s="1">
        <v>45362</v>
      </c>
      <c r="B2125" t="s">
        <v>36</v>
      </c>
      <c r="C2125" t="s">
        <v>37</v>
      </c>
      <c r="D2125" t="s">
        <v>28</v>
      </c>
      <c r="E2125" t="s">
        <v>29</v>
      </c>
      <c r="F2125">
        <v>32</v>
      </c>
      <c r="G2125">
        <v>32.299999999999997</v>
      </c>
      <c r="H2125" t="s">
        <v>46</v>
      </c>
      <c r="I2125" t="s">
        <v>47</v>
      </c>
    </row>
    <row r="2126" spans="1:9" x14ac:dyDescent="0.35">
      <c r="A2126" s="1">
        <v>45362</v>
      </c>
      <c r="B2126" t="s">
        <v>39</v>
      </c>
      <c r="C2126" t="s">
        <v>40</v>
      </c>
      <c r="D2126" t="s">
        <v>15</v>
      </c>
      <c r="E2126" t="s">
        <v>16</v>
      </c>
      <c r="F2126">
        <v>34</v>
      </c>
      <c r="G2126">
        <v>34.4</v>
      </c>
      <c r="H2126" t="s">
        <v>46</v>
      </c>
      <c r="I2126" t="s">
        <v>47</v>
      </c>
    </row>
    <row r="2127" spans="1:9" x14ac:dyDescent="0.35">
      <c r="A2127" s="1">
        <v>45362</v>
      </c>
      <c r="B2127" t="s">
        <v>39</v>
      </c>
      <c r="C2127" t="s">
        <v>40</v>
      </c>
      <c r="D2127" t="s">
        <v>18</v>
      </c>
      <c r="E2127" t="s">
        <v>19</v>
      </c>
      <c r="F2127">
        <v>38</v>
      </c>
      <c r="G2127">
        <v>39.4</v>
      </c>
      <c r="H2127" t="s">
        <v>46</v>
      </c>
      <c r="I2127" t="s">
        <v>47</v>
      </c>
    </row>
    <row r="2128" spans="1:9" x14ac:dyDescent="0.35">
      <c r="A2128" s="1">
        <v>45362</v>
      </c>
      <c r="B2128" t="s">
        <v>39</v>
      </c>
      <c r="C2128" t="s">
        <v>40</v>
      </c>
      <c r="D2128" t="s">
        <v>21</v>
      </c>
      <c r="E2128" t="s">
        <v>22</v>
      </c>
      <c r="F2128">
        <v>32</v>
      </c>
      <c r="G2128">
        <v>34.5</v>
      </c>
      <c r="H2128" t="s">
        <v>46</v>
      </c>
      <c r="I2128" t="s">
        <v>47</v>
      </c>
    </row>
    <row r="2129" spans="1:9" x14ac:dyDescent="0.35">
      <c r="A2129" s="1">
        <v>45362</v>
      </c>
      <c r="B2129" t="s">
        <v>39</v>
      </c>
      <c r="C2129" t="s">
        <v>40</v>
      </c>
      <c r="D2129" t="s">
        <v>24</v>
      </c>
      <c r="E2129" t="s">
        <v>25</v>
      </c>
      <c r="F2129">
        <v>50</v>
      </c>
      <c r="G2129">
        <v>49</v>
      </c>
      <c r="H2129" t="s">
        <v>46</v>
      </c>
      <c r="I2129" t="s">
        <v>47</v>
      </c>
    </row>
    <row r="2130" spans="1:9" x14ac:dyDescent="0.35">
      <c r="A2130" s="1">
        <v>45362</v>
      </c>
      <c r="B2130" t="s">
        <v>39</v>
      </c>
      <c r="C2130" t="s">
        <v>40</v>
      </c>
      <c r="D2130" t="s">
        <v>26</v>
      </c>
      <c r="E2130" t="s">
        <v>27</v>
      </c>
      <c r="F2130">
        <v>38</v>
      </c>
      <c r="G2130">
        <v>38.6</v>
      </c>
      <c r="H2130" t="s">
        <v>46</v>
      </c>
      <c r="I2130" t="s">
        <v>47</v>
      </c>
    </row>
    <row r="2131" spans="1:9" x14ac:dyDescent="0.35">
      <c r="A2131" s="1">
        <v>45362</v>
      </c>
      <c r="B2131" t="s">
        <v>39</v>
      </c>
      <c r="C2131" t="s">
        <v>40</v>
      </c>
      <c r="D2131" t="s">
        <v>28</v>
      </c>
      <c r="E2131" t="s">
        <v>29</v>
      </c>
      <c r="F2131">
        <v>32</v>
      </c>
      <c r="G2131">
        <v>34.700000000000003</v>
      </c>
      <c r="H2131" t="s">
        <v>46</v>
      </c>
      <c r="I2131" t="s">
        <v>47</v>
      </c>
    </row>
    <row r="2132" spans="1:9" x14ac:dyDescent="0.35">
      <c r="A2132" s="1">
        <v>45363</v>
      </c>
      <c r="B2132" t="s">
        <v>12</v>
      </c>
      <c r="C2132" t="s">
        <v>13</v>
      </c>
      <c r="D2132" t="s">
        <v>15</v>
      </c>
      <c r="E2132" t="s">
        <v>16</v>
      </c>
      <c r="F2132">
        <v>34</v>
      </c>
      <c r="G2132">
        <v>41</v>
      </c>
      <c r="H2132" t="s">
        <v>48</v>
      </c>
      <c r="I2132" t="s">
        <v>50</v>
      </c>
    </row>
    <row r="2133" spans="1:9" x14ac:dyDescent="0.35">
      <c r="A2133" s="1">
        <v>45363</v>
      </c>
      <c r="B2133" t="s">
        <v>12</v>
      </c>
      <c r="C2133" t="s">
        <v>13</v>
      </c>
      <c r="D2133" t="s">
        <v>18</v>
      </c>
      <c r="E2133" t="s">
        <v>19</v>
      </c>
      <c r="F2133">
        <v>38</v>
      </c>
      <c r="G2133">
        <v>40.799999999999997</v>
      </c>
      <c r="H2133" t="s">
        <v>46</v>
      </c>
      <c r="I2133" t="s">
        <v>47</v>
      </c>
    </row>
    <row r="2134" spans="1:9" x14ac:dyDescent="0.35">
      <c r="A2134" s="1">
        <v>45363</v>
      </c>
      <c r="B2134" t="s">
        <v>12</v>
      </c>
      <c r="C2134" t="s">
        <v>13</v>
      </c>
      <c r="D2134" t="s">
        <v>21</v>
      </c>
      <c r="E2134" t="s">
        <v>22</v>
      </c>
      <c r="F2134">
        <v>32</v>
      </c>
      <c r="G2134">
        <v>32</v>
      </c>
      <c r="H2134" t="s">
        <v>46</v>
      </c>
      <c r="I2134" t="s">
        <v>47</v>
      </c>
    </row>
    <row r="2135" spans="1:9" x14ac:dyDescent="0.35">
      <c r="A2135" s="1">
        <v>45363</v>
      </c>
      <c r="B2135" t="s">
        <v>12</v>
      </c>
      <c r="C2135" t="s">
        <v>13</v>
      </c>
      <c r="D2135" t="s">
        <v>24</v>
      </c>
      <c r="E2135" t="s">
        <v>25</v>
      </c>
      <c r="F2135">
        <v>50</v>
      </c>
      <c r="G2135">
        <v>51.7</v>
      </c>
      <c r="H2135" t="s">
        <v>46</v>
      </c>
      <c r="I2135" t="s">
        <v>47</v>
      </c>
    </row>
    <row r="2136" spans="1:9" x14ac:dyDescent="0.35">
      <c r="A2136" s="1">
        <v>45363</v>
      </c>
      <c r="B2136" t="s">
        <v>12</v>
      </c>
      <c r="C2136" t="s">
        <v>13</v>
      </c>
      <c r="D2136" t="s">
        <v>26</v>
      </c>
      <c r="E2136" t="s">
        <v>27</v>
      </c>
      <c r="F2136">
        <v>38</v>
      </c>
      <c r="G2136">
        <v>39.1</v>
      </c>
      <c r="H2136" t="s">
        <v>46</v>
      </c>
      <c r="I2136" t="s">
        <v>47</v>
      </c>
    </row>
    <row r="2137" spans="1:9" x14ac:dyDescent="0.35">
      <c r="A2137" s="1">
        <v>45363</v>
      </c>
      <c r="B2137" t="s">
        <v>12</v>
      </c>
      <c r="C2137" t="s">
        <v>13</v>
      </c>
      <c r="D2137" t="s">
        <v>28</v>
      </c>
      <c r="E2137" t="s">
        <v>29</v>
      </c>
      <c r="F2137">
        <v>32</v>
      </c>
      <c r="G2137">
        <v>31</v>
      </c>
      <c r="H2137" t="s">
        <v>46</v>
      </c>
      <c r="I2137" t="s">
        <v>47</v>
      </c>
    </row>
    <row r="2138" spans="1:9" x14ac:dyDescent="0.35">
      <c r="A2138" s="1">
        <v>45363</v>
      </c>
      <c r="B2138" t="s">
        <v>30</v>
      </c>
      <c r="C2138" t="s">
        <v>31</v>
      </c>
      <c r="D2138" t="s">
        <v>15</v>
      </c>
      <c r="E2138" t="s">
        <v>16</v>
      </c>
      <c r="F2138">
        <v>34</v>
      </c>
      <c r="G2138">
        <v>36.799999999999997</v>
      </c>
      <c r="H2138" t="s">
        <v>46</v>
      </c>
      <c r="I2138" t="s">
        <v>47</v>
      </c>
    </row>
    <row r="2139" spans="1:9" x14ac:dyDescent="0.35">
      <c r="A2139" s="1">
        <v>45363</v>
      </c>
      <c r="B2139" t="s">
        <v>30</v>
      </c>
      <c r="C2139" t="s">
        <v>31</v>
      </c>
      <c r="D2139" t="s">
        <v>18</v>
      </c>
      <c r="E2139" t="s">
        <v>19</v>
      </c>
      <c r="F2139">
        <v>38</v>
      </c>
      <c r="G2139">
        <v>39.5</v>
      </c>
      <c r="H2139" t="s">
        <v>46</v>
      </c>
      <c r="I2139" t="s">
        <v>47</v>
      </c>
    </row>
    <row r="2140" spans="1:9" x14ac:dyDescent="0.35">
      <c r="A2140" s="1">
        <v>45363</v>
      </c>
      <c r="B2140" t="s">
        <v>30</v>
      </c>
      <c r="C2140" t="s">
        <v>31</v>
      </c>
      <c r="D2140" t="s">
        <v>21</v>
      </c>
      <c r="E2140" t="s">
        <v>22</v>
      </c>
      <c r="F2140">
        <v>32</v>
      </c>
      <c r="G2140">
        <v>34.9</v>
      </c>
      <c r="H2140" t="s">
        <v>46</v>
      </c>
      <c r="I2140" t="s">
        <v>47</v>
      </c>
    </row>
    <row r="2141" spans="1:9" x14ac:dyDescent="0.35">
      <c r="A2141" s="1">
        <v>45363</v>
      </c>
      <c r="B2141" t="s">
        <v>30</v>
      </c>
      <c r="C2141" t="s">
        <v>31</v>
      </c>
      <c r="D2141" t="s">
        <v>24</v>
      </c>
      <c r="E2141" t="s">
        <v>25</v>
      </c>
      <c r="F2141">
        <v>50</v>
      </c>
      <c r="G2141">
        <v>51.7</v>
      </c>
      <c r="H2141" t="s">
        <v>46</v>
      </c>
      <c r="I2141" t="s">
        <v>47</v>
      </c>
    </row>
    <row r="2142" spans="1:9" x14ac:dyDescent="0.35">
      <c r="A2142" s="1">
        <v>45363</v>
      </c>
      <c r="B2142" t="s">
        <v>30</v>
      </c>
      <c r="C2142" t="s">
        <v>31</v>
      </c>
      <c r="D2142" t="s">
        <v>26</v>
      </c>
      <c r="E2142" t="s">
        <v>27</v>
      </c>
      <c r="F2142">
        <v>38</v>
      </c>
      <c r="G2142">
        <v>38.9</v>
      </c>
      <c r="H2142" t="s">
        <v>46</v>
      </c>
      <c r="I2142" t="s">
        <v>47</v>
      </c>
    </row>
    <row r="2143" spans="1:9" x14ac:dyDescent="0.35">
      <c r="A2143" s="1">
        <v>45363</v>
      </c>
      <c r="B2143" t="s">
        <v>30</v>
      </c>
      <c r="C2143" t="s">
        <v>31</v>
      </c>
      <c r="D2143" t="s">
        <v>28</v>
      </c>
      <c r="E2143" t="s">
        <v>29</v>
      </c>
      <c r="F2143">
        <v>32</v>
      </c>
      <c r="G2143">
        <v>34.200000000000003</v>
      </c>
      <c r="H2143" t="s">
        <v>46</v>
      </c>
      <c r="I2143" t="s">
        <v>47</v>
      </c>
    </row>
    <row r="2144" spans="1:9" x14ac:dyDescent="0.35">
      <c r="A2144" s="1">
        <v>45363</v>
      </c>
      <c r="B2144" t="s">
        <v>33</v>
      </c>
      <c r="C2144" t="s">
        <v>34</v>
      </c>
      <c r="D2144" t="s">
        <v>15</v>
      </c>
      <c r="E2144" t="s">
        <v>16</v>
      </c>
      <c r="F2144">
        <v>34</v>
      </c>
      <c r="G2144">
        <v>36.799999999999997</v>
      </c>
      <c r="H2144" t="s">
        <v>46</v>
      </c>
      <c r="I2144" t="s">
        <v>47</v>
      </c>
    </row>
    <row r="2145" spans="1:9" x14ac:dyDescent="0.35">
      <c r="A2145" s="1">
        <v>45363</v>
      </c>
      <c r="B2145" t="s">
        <v>33</v>
      </c>
      <c r="C2145" t="s">
        <v>34</v>
      </c>
      <c r="D2145" t="s">
        <v>18</v>
      </c>
      <c r="E2145" t="s">
        <v>19</v>
      </c>
      <c r="F2145">
        <v>38</v>
      </c>
      <c r="G2145">
        <v>38.9</v>
      </c>
      <c r="H2145" t="s">
        <v>46</v>
      </c>
      <c r="I2145" t="s">
        <v>47</v>
      </c>
    </row>
    <row r="2146" spans="1:9" x14ac:dyDescent="0.35">
      <c r="A2146" s="1">
        <v>45363</v>
      </c>
      <c r="B2146" t="s">
        <v>33</v>
      </c>
      <c r="C2146" t="s">
        <v>34</v>
      </c>
      <c r="D2146" t="s">
        <v>21</v>
      </c>
      <c r="E2146" t="s">
        <v>22</v>
      </c>
      <c r="F2146">
        <v>32</v>
      </c>
      <c r="G2146">
        <v>33.799999999999997</v>
      </c>
      <c r="H2146" t="s">
        <v>46</v>
      </c>
      <c r="I2146" t="s">
        <v>47</v>
      </c>
    </row>
    <row r="2147" spans="1:9" x14ac:dyDescent="0.35">
      <c r="A2147" s="1">
        <v>45363</v>
      </c>
      <c r="B2147" t="s">
        <v>33</v>
      </c>
      <c r="C2147" t="s">
        <v>34</v>
      </c>
      <c r="D2147" t="s">
        <v>24</v>
      </c>
      <c r="E2147" t="s">
        <v>25</v>
      </c>
      <c r="F2147">
        <v>50</v>
      </c>
      <c r="G2147">
        <v>59.1</v>
      </c>
      <c r="H2147" t="s">
        <v>48</v>
      </c>
      <c r="I2147" t="s">
        <v>50</v>
      </c>
    </row>
    <row r="2148" spans="1:9" x14ac:dyDescent="0.35">
      <c r="A2148" s="1">
        <v>45363</v>
      </c>
      <c r="B2148" t="s">
        <v>33</v>
      </c>
      <c r="C2148" t="s">
        <v>34</v>
      </c>
      <c r="D2148" t="s">
        <v>26</v>
      </c>
      <c r="E2148" t="s">
        <v>27</v>
      </c>
      <c r="F2148">
        <v>38</v>
      </c>
      <c r="G2148">
        <v>39.799999999999997</v>
      </c>
      <c r="H2148" t="s">
        <v>46</v>
      </c>
      <c r="I2148" t="s">
        <v>47</v>
      </c>
    </row>
    <row r="2149" spans="1:9" x14ac:dyDescent="0.35">
      <c r="A2149" s="1">
        <v>45363</v>
      </c>
      <c r="B2149" t="s">
        <v>33</v>
      </c>
      <c r="C2149" t="s">
        <v>34</v>
      </c>
      <c r="D2149" t="s">
        <v>28</v>
      </c>
      <c r="E2149" t="s">
        <v>29</v>
      </c>
      <c r="F2149">
        <v>32</v>
      </c>
      <c r="G2149">
        <v>34.5</v>
      </c>
      <c r="H2149" t="s">
        <v>46</v>
      </c>
      <c r="I2149" t="s">
        <v>47</v>
      </c>
    </row>
    <row r="2150" spans="1:9" x14ac:dyDescent="0.35">
      <c r="A2150" s="1">
        <v>45363</v>
      </c>
      <c r="B2150" t="s">
        <v>36</v>
      </c>
      <c r="C2150" t="s">
        <v>37</v>
      </c>
      <c r="D2150" t="s">
        <v>15</v>
      </c>
      <c r="E2150" t="s">
        <v>16</v>
      </c>
      <c r="F2150">
        <v>34</v>
      </c>
      <c r="G2150">
        <v>35.9</v>
      </c>
      <c r="H2150" t="s">
        <v>46</v>
      </c>
      <c r="I2150" t="s">
        <v>47</v>
      </c>
    </row>
    <row r="2151" spans="1:9" x14ac:dyDescent="0.35">
      <c r="A2151" s="1">
        <v>45363</v>
      </c>
      <c r="B2151" t="s">
        <v>36</v>
      </c>
      <c r="C2151" t="s">
        <v>37</v>
      </c>
      <c r="D2151" t="s">
        <v>18</v>
      </c>
      <c r="E2151" t="s">
        <v>19</v>
      </c>
      <c r="F2151">
        <v>38</v>
      </c>
      <c r="G2151">
        <v>48</v>
      </c>
      <c r="H2151" t="s">
        <v>48</v>
      </c>
      <c r="I2151" t="s">
        <v>50</v>
      </c>
    </row>
    <row r="2152" spans="1:9" x14ac:dyDescent="0.35">
      <c r="A2152" s="1">
        <v>45363</v>
      </c>
      <c r="B2152" t="s">
        <v>36</v>
      </c>
      <c r="C2152" t="s">
        <v>37</v>
      </c>
      <c r="D2152" t="s">
        <v>21</v>
      </c>
      <c r="E2152" t="s">
        <v>22</v>
      </c>
      <c r="F2152">
        <v>32</v>
      </c>
      <c r="G2152">
        <v>44.7</v>
      </c>
      <c r="H2152" t="s">
        <v>48</v>
      </c>
      <c r="I2152" t="s">
        <v>49</v>
      </c>
    </row>
    <row r="2153" spans="1:9" x14ac:dyDescent="0.35">
      <c r="A2153" s="1">
        <v>45363</v>
      </c>
      <c r="B2153" t="s">
        <v>36</v>
      </c>
      <c r="C2153" t="s">
        <v>37</v>
      </c>
      <c r="D2153" t="s">
        <v>24</v>
      </c>
      <c r="E2153" t="s">
        <v>25</v>
      </c>
      <c r="F2153">
        <v>50</v>
      </c>
      <c r="G2153">
        <v>52.9</v>
      </c>
      <c r="H2153" t="s">
        <v>46</v>
      </c>
      <c r="I2153" t="s">
        <v>47</v>
      </c>
    </row>
    <row r="2154" spans="1:9" x14ac:dyDescent="0.35">
      <c r="A2154" s="1">
        <v>45363</v>
      </c>
      <c r="B2154" t="s">
        <v>36</v>
      </c>
      <c r="C2154" t="s">
        <v>37</v>
      </c>
      <c r="D2154" t="s">
        <v>26</v>
      </c>
      <c r="E2154" t="s">
        <v>27</v>
      </c>
      <c r="F2154">
        <v>38</v>
      </c>
      <c r="G2154">
        <v>40.6</v>
      </c>
      <c r="H2154" t="s">
        <v>46</v>
      </c>
      <c r="I2154" t="s">
        <v>47</v>
      </c>
    </row>
    <row r="2155" spans="1:9" x14ac:dyDescent="0.35">
      <c r="A2155" s="1">
        <v>45363</v>
      </c>
      <c r="B2155" t="s">
        <v>36</v>
      </c>
      <c r="C2155" t="s">
        <v>37</v>
      </c>
      <c r="D2155" t="s">
        <v>28</v>
      </c>
      <c r="E2155" t="s">
        <v>29</v>
      </c>
      <c r="F2155">
        <v>32</v>
      </c>
      <c r="G2155">
        <v>32.9</v>
      </c>
      <c r="H2155" t="s">
        <v>46</v>
      </c>
      <c r="I2155" t="s">
        <v>47</v>
      </c>
    </row>
    <row r="2156" spans="1:9" x14ac:dyDescent="0.35">
      <c r="A2156" s="1">
        <v>45363</v>
      </c>
      <c r="B2156" t="s">
        <v>39</v>
      </c>
      <c r="C2156" t="s">
        <v>40</v>
      </c>
      <c r="D2156" t="s">
        <v>15</v>
      </c>
      <c r="E2156" t="s">
        <v>16</v>
      </c>
      <c r="F2156">
        <v>34</v>
      </c>
      <c r="G2156">
        <v>34</v>
      </c>
      <c r="H2156" t="s">
        <v>46</v>
      </c>
      <c r="I2156" t="s">
        <v>47</v>
      </c>
    </row>
    <row r="2157" spans="1:9" x14ac:dyDescent="0.35">
      <c r="A2157" s="1">
        <v>45363</v>
      </c>
      <c r="B2157" t="s">
        <v>39</v>
      </c>
      <c r="C2157" t="s">
        <v>40</v>
      </c>
      <c r="D2157" t="s">
        <v>18</v>
      </c>
      <c r="E2157" t="s">
        <v>19</v>
      </c>
      <c r="F2157">
        <v>38</v>
      </c>
      <c r="G2157">
        <v>51.6</v>
      </c>
      <c r="H2157" t="s">
        <v>48</v>
      </c>
      <c r="I2157" t="s">
        <v>49</v>
      </c>
    </row>
    <row r="2158" spans="1:9" x14ac:dyDescent="0.35">
      <c r="A2158" s="1">
        <v>45363</v>
      </c>
      <c r="B2158" t="s">
        <v>39</v>
      </c>
      <c r="C2158" t="s">
        <v>40</v>
      </c>
      <c r="D2158" t="s">
        <v>21</v>
      </c>
      <c r="E2158" t="s">
        <v>22</v>
      </c>
      <c r="F2158">
        <v>32</v>
      </c>
      <c r="G2158">
        <v>31.4</v>
      </c>
      <c r="H2158" t="s">
        <v>46</v>
      </c>
      <c r="I2158" t="s">
        <v>47</v>
      </c>
    </row>
    <row r="2159" spans="1:9" x14ac:dyDescent="0.35">
      <c r="A2159" s="1">
        <v>45363</v>
      </c>
      <c r="B2159" t="s">
        <v>39</v>
      </c>
      <c r="C2159" t="s">
        <v>40</v>
      </c>
      <c r="D2159" t="s">
        <v>24</v>
      </c>
      <c r="E2159" t="s">
        <v>25</v>
      </c>
      <c r="F2159">
        <v>50</v>
      </c>
      <c r="G2159">
        <v>49.1</v>
      </c>
      <c r="H2159" t="s">
        <v>46</v>
      </c>
      <c r="I2159" t="s">
        <v>47</v>
      </c>
    </row>
    <row r="2160" spans="1:9" x14ac:dyDescent="0.35">
      <c r="A2160" s="1">
        <v>45363</v>
      </c>
      <c r="B2160" t="s">
        <v>39</v>
      </c>
      <c r="C2160" t="s">
        <v>40</v>
      </c>
      <c r="D2160" t="s">
        <v>26</v>
      </c>
      <c r="E2160" t="s">
        <v>27</v>
      </c>
      <c r="F2160">
        <v>38</v>
      </c>
      <c r="G2160">
        <v>38.299999999999997</v>
      </c>
      <c r="H2160" t="s">
        <v>46</v>
      </c>
      <c r="I2160" t="s">
        <v>47</v>
      </c>
    </row>
    <row r="2161" spans="1:9" x14ac:dyDescent="0.35">
      <c r="A2161" s="1">
        <v>45363</v>
      </c>
      <c r="B2161" t="s">
        <v>39</v>
      </c>
      <c r="C2161" t="s">
        <v>40</v>
      </c>
      <c r="D2161" t="s">
        <v>28</v>
      </c>
      <c r="E2161" t="s">
        <v>29</v>
      </c>
      <c r="F2161">
        <v>32</v>
      </c>
      <c r="G2161">
        <v>32.1</v>
      </c>
      <c r="H2161" t="s">
        <v>46</v>
      </c>
      <c r="I2161" t="s">
        <v>47</v>
      </c>
    </row>
    <row r="2162" spans="1:9" x14ac:dyDescent="0.35">
      <c r="A2162" s="1">
        <v>45364</v>
      </c>
      <c r="B2162" t="s">
        <v>12</v>
      </c>
      <c r="C2162" t="s">
        <v>13</v>
      </c>
      <c r="D2162" t="s">
        <v>15</v>
      </c>
      <c r="E2162" t="s">
        <v>16</v>
      </c>
      <c r="F2162">
        <v>34</v>
      </c>
      <c r="G2162">
        <v>35.700000000000003</v>
      </c>
      <c r="H2162" t="s">
        <v>46</v>
      </c>
      <c r="I2162" t="s">
        <v>47</v>
      </c>
    </row>
    <row r="2163" spans="1:9" x14ac:dyDescent="0.35">
      <c r="A2163" s="1">
        <v>45364</v>
      </c>
      <c r="B2163" t="s">
        <v>12</v>
      </c>
      <c r="C2163" t="s">
        <v>13</v>
      </c>
      <c r="D2163" t="s">
        <v>18</v>
      </c>
      <c r="E2163" t="s">
        <v>19</v>
      </c>
      <c r="F2163">
        <v>38</v>
      </c>
      <c r="G2163">
        <v>39.700000000000003</v>
      </c>
      <c r="H2163" t="s">
        <v>46</v>
      </c>
      <c r="I2163" t="s">
        <v>47</v>
      </c>
    </row>
    <row r="2164" spans="1:9" x14ac:dyDescent="0.35">
      <c r="A2164" s="1">
        <v>45364</v>
      </c>
      <c r="B2164" t="s">
        <v>12</v>
      </c>
      <c r="C2164" t="s">
        <v>13</v>
      </c>
      <c r="D2164" t="s">
        <v>21</v>
      </c>
      <c r="E2164" t="s">
        <v>22</v>
      </c>
      <c r="F2164">
        <v>32</v>
      </c>
      <c r="G2164">
        <v>34.700000000000003</v>
      </c>
      <c r="H2164" t="s">
        <v>46</v>
      </c>
      <c r="I2164" t="s">
        <v>47</v>
      </c>
    </row>
    <row r="2165" spans="1:9" x14ac:dyDescent="0.35">
      <c r="A2165" s="1">
        <v>45364</v>
      </c>
      <c r="B2165" t="s">
        <v>12</v>
      </c>
      <c r="C2165" t="s">
        <v>13</v>
      </c>
      <c r="D2165" t="s">
        <v>24</v>
      </c>
      <c r="E2165" t="s">
        <v>25</v>
      </c>
      <c r="F2165">
        <v>50</v>
      </c>
      <c r="G2165">
        <v>51</v>
      </c>
      <c r="H2165" t="s">
        <v>46</v>
      </c>
      <c r="I2165" t="s">
        <v>47</v>
      </c>
    </row>
    <row r="2166" spans="1:9" x14ac:dyDescent="0.35">
      <c r="A2166" s="1">
        <v>45364</v>
      </c>
      <c r="B2166" t="s">
        <v>12</v>
      </c>
      <c r="C2166" t="s">
        <v>13</v>
      </c>
      <c r="D2166" t="s">
        <v>26</v>
      </c>
      <c r="E2166" t="s">
        <v>27</v>
      </c>
      <c r="F2166">
        <v>38</v>
      </c>
      <c r="G2166">
        <v>38.299999999999997</v>
      </c>
      <c r="H2166" t="s">
        <v>46</v>
      </c>
      <c r="I2166" t="s">
        <v>47</v>
      </c>
    </row>
    <row r="2167" spans="1:9" x14ac:dyDescent="0.35">
      <c r="A2167" s="1">
        <v>45364</v>
      </c>
      <c r="B2167" t="s">
        <v>12</v>
      </c>
      <c r="C2167" t="s">
        <v>13</v>
      </c>
      <c r="D2167" t="s">
        <v>28</v>
      </c>
      <c r="E2167" t="s">
        <v>29</v>
      </c>
      <c r="F2167">
        <v>32</v>
      </c>
      <c r="G2167">
        <v>33.299999999999997</v>
      </c>
      <c r="H2167" t="s">
        <v>46</v>
      </c>
      <c r="I2167" t="s">
        <v>47</v>
      </c>
    </row>
    <row r="2168" spans="1:9" x14ac:dyDescent="0.35">
      <c r="A2168" s="1">
        <v>45364</v>
      </c>
      <c r="B2168" t="s">
        <v>30</v>
      </c>
      <c r="C2168" t="s">
        <v>31</v>
      </c>
      <c r="D2168" t="s">
        <v>15</v>
      </c>
      <c r="E2168" t="s">
        <v>16</v>
      </c>
      <c r="F2168">
        <v>34</v>
      </c>
      <c r="G2168">
        <v>33.299999999999997</v>
      </c>
      <c r="H2168" t="s">
        <v>46</v>
      </c>
      <c r="I2168" t="s">
        <v>47</v>
      </c>
    </row>
    <row r="2169" spans="1:9" x14ac:dyDescent="0.35">
      <c r="A2169" s="1">
        <v>45364</v>
      </c>
      <c r="B2169" t="s">
        <v>30</v>
      </c>
      <c r="C2169" t="s">
        <v>31</v>
      </c>
      <c r="D2169" t="s">
        <v>18</v>
      </c>
      <c r="E2169" t="s">
        <v>19</v>
      </c>
      <c r="F2169">
        <v>38</v>
      </c>
      <c r="G2169">
        <v>40.6</v>
      </c>
      <c r="H2169" t="s">
        <v>46</v>
      </c>
      <c r="I2169" t="s">
        <v>47</v>
      </c>
    </row>
    <row r="2170" spans="1:9" x14ac:dyDescent="0.35">
      <c r="A2170" s="1">
        <v>45364</v>
      </c>
      <c r="B2170" t="s">
        <v>30</v>
      </c>
      <c r="C2170" t="s">
        <v>31</v>
      </c>
      <c r="D2170" t="s">
        <v>21</v>
      </c>
      <c r="E2170" t="s">
        <v>22</v>
      </c>
      <c r="F2170">
        <v>32</v>
      </c>
      <c r="G2170">
        <v>33.9</v>
      </c>
      <c r="H2170" t="s">
        <v>46</v>
      </c>
      <c r="I2170" t="s">
        <v>47</v>
      </c>
    </row>
    <row r="2171" spans="1:9" x14ac:dyDescent="0.35">
      <c r="A2171" s="1">
        <v>45364</v>
      </c>
      <c r="B2171" t="s">
        <v>30</v>
      </c>
      <c r="C2171" t="s">
        <v>31</v>
      </c>
      <c r="D2171" t="s">
        <v>24</v>
      </c>
      <c r="E2171" t="s">
        <v>25</v>
      </c>
      <c r="F2171">
        <v>50</v>
      </c>
      <c r="G2171">
        <v>52.1</v>
      </c>
      <c r="H2171" t="s">
        <v>46</v>
      </c>
      <c r="I2171" t="s">
        <v>47</v>
      </c>
    </row>
    <row r="2172" spans="1:9" x14ac:dyDescent="0.35">
      <c r="A2172" s="1">
        <v>45364</v>
      </c>
      <c r="B2172" t="s">
        <v>30</v>
      </c>
      <c r="C2172" t="s">
        <v>31</v>
      </c>
      <c r="D2172" t="s">
        <v>26</v>
      </c>
      <c r="E2172" t="s">
        <v>27</v>
      </c>
      <c r="F2172">
        <v>38</v>
      </c>
      <c r="G2172">
        <v>38.700000000000003</v>
      </c>
      <c r="H2172" t="s">
        <v>46</v>
      </c>
      <c r="I2172" t="s">
        <v>47</v>
      </c>
    </row>
    <row r="2173" spans="1:9" x14ac:dyDescent="0.35">
      <c r="A2173" s="1">
        <v>45364</v>
      </c>
      <c r="B2173" t="s">
        <v>30</v>
      </c>
      <c r="C2173" t="s">
        <v>31</v>
      </c>
      <c r="D2173" t="s">
        <v>28</v>
      </c>
      <c r="E2173" t="s">
        <v>29</v>
      </c>
      <c r="F2173">
        <v>32</v>
      </c>
      <c r="G2173">
        <v>32</v>
      </c>
      <c r="H2173" t="s">
        <v>46</v>
      </c>
      <c r="I2173" t="s">
        <v>47</v>
      </c>
    </row>
    <row r="2174" spans="1:9" x14ac:dyDescent="0.35">
      <c r="A2174" s="1">
        <v>45364</v>
      </c>
      <c r="B2174" t="s">
        <v>33</v>
      </c>
      <c r="C2174" t="s">
        <v>34</v>
      </c>
      <c r="D2174" t="s">
        <v>15</v>
      </c>
      <c r="E2174" t="s">
        <v>16</v>
      </c>
      <c r="F2174">
        <v>34</v>
      </c>
      <c r="G2174">
        <v>33.4</v>
      </c>
      <c r="H2174" t="s">
        <v>46</v>
      </c>
      <c r="I2174" t="s">
        <v>47</v>
      </c>
    </row>
    <row r="2175" spans="1:9" x14ac:dyDescent="0.35">
      <c r="A2175" s="1">
        <v>45364</v>
      </c>
      <c r="B2175" t="s">
        <v>33</v>
      </c>
      <c r="C2175" t="s">
        <v>34</v>
      </c>
      <c r="D2175" t="s">
        <v>18</v>
      </c>
      <c r="E2175" t="s">
        <v>19</v>
      </c>
      <c r="F2175">
        <v>38</v>
      </c>
      <c r="G2175">
        <v>39.4</v>
      </c>
      <c r="H2175" t="s">
        <v>46</v>
      </c>
      <c r="I2175" t="s">
        <v>47</v>
      </c>
    </row>
    <row r="2176" spans="1:9" x14ac:dyDescent="0.35">
      <c r="A2176" s="1">
        <v>45364</v>
      </c>
      <c r="B2176" t="s">
        <v>33</v>
      </c>
      <c r="C2176" t="s">
        <v>34</v>
      </c>
      <c r="D2176" t="s">
        <v>21</v>
      </c>
      <c r="E2176" t="s">
        <v>22</v>
      </c>
      <c r="F2176">
        <v>32</v>
      </c>
      <c r="G2176">
        <v>34.799999999999997</v>
      </c>
      <c r="H2176" t="s">
        <v>46</v>
      </c>
      <c r="I2176" t="s">
        <v>47</v>
      </c>
    </row>
    <row r="2177" spans="1:9" x14ac:dyDescent="0.35">
      <c r="A2177" s="1">
        <v>45364</v>
      </c>
      <c r="B2177" t="s">
        <v>33</v>
      </c>
      <c r="C2177" t="s">
        <v>34</v>
      </c>
      <c r="D2177" t="s">
        <v>24</v>
      </c>
      <c r="E2177" t="s">
        <v>25</v>
      </c>
      <c r="F2177">
        <v>50</v>
      </c>
      <c r="G2177">
        <v>49.5</v>
      </c>
      <c r="H2177" t="s">
        <v>46</v>
      </c>
      <c r="I2177" t="s">
        <v>47</v>
      </c>
    </row>
    <row r="2178" spans="1:9" x14ac:dyDescent="0.35">
      <c r="A2178" s="1">
        <v>45364</v>
      </c>
      <c r="B2178" t="s">
        <v>33</v>
      </c>
      <c r="C2178" t="s">
        <v>34</v>
      </c>
      <c r="D2178" t="s">
        <v>26</v>
      </c>
      <c r="E2178" t="s">
        <v>27</v>
      </c>
      <c r="F2178">
        <v>38</v>
      </c>
      <c r="G2178">
        <v>38.5</v>
      </c>
      <c r="H2178" t="s">
        <v>46</v>
      </c>
      <c r="I2178" t="s">
        <v>47</v>
      </c>
    </row>
    <row r="2179" spans="1:9" x14ac:dyDescent="0.35">
      <c r="A2179" s="1">
        <v>45364</v>
      </c>
      <c r="B2179" t="s">
        <v>33</v>
      </c>
      <c r="C2179" t="s">
        <v>34</v>
      </c>
      <c r="D2179" t="s">
        <v>28</v>
      </c>
      <c r="E2179" t="s">
        <v>29</v>
      </c>
      <c r="F2179">
        <v>32</v>
      </c>
      <c r="G2179">
        <v>32.200000000000003</v>
      </c>
      <c r="H2179" t="s">
        <v>46</v>
      </c>
      <c r="I2179" t="s">
        <v>47</v>
      </c>
    </row>
    <row r="2180" spans="1:9" x14ac:dyDescent="0.35">
      <c r="A2180" s="1">
        <v>45364</v>
      </c>
      <c r="B2180" t="s">
        <v>36</v>
      </c>
      <c r="C2180" t="s">
        <v>37</v>
      </c>
      <c r="D2180" t="s">
        <v>15</v>
      </c>
      <c r="E2180" t="s">
        <v>16</v>
      </c>
      <c r="F2180">
        <v>34</v>
      </c>
      <c r="G2180">
        <v>33.799999999999997</v>
      </c>
      <c r="H2180" t="s">
        <v>46</v>
      </c>
      <c r="I2180" t="s">
        <v>47</v>
      </c>
    </row>
    <row r="2181" spans="1:9" x14ac:dyDescent="0.35">
      <c r="A2181" s="1">
        <v>45364</v>
      </c>
      <c r="B2181" t="s">
        <v>36</v>
      </c>
      <c r="C2181" t="s">
        <v>37</v>
      </c>
      <c r="D2181" t="s">
        <v>18</v>
      </c>
      <c r="E2181" t="s">
        <v>19</v>
      </c>
      <c r="F2181">
        <v>38</v>
      </c>
      <c r="G2181">
        <v>38.700000000000003</v>
      </c>
      <c r="H2181" t="s">
        <v>46</v>
      </c>
      <c r="I2181" t="s">
        <v>47</v>
      </c>
    </row>
    <row r="2182" spans="1:9" x14ac:dyDescent="0.35">
      <c r="A2182" s="1">
        <v>45364</v>
      </c>
      <c r="B2182" t="s">
        <v>36</v>
      </c>
      <c r="C2182" t="s">
        <v>37</v>
      </c>
      <c r="D2182" t="s">
        <v>21</v>
      </c>
      <c r="E2182" t="s">
        <v>22</v>
      </c>
      <c r="F2182">
        <v>32</v>
      </c>
      <c r="G2182">
        <v>34.200000000000003</v>
      </c>
      <c r="H2182" t="s">
        <v>46</v>
      </c>
      <c r="I2182" t="s">
        <v>47</v>
      </c>
    </row>
    <row r="2183" spans="1:9" x14ac:dyDescent="0.35">
      <c r="A2183" s="1">
        <v>45364</v>
      </c>
      <c r="B2183" t="s">
        <v>36</v>
      </c>
      <c r="C2183" t="s">
        <v>37</v>
      </c>
      <c r="D2183" t="s">
        <v>24</v>
      </c>
      <c r="E2183" t="s">
        <v>25</v>
      </c>
      <c r="F2183">
        <v>50</v>
      </c>
      <c r="G2183">
        <v>49.5</v>
      </c>
      <c r="H2183" t="s">
        <v>46</v>
      </c>
      <c r="I2183" t="s">
        <v>47</v>
      </c>
    </row>
    <row r="2184" spans="1:9" x14ac:dyDescent="0.35">
      <c r="A2184" s="1">
        <v>45364</v>
      </c>
      <c r="B2184" t="s">
        <v>36</v>
      </c>
      <c r="C2184" t="s">
        <v>37</v>
      </c>
      <c r="D2184" t="s">
        <v>26</v>
      </c>
      <c r="E2184" t="s">
        <v>27</v>
      </c>
      <c r="F2184">
        <v>38</v>
      </c>
      <c r="G2184">
        <v>39.4</v>
      </c>
      <c r="H2184" t="s">
        <v>46</v>
      </c>
      <c r="I2184" t="s">
        <v>47</v>
      </c>
    </row>
    <row r="2185" spans="1:9" x14ac:dyDescent="0.35">
      <c r="A2185" s="1">
        <v>45364</v>
      </c>
      <c r="B2185" t="s">
        <v>36</v>
      </c>
      <c r="C2185" t="s">
        <v>37</v>
      </c>
      <c r="D2185" t="s">
        <v>28</v>
      </c>
      <c r="E2185" t="s">
        <v>29</v>
      </c>
      <c r="F2185">
        <v>32</v>
      </c>
      <c r="G2185">
        <v>38.1</v>
      </c>
      <c r="H2185" t="s">
        <v>48</v>
      </c>
      <c r="I2185" t="s">
        <v>50</v>
      </c>
    </row>
    <row r="2186" spans="1:9" x14ac:dyDescent="0.35">
      <c r="A2186" s="1">
        <v>45364</v>
      </c>
      <c r="B2186" t="s">
        <v>39</v>
      </c>
      <c r="C2186" t="s">
        <v>40</v>
      </c>
      <c r="D2186" t="s">
        <v>15</v>
      </c>
      <c r="E2186" t="s">
        <v>16</v>
      </c>
      <c r="F2186">
        <v>34</v>
      </c>
      <c r="G2186">
        <v>34.299999999999997</v>
      </c>
      <c r="H2186" t="s">
        <v>46</v>
      </c>
      <c r="I2186" t="s">
        <v>47</v>
      </c>
    </row>
    <row r="2187" spans="1:9" x14ac:dyDescent="0.35">
      <c r="A2187" s="1">
        <v>45364</v>
      </c>
      <c r="B2187" t="s">
        <v>39</v>
      </c>
      <c r="C2187" t="s">
        <v>40</v>
      </c>
      <c r="D2187" t="s">
        <v>18</v>
      </c>
      <c r="E2187" t="s">
        <v>19</v>
      </c>
      <c r="F2187">
        <v>38</v>
      </c>
      <c r="G2187">
        <v>38.200000000000003</v>
      </c>
      <c r="H2187" t="s">
        <v>46</v>
      </c>
      <c r="I2187" t="s">
        <v>47</v>
      </c>
    </row>
    <row r="2188" spans="1:9" x14ac:dyDescent="0.35">
      <c r="A2188" s="1">
        <v>45364</v>
      </c>
      <c r="B2188" t="s">
        <v>39</v>
      </c>
      <c r="C2188" t="s">
        <v>40</v>
      </c>
      <c r="D2188" t="s">
        <v>21</v>
      </c>
      <c r="E2188" t="s">
        <v>22</v>
      </c>
      <c r="F2188">
        <v>32</v>
      </c>
      <c r="G2188">
        <v>33.700000000000003</v>
      </c>
      <c r="H2188" t="s">
        <v>46</v>
      </c>
      <c r="I2188" t="s">
        <v>47</v>
      </c>
    </row>
    <row r="2189" spans="1:9" x14ac:dyDescent="0.35">
      <c r="A2189" s="1">
        <v>45364</v>
      </c>
      <c r="B2189" t="s">
        <v>39</v>
      </c>
      <c r="C2189" t="s">
        <v>40</v>
      </c>
      <c r="D2189" t="s">
        <v>24</v>
      </c>
      <c r="E2189" t="s">
        <v>25</v>
      </c>
      <c r="F2189">
        <v>50</v>
      </c>
      <c r="G2189">
        <v>58.3</v>
      </c>
      <c r="H2189" t="s">
        <v>48</v>
      </c>
      <c r="I2189" t="s">
        <v>50</v>
      </c>
    </row>
    <row r="2190" spans="1:9" x14ac:dyDescent="0.35">
      <c r="A2190" s="1">
        <v>45364</v>
      </c>
      <c r="B2190" t="s">
        <v>39</v>
      </c>
      <c r="C2190" t="s">
        <v>40</v>
      </c>
      <c r="D2190" t="s">
        <v>26</v>
      </c>
      <c r="E2190" t="s">
        <v>27</v>
      </c>
      <c r="F2190">
        <v>38</v>
      </c>
      <c r="G2190">
        <v>40.4</v>
      </c>
      <c r="H2190" t="s">
        <v>46</v>
      </c>
      <c r="I2190" t="s">
        <v>47</v>
      </c>
    </row>
    <row r="2191" spans="1:9" x14ac:dyDescent="0.35">
      <c r="A2191" s="1">
        <v>45364</v>
      </c>
      <c r="B2191" t="s">
        <v>39</v>
      </c>
      <c r="C2191" t="s">
        <v>40</v>
      </c>
      <c r="D2191" t="s">
        <v>28</v>
      </c>
      <c r="E2191" t="s">
        <v>29</v>
      </c>
      <c r="F2191">
        <v>32</v>
      </c>
      <c r="G2191">
        <v>31.1</v>
      </c>
      <c r="H2191" t="s">
        <v>46</v>
      </c>
      <c r="I2191" t="s">
        <v>47</v>
      </c>
    </row>
    <row r="2192" spans="1:9" x14ac:dyDescent="0.35">
      <c r="A2192" s="1">
        <v>45365</v>
      </c>
      <c r="B2192" t="s">
        <v>12</v>
      </c>
      <c r="C2192" t="s">
        <v>13</v>
      </c>
      <c r="D2192" t="s">
        <v>15</v>
      </c>
      <c r="E2192" t="s">
        <v>16</v>
      </c>
      <c r="F2192">
        <v>34</v>
      </c>
      <c r="G2192">
        <v>35</v>
      </c>
      <c r="H2192" t="s">
        <v>46</v>
      </c>
      <c r="I2192" t="s">
        <v>47</v>
      </c>
    </row>
    <row r="2193" spans="1:9" x14ac:dyDescent="0.35">
      <c r="A2193" s="1">
        <v>45365</v>
      </c>
      <c r="B2193" t="s">
        <v>12</v>
      </c>
      <c r="C2193" t="s">
        <v>13</v>
      </c>
      <c r="D2193" t="s">
        <v>18</v>
      </c>
      <c r="E2193" t="s">
        <v>19</v>
      </c>
      <c r="F2193">
        <v>38</v>
      </c>
      <c r="G2193">
        <v>38.1</v>
      </c>
      <c r="H2193" t="s">
        <v>46</v>
      </c>
      <c r="I2193" t="s">
        <v>47</v>
      </c>
    </row>
    <row r="2194" spans="1:9" x14ac:dyDescent="0.35">
      <c r="A2194" s="1">
        <v>45365</v>
      </c>
      <c r="B2194" t="s">
        <v>12</v>
      </c>
      <c r="C2194" t="s">
        <v>13</v>
      </c>
      <c r="D2194" t="s">
        <v>21</v>
      </c>
      <c r="E2194" t="s">
        <v>22</v>
      </c>
      <c r="F2194">
        <v>32</v>
      </c>
      <c r="G2194">
        <v>33.299999999999997</v>
      </c>
      <c r="H2194" t="s">
        <v>46</v>
      </c>
      <c r="I2194" t="s">
        <v>47</v>
      </c>
    </row>
    <row r="2195" spans="1:9" x14ac:dyDescent="0.35">
      <c r="A2195" s="1">
        <v>45365</v>
      </c>
      <c r="B2195" t="s">
        <v>12</v>
      </c>
      <c r="C2195" t="s">
        <v>13</v>
      </c>
      <c r="D2195" t="s">
        <v>24</v>
      </c>
      <c r="E2195" t="s">
        <v>25</v>
      </c>
      <c r="F2195">
        <v>50</v>
      </c>
      <c r="G2195">
        <v>49.9</v>
      </c>
      <c r="H2195" t="s">
        <v>46</v>
      </c>
      <c r="I2195" t="s">
        <v>47</v>
      </c>
    </row>
    <row r="2196" spans="1:9" x14ac:dyDescent="0.35">
      <c r="A2196" s="1">
        <v>45365</v>
      </c>
      <c r="B2196" t="s">
        <v>12</v>
      </c>
      <c r="C2196" t="s">
        <v>13</v>
      </c>
      <c r="D2196" t="s">
        <v>26</v>
      </c>
      <c r="E2196" t="s">
        <v>27</v>
      </c>
      <c r="F2196">
        <v>38</v>
      </c>
      <c r="G2196">
        <v>40.9</v>
      </c>
      <c r="H2196" t="s">
        <v>46</v>
      </c>
      <c r="I2196" t="s">
        <v>47</v>
      </c>
    </row>
    <row r="2197" spans="1:9" x14ac:dyDescent="0.35">
      <c r="A2197" s="1">
        <v>45365</v>
      </c>
      <c r="B2197" t="s">
        <v>12</v>
      </c>
      <c r="C2197" t="s">
        <v>13</v>
      </c>
      <c r="D2197" t="s">
        <v>28</v>
      </c>
      <c r="E2197" t="s">
        <v>29</v>
      </c>
      <c r="F2197">
        <v>32</v>
      </c>
      <c r="G2197">
        <v>44.5</v>
      </c>
      <c r="H2197" t="s">
        <v>48</v>
      </c>
      <c r="I2197" t="s">
        <v>49</v>
      </c>
    </row>
    <row r="2198" spans="1:9" x14ac:dyDescent="0.35">
      <c r="A2198" s="1">
        <v>45365</v>
      </c>
      <c r="B2198" t="s">
        <v>30</v>
      </c>
      <c r="C2198" t="s">
        <v>31</v>
      </c>
      <c r="D2198" t="s">
        <v>15</v>
      </c>
      <c r="E2198" t="s">
        <v>16</v>
      </c>
      <c r="F2198">
        <v>34</v>
      </c>
      <c r="G2198">
        <v>45.7</v>
      </c>
      <c r="H2198" t="s">
        <v>48</v>
      </c>
      <c r="I2198" t="s">
        <v>49</v>
      </c>
    </row>
    <row r="2199" spans="1:9" x14ac:dyDescent="0.35">
      <c r="A2199" s="1">
        <v>45365</v>
      </c>
      <c r="B2199" t="s">
        <v>30</v>
      </c>
      <c r="C2199" t="s">
        <v>31</v>
      </c>
      <c r="D2199" t="s">
        <v>18</v>
      </c>
      <c r="E2199" t="s">
        <v>19</v>
      </c>
      <c r="F2199">
        <v>38</v>
      </c>
      <c r="G2199">
        <v>40.700000000000003</v>
      </c>
      <c r="H2199" t="s">
        <v>46</v>
      </c>
      <c r="I2199" t="s">
        <v>47</v>
      </c>
    </row>
    <row r="2200" spans="1:9" x14ac:dyDescent="0.35">
      <c r="A2200" s="1">
        <v>45365</v>
      </c>
      <c r="B2200" t="s">
        <v>30</v>
      </c>
      <c r="C2200" t="s">
        <v>31</v>
      </c>
      <c r="D2200" t="s">
        <v>21</v>
      </c>
      <c r="E2200" t="s">
        <v>22</v>
      </c>
      <c r="F2200">
        <v>32</v>
      </c>
      <c r="G2200">
        <v>33.9</v>
      </c>
      <c r="H2200" t="s">
        <v>46</v>
      </c>
      <c r="I2200" t="s">
        <v>47</v>
      </c>
    </row>
    <row r="2201" spans="1:9" x14ac:dyDescent="0.35">
      <c r="A2201" s="1">
        <v>45365</v>
      </c>
      <c r="B2201" t="s">
        <v>30</v>
      </c>
      <c r="C2201" t="s">
        <v>31</v>
      </c>
      <c r="D2201" t="s">
        <v>24</v>
      </c>
      <c r="E2201" t="s">
        <v>25</v>
      </c>
      <c r="F2201">
        <v>50</v>
      </c>
      <c r="G2201">
        <v>52.1</v>
      </c>
      <c r="H2201" t="s">
        <v>46</v>
      </c>
      <c r="I2201" t="s">
        <v>47</v>
      </c>
    </row>
    <row r="2202" spans="1:9" x14ac:dyDescent="0.35">
      <c r="A2202" s="1">
        <v>45365</v>
      </c>
      <c r="B2202" t="s">
        <v>30</v>
      </c>
      <c r="C2202" t="s">
        <v>31</v>
      </c>
      <c r="D2202" t="s">
        <v>26</v>
      </c>
      <c r="E2202" t="s">
        <v>27</v>
      </c>
      <c r="F2202">
        <v>38</v>
      </c>
      <c r="G2202">
        <v>39.9</v>
      </c>
      <c r="H2202" t="s">
        <v>46</v>
      </c>
      <c r="I2202" t="s">
        <v>47</v>
      </c>
    </row>
    <row r="2203" spans="1:9" x14ac:dyDescent="0.35">
      <c r="A2203" s="1">
        <v>45365</v>
      </c>
      <c r="B2203" t="s">
        <v>30</v>
      </c>
      <c r="C2203" t="s">
        <v>31</v>
      </c>
      <c r="D2203" t="s">
        <v>28</v>
      </c>
      <c r="E2203" t="s">
        <v>29</v>
      </c>
      <c r="F2203">
        <v>32</v>
      </c>
      <c r="G2203">
        <v>34.299999999999997</v>
      </c>
      <c r="H2203" t="s">
        <v>46</v>
      </c>
      <c r="I2203" t="s">
        <v>47</v>
      </c>
    </row>
    <row r="2204" spans="1:9" x14ac:dyDescent="0.35">
      <c r="A2204" s="1">
        <v>45365</v>
      </c>
      <c r="B2204" t="s">
        <v>33</v>
      </c>
      <c r="C2204" t="s">
        <v>34</v>
      </c>
      <c r="D2204" t="s">
        <v>15</v>
      </c>
      <c r="E2204" t="s">
        <v>16</v>
      </c>
      <c r="F2204">
        <v>34</v>
      </c>
      <c r="G2204">
        <v>33.6</v>
      </c>
      <c r="H2204" t="s">
        <v>46</v>
      </c>
      <c r="I2204" t="s">
        <v>47</v>
      </c>
    </row>
    <row r="2205" spans="1:9" x14ac:dyDescent="0.35">
      <c r="A2205" s="1">
        <v>45365</v>
      </c>
      <c r="B2205" t="s">
        <v>33</v>
      </c>
      <c r="C2205" t="s">
        <v>34</v>
      </c>
      <c r="D2205" t="s">
        <v>18</v>
      </c>
      <c r="E2205" t="s">
        <v>19</v>
      </c>
      <c r="F2205">
        <v>38</v>
      </c>
      <c r="G2205">
        <v>47.1</v>
      </c>
      <c r="H2205" t="s">
        <v>48</v>
      </c>
      <c r="I2205" t="s">
        <v>50</v>
      </c>
    </row>
    <row r="2206" spans="1:9" x14ac:dyDescent="0.35">
      <c r="A2206" s="1">
        <v>45365</v>
      </c>
      <c r="B2206" t="s">
        <v>33</v>
      </c>
      <c r="C2206" t="s">
        <v>34</v>
      </c>
      <c r="D2206" t="s">
        <v>21</v>
      </c>
      <c r="E2206" t="s">
        <v>22</v>
      </c>
      <c r="F2206">
        <v>32</v>
      </c>
      <c r="G2206">
        <v>32.9</v>
      </c>
      <c r="H2206" t="s">
        <v>46</v>
      </c>
      <c r="I2206" t="s">
        <v>47</v>
      </c>
    </row>
    <row r="2207" spans="1:9" x14ac:dyDescent="0.35">
      <c r="A2207" s="1">
        <v>45365</v>
      </c>
      <c r="B2207" t="s">
        <v>33</v>
      </c>
      <c r="C2207" t="s">
        <v>34</v>
      </c>
      <c r="D2207" t="s">
        <v>24</v>
      </c>
      <c r="E2207" t="s">
        <v>25</v>
      </c>
      <c r="F2207">
        <v>50</v>
      </c>
      <c r="G2207">
        <v>50.6</v>
      </c>
      <c r="H2207" t="s">
        <v>46</v>
      </c>
      <c r="I2207" t="s">
        <v>47</v>
      </c>
    </row>
    <row r="2208" spans="1:9" x14ac:dyDescent="0.35">
      <c r="A2208" s="1">
        <v>45365</v>
      </c>
      <c r="B2208" t="s">
        <v>33</v>
      </c>
      <c r="C2208" t="s">
        <v>34</v>
      </c>
      <c r="D2208" t="s">
        <v>26</v>
      </c>
      <c r="E2208" t="s">
        <v>27</v>
      </c>
      <c r="F2208">
        <v>38</v>
      </c>
      <c r="G2208">
        <v>49.8</v>
      </c>
      <c r="H2208" t="s">
        <v>48</v>
      </c>
      <c r="I2208" t="s">
        <v>49</v>
      </c>
    </row>
    <row r="2209" spans="1:9" x14ac:dyDescent="0.35">
      <c r="A2209" s="1">
        <v>45365</v>
      </c>
      <c r="B2209" t="s">
        <v>33</v>
      </c>
      <c r="C2209" t="s">
        <v>34</v>
      </c>
      <c r="D2209" t="s">
        <v>28</v>
      </c>
      <c r="E2209" t="s">
        <v>29</v>
      </c>
      <c r="F2209">
        <v>32</v>
      </c>
      <c r="G2209">
        <v>34.700000000000003</v>
      </c>
      <c r="H2209" t="s">
        <v>46</v>
      </c>
      <c r="I2209" t="s">
        <v>47</v>
      </c>
    </row>
    <row r="2210" spans="1:9" x14ac:dyDescent="0.35">
      <c r="A2210" s="1">
        <v>45365</v>
      </c>
      <c r="B2210" t="s">
        <v>36</v>
      </c>
      <c r="C2210" t="s">
        <v>37</v>
      </c>
      <c r="D2210" t="s">
        <v>15</v>
      </c>
      <c r="E2210" t="s">
        <v>16</v>
      </c>
      <c r="F2210">
        <v>34</v>
      </c>
      <c r="G2210">
        <v>35.200000000000003</v>
      </c>
      <c r="H2210" t="s">
        <v>46</v>
      </c>
      <c r="I2210" t="s">
        <v>47</v>
      </c>
    </row>
    <row r="2211" spans="1:9" x14ac:dyDescent="0.35">
      <c r="A2211" s="1">
        <v>45365</v>
      </c>
      <c r="B2211" t="s">
        <v>36</v>
      </c>
      <c r="C2211" t="s">
        <v>37</v>
      </c>
      <c r="D2211" t="s">
        <v>18</v>
      </c>
      <c r="E2211" t="s">
        <v>19</v>
      </c>
      <c r="F2211">
        <v>38</v>
      </c>
      <c r="G2211">
        <v>46.6</v>
      </c>
      <c r="H2211" t="s">
        <v>48</v>
      </c>
      <c r="I2211" t="s">
        <v>50</v>
      </c>
    </row>
    <row r="2212" spans="1:9" x14ac:dyDescent="0.35">
      <c r="A2212" s="1">
        <v>45365</v>
      </c>
      <c r="B2212" t="s">
        <v>36</v>
      </c>
      <c r="C2212" t="s">
        <v>37</v>
      </c>
      <c r="D2212" t="s">
        <v>21</v>
      </c>
      <c r="E2212" t="s">
        <v>22</v>
      </c>
      <c r="F2212">
        <v>32</v>
      </c>
      <c r="G2212">
        <v>34.5</v>
      </c>
      <c r="H2212" t="s">
        <v>46</v>
      </c>
      <c r="I2212" t="s">
        <v>47</v>
      </c>
    </row>
    <row r="2213" spans="1:9" x14ac:dyDescent="0.35">
      <c r="A2213" s="1">
        <v>45365</v>
      </c>
      <c r="B2213" t="s">
        <v>36</v>
      </c>
      <c r="C2213" t="s">
        <v>37</v>
      </c>
      <c r="D2213" t="s">
        <v>24</v>
      </c>
      <c r="E2213" t="s">
        <v>25</v>
      </c>
      <c r="F2213">
        <v>50</v>
      </c>
      <c r="G2213">
        <v>63.5</v>
      </c>
      <c r="H2213" t="s">
        <v>48</v>
      </c>
      <c r="I2213" t="s">
        <v>49</v>
      </c>
    </row>
    <row r="2214" spans="1:9" x14ac:dyDescent="0.35">
      <c r="A2214" s="1">
        <v>45365</v>
      </c>
      <c r="B2214" t="s">
        <v>36</v>
      </c>
      <c r="C2214" t="s">
        <v>37</v>
      </c>
      <c r="D2214" t="s">
        <v>26</v>
      </c>
      <c r="E2214" t="s">
        <v>27</v>
      </c>
      <c r="F2214">
        <v>38</v>
      </c>
      <c r="G2214">
        <v>39.6</v>
      </c>
      <c r="H2214" t="s">
        <v>46</v>
      </c>
      <c r="I2214" t="s">
        <v>47</v>
      </c>
    </row>
    <row r="2215" spans="1:9" x14ac:dyDescent="0.35">
      <c r="A2215" s="1">
        <v>45365</v>
      </c>
      <c r="B2215" t="s">
        <v>36</v>
      </c>
      <c r="C2215" t="s">
        <v>37</v>
      </c>
      <c r="D2215" t="s">
        <v>28</v>
      </c>
      <c r="E2215" t="s">
        <v>29</v>
      </c>
      <c r="F2215">
        <v>32</v>
      </c>
      <c r="G2215">
        <v>32.799999999999997</v>
      </c>
      <c r="H2215" t="s">
        <v>46</v>
      </c>
      <c r="I2215" t="s">
        <v>47</v>
      </c>
    </row>
    <row r="2216" spans="1:9" x14ac:dyDescent="0.35">
      <c r="A2216" s="1">
        <v>45365</v>
      </c>
      <c r="B2216" t="s">
        <v>39</v>
      </c>
      <c r="C2216" t="s">
        <v>40</v>
      </c>
      <c r="D2216" t="s">
        <v>15</v>
      </c>
      <c r="E2216" t="s">
        <v>16</v>
      </c>
      <c r="F2216">
        <v>34</v>
      </c>
      <c r="G2216">
        <v>36.6</v>
      </c>
      <c r="H2216" t="s">
        <v>46</v>
      </c>
      <c r="I2216" t="s">
        <v>47</v>
      </c>
    </row>
    <row r="2217" spans="1:9" x14ac:dyDescent="0.35">
      <c r="A2217" s="1">
        <v>45365</v>
      </c>
      <c r="B2217" t="s">
        <v>39</v>
      </c>
      <c r="C2217" t="s">
        <v>40</v>
      </c>
      <c r="D2217" t="s">
        <v>18</v>
      </c>
      <c r="E2217" t="s">
        <v>19</v>
      </c>
      <c r="F2217">
        <v>38</v>
      </c>
      <c r="G2217">
        <v>40.200000000000003</v>
      </c>
      <c r="H2217" t="s">
        <v>46</v>
      </c>
      <c r="I2217" t="s">
        <v>47</v>
      </c>
    </row>
    <row r="2218" spans="1:9" x14ac:dyDescent="0.35">
      <c r="A2218" s="1">
        <v>45365</v>
      </c>
      <c r="B2218" t="s">
        <v>39</v>
      </c>
      <c r="C2218" t="s">
        <v>40</v>
      </c>
      <c r="D2218" t="s">
        <v>21</v>
      </c>
      <c r="E2218" t="s">
        <v>22</v>
      </c>
      <c r="F2218">
        <v>32</v>
      </c>
      <c r="G2218">
        <v>33.6</v>
      </c>
      <c r="H2218" t="s">
        <v>46</v>
      </c>
      <c r="I2218" t="s">
        <v>47</v>
      </c>
    </row>
    <row r="2219" spans="1:9" x14ac:dyDescent="0.35">
      <c r="A2219" s="1">
        <v>45365</v>
      </c>
      <c r="B2219" t="s">
        <v>39</v>
      </c>
      <c r="C2219" t="s">
        <v>40</v>
      </c>
      <c r="D2219" t="s">
        <v>24</v>
      </c>
      <c r="E2219" t="s">
        <v>25</v>
      </c>
      <c r="F2219">
        <v>50</v>
      </c>
      <c r="G2219">
        <v>52.4</v>
      </c>
      <c r="H2219" t="s">
        <v>46</v>
      </c>
      <c r="I2219" t="s">
        <v>47</v>
      </c>
    </row>
    <row r="2220" spans="1:9" x14ac:dyDescent="0.35">
      <c r="A2220" s="1">
        <v>45365</v>
      </c>
      <c r="B2220" t="s">
        <v>39</v>
      </c>
      <c r="C2220" t="s">
        <v>40</v>
      </c>
      <c r="D2220" t="s">
        <v>26</v>
      </c>
      <c r="E2220" t="s">
        <v>27</v>
      </c>
      <c r="F2220">
        <v>38</v>
      </c>
      <c r="G2220">
        <v>50.3</v>
      </c>
      <c r="H2220" t="s">
        <v>48</v>
      </c>
      <c r="I2220" t="s">
        <v>49</v>
      </c>
    </row>
    <row r="2221" spans="1:9" x14ac:dyDescent="0.35">
      <c r="A2221" s="1">
        <v>45365</v>
      </c>
      <c r="B2221" t="s">
        <v>39</v>
      </c>
      <c r="C2221" t="s">
        <v>40</v>
      </c>
      <c r="D2221" t="s">
        <v>28</v>
      </c>
      <c r="E2221" t="s">
        <v>29</v>
      </c>
      <c r="F2221">
        <v>32</v>
      </c>
      <c r="G2221">
        <v>32.5</v>
      </c>
      <c r="H2221" t="s">
        <v>46</v>
      </c>
      <c r="I2221" t="s">
        <v>47</v>
      </c>
    </row>
    <row r="2222" spans="1:9" x14ac:dyDescent="0.35">
      <c r="A2222" s="1">
        <v>45366</v>
      </c>
      <c r="B2222" t="s">
        <v>12</v>
      </c>
      <c r="C2222" t="s">
        <v>13</v>
      </c>
      <c r="D2222" t="s">
        <v>15</v>
      </c>
      <c r="E2222" t="s">
        <v>16</v>
      </c>
      <c r="F2222">
        <v>34</v>
      </c>
      <c r="G2222">
        <v>35.700000000000003</v>
      </c>
      <c r="H2222" t="s">
        <v>46</v>
      </c>
      <c r="I2222" t="s">
        <v>47</v>
      </c>
    </row>
    <row r="2223" spans="1:9" x14ac:dyDescent="0.35">
      <c r="A2223" s="1">
        <v>45366</v>
      </c>
      <c r="B2223" t="s">
        <v>12</v>
      </c>
      <c r="C2223" t="s">
        <v>13</v>
      </c>
      <c r="D2223" t="s">
        <v>18</v>
      </c>
      <c r="E2223" t="s">
        <v>19</v>
      </c>
      <c r="F2223">
        <v>38</v>
      </c>
      <c r="G2223">
        <v>44.5</v>
      </c>
      <c r="H2223" t="s">
        <v>48</v>
      </c>
      <c r="I2223" t="s">
        <v>50</v>
      </c>
    </row>
    <row r="2224" spans="1:9" x14ac:dyDescent="0.35">
      <c r="A2224" s="1">
        <v>45366</v>
      </c>
      <c r="B2224" t="s">
        <v>12</v>
      </c>
      <c r="C2224" t="s">
        <v>13</v>
      </c>
      <c r="D2224" t="s">
        <v>21</v>
      </c>
      <c r="E2224" t="s">
        <v>22</v>
      </c>
      <c r="F2224">
        <v>32</v>
      </c>
      <c r="G2224">
        <v>32.9</v>
      </c>
      <c r="H2224" t="s">
        <v>46</v>
      </c>
      <c r="I2224" t="s">
        <v>47</v>
      </c>
    </row>
    <row r="2225" spans="1:9" x14ac:dyDescent="0.35">
      <c r="A2225" s="1">
        <v>45366</v>
      </c>
      <c r="B2225" t="s">
        <v>12</v>
      </c>
      <c r="C2225" t="s">
        <v>13</v>
      </c>
      <c r="D2225" t="s">
        <v>24</v>
      </c>
      <c r="E2225" t="s">
        <v>25</v>
      </c>
      <c r="F2225">
        <v>50</v>
      </c>
      <c r="G2225">
        <v>49.5</v>
      </c>
      <c r="H2225" t="s">
        <v>46</v>
      </c>
      <c r="I2225" t="s">
        <v>47</v>
      </c>
    </row>
    <row r="2226" spans="1:9" x14ac:dyDescent="0.35">
      <c r="A2226" s="1">
        <v>45366</v>
      </c>
      <c r="B2226" t="s">
        <v>12</v>
      </c>
      <c r="C2226" t="s">
        <v>13</v>
      </c>
      <c r="D2226" t="s">
        <v>26</v>
      </c>
      <c r="E2226" t="s">
        <v>27</v>
      </c>
      <c r="F2226">
        <v>38</v>
      </c>
      <c r="G2226">
        <v>38.4</v>
      </c>
      <c r="H2226" t="s">
        <v>46</v>
      </c>
      <c r="I2226" t="s">
        <v>47</v>
      </c>
    </row>
    <row r="2227" spans="1:9" x14ac:dyDescent="0.35">
      <c r="A2227" s="1">
        <v>45366</v>
      </c>
      <c r="B2227" t="s">
        <v>12</v>
      </c>
      <c r="C2227" t="s">
        <v>13</v>
      </c>
      <c r="D2227" t="s">
        <v>28</v>
      </c>
      <c r="E2227" t="s">
        <v>29</v>
      </c>
      <c r="F2227">
        <v>32</v>
      </c>
      <c r="G2227">
        <v>31.6</v>
      </c>
      <c r="H2227" t="s">
        <v>46</v>
      </c>
      <c r="I2227" t="s">
        <v>47</v>
      </c>
    </row>
    <row r="2228" spans="1:9" x14ac:dyDescent="0.35">
      <c r="A2228" s="1">
        <v>45366</v>
      </c>
      <c r="B2228" t="s">
        <v>30</v>
      </c>
      <c r="C2228" t="s">
        <v>31</v>
      </c>
      <c r="D2228" t="s">
        <v>15</v>
      </c>
      <c r="E2228" t="s">
        <v>16</v>
      </c>
      <c r="F2228">
        <v>34</v>
      </c>
      <c r="G2228">
        <v>34</v>
      </c>
      <c r="H2228" t="s">
        <v>46</v>
      </c>
      <c r="I2228" t="s">
        <v>47</v>
      </c>
    </row>
    <row r="2229" spans="1:9" x14ac:dyDescent="0.35">
      <c r="A2229" s="1">
        <v>45366</v>
      </c>
      <c r="B2229" t="s">
        <v>30</v>
      </c>
      <c r="C2229" t="s">
        <v>31</v>
      </c>
      <c r="D2229" t="s">
        <v>18</v>
      </c>
      <c r="E2229" t="s">
        <v>19</v>
      </c>
      <c r="F2229">
        <v>38</v>
      </c>
      <c r="G2229">
        <v>47.2</v>
      </c>
      <c r="H2229" t="s">
        <v>48</v>
      </c>
      <c r="I2229" t="s">
        <v>50</v>
      </c>
    </row>
    <row r="2230" spans="1:9" x14ac:dyDescent="0.35">
      <c r="A2230" s="1">
        <v>45366</v>
      </c>
      <c r="B2230" t="s">
        <v>30</v>
      </c>
      <c r="C2230" t="s">
        <v>31</v>
      </c>
      <c r="D2230" t="s">
        <v>21</v>
      </c>
      <c r="E2230" t="s">
        <v>22</v>
      </c>
      <c r="F2230">
        <v>32</v>
      </c>
      <c r="G2230">
        <v>33.4</v>
      </c>
      <c r="H2230" t="s">
        <v>46</v>
      </c>
      <c r="I2230" t="s">
        <v>47</v>
      </c>
    </row>
    <row r="2231" spans="1:9" x14ac:dyDescent="0.35">
      <c r="A2231" s="1">
        <v>45366</v>
      </c>
      <c r="B2231" t="s">
        <v>30</v>
      </c>
      <c r="C2231" t="s">
        <v>31</v>
      </c>
      <c r="D2231" t="s">
        <v>24</v>
      </c>
      <c r="E2231" t="s">
        <v>25</v>
      </c>
      <c r="F2231">
        <v>50</v>
      </c>
      <c r="G2231">
        <v>62</v>
      </c>
      <c r="H2231" t="s">
        <v>48</v>
      </c>
      <c r="I2231" t="s">
        <v>49</v>
      </c>
    </row>
    <row r="2232" spans="1:9" x14ac:dyDescent="0.35">
      <c r="A2232" s="1">
        <v>45366</v>
      </c>
      <c r="B2232" t="s">
        <v>30</v>
      </c>
      <c r="C2232" t="s">
        <v>31</v>
      </c>
      <c r="D2232" t="s">
        <v>26</v>
      </c>
      <c r="E2232" t="s">
        <v>27</v>
      </c>
      <c r="F2232">
        <v>38</v>
      </c>
      <c r="G2232">
        <v>41</v>
      </c>
      <c r="H2232" t="s">
        <v>46</v>
      </c>
      <c r="I2232" t="s">
        <v>47</v>
      </c>
    </row>
    <row r="2233" spans="1:9" x14ac:dyDescent="0.35">
      <c r="A2233" s="1">
        <v>45366</v>
      </c>
      <c r="B2233" t="s">
        <v>30</v>
      </c>
      <c r="C2233" t="s">
        <v>31</v>
      </c>
      <c r="D2233" t="s">
        <v>28</v>
      </c>
      <c r="E2233" t="s">
        <v>29</v>
      </c>
      <c r="F2233">
        <v>32</v>
      </c>
      <c r="G2233">
        <v>31.4</v>
      </c>
      <c r="H2233" t="s">
        <v>46</v>
      </c>
      <c r="I2233" t="s">
        <v>47</v>
      </c>
    </row>
    <row r="2234" spans="1:9" x14ac:dyDescent="0.35">
      <c r="A2234" s="1">
        <v>45366</v>
      </c>
      <c r="B2234" t="s">
        <v>33</v>
      </c>
      <c r="C2234" t="s">
        <v>34</v>
      </c>
      <c r="D2234" t="s">
        <v>15</v>
      </c>
      <c r="E2234" t="s">
        <v>16</v>
      </c>
      <c r="F2234">
        <v>34</v>
      </c>
      <c r="G2234">
        <v>36.299999999999997</v>
      </c>
      <c r="H2234" t="s">
        <v>46</v>
      </c>
      <c r="I2234" t="s">
        <v>47</v>
      </c>
    </row>
    <row r="2235" spans="1:9" x14ac:dyDescent="0.35">
      <c r="A2235" s="1">
        <v>45366</v>
      </c>
      <c r="B2235" t="s">
        <v>33</v>
      </c>
      <c r="C2235" t="s">
        <v>34</v>
      </c>
      <c r="D2235" t="s">
        <v>18</v>
      </c>
      <c r="E2235" t="s">
        <v>19</v>
      </c>
      <c r="F2235">
        <v>38</v>
      </c>
      <c r="G2235">
        <v>39.5</v>
      </c>
      <c r="H2235" t="s">
        <v>46</v>
      </c>
      <c r="I2235" t="s">
        <v>47</v>
      </c>
    </row>
    <row r="2236" spans="1:9" x14ac:dyDescent="0.35">
      <c r="A2236" s="1">
        <v>45366</v>
      </c>
      <c r="B2236" t="s">
        <v>33</v>
      </c>
      <c r="C2236" t="s">
        <v>34</v>
      </c>
      <c r="D2236" t="s">
        <v>21</v>
      </c>
      <c r="E2236" t="s">
        <v>22</v>
      </c>
      <c r="F2236">
        <v>32</v>
      </c>
      <c r="G2236">
        <v>31</v>
      </c>
      <c r="H2236" t="s">
        <v>46</v>
      </c>
      <c r="I2236" t="s">
        <v>47</v>
      </c>
    </row>
    <row r="2237" spans="1:9" x14ac:dyDescent="0.35">
      <c r="A2237" s="1">
        <v>45366</v>
      </c>
      <c r="B2237" t="s">
        <v>33</v>
      </c>
      <c r="C2237" t="s">
        <v>34</v>
      </c>
      <c r="D2237" t="s">
        <v>24</v>
      </c>
      <c r="E2237" t="s">
        <v>25</v>
      </c>
      <c r="F2237">
        <v>50</v>
      </c>
      <c r="G2237">
        <v>57</v>
      </c>
      <c r="H2237" t="s">
        <v>48</v>
      </c>
      <c r="I2237" t="s">
        <v>50</v>
      </c>
    </row>
    <row r="2238" spans="1:9" x14ac:dyDescent="0.35">
      <c r="A2238" s="1">
        <v>45366</v>
      </c>
      <c r="B2238" t="s">
        <v>33</v>
      </c>
      <c r="C2238" t="s">
        <v>34</v>
      </c>
      <c r="D2238" t="s">
        <v>26</v>
      </c>
      <c r="E2238" t="s">
        <v>27</v>
      </c>
      <c r="F2238">
        <v>38</v>
      </c>
      <c r="G2238">
        <v>40.6</v>
      </c>
      <c r="H2238" t="s">
        <v>46</v>
      </c>
      <c r="I2238" t="s">
        <v>47</v>
      </c>
    </row>
    <row r="2239" spans="1:9" x14ac:dyDescent="0.35">
      <c r="A2239" s="1">
        <v>45366</v>
      </c>
      <c r="B2239" t="s">
        <v>33</v>
      </c>
      <c r="C2239" t="s">
        <v>34</v>
      </c>
      <c r="D2239" t="s">
        <v>28</v>
      </c>
      <c r="E2239" t="s">
        <v>29</v>
      </c>
      <c r="F2239">
        <v>32</v>
      </c>
      <c r="G2239">
        <v>33.299999999999997</v>
      </c>
      <c r="H2239" t="s">
        <v>46</v>
      </c>
      <c r="I2239" t="s">
        <v>47</v>
      </c>
    </row>
    <row r="2240" spans="1:9" x14ac:dyDescent="0.35">
      <c r="A2240" s="1">
        <v>45366</v>
      </c>
      <c r="B2240" t="s">
        <v>36</v>
      </c>
      <c r="C2240" t="s">
        <v>37</v>
      </c>
      <c r="D2240" t="s">
        <v>15</v>
      </c>
      <c r="E2240" t="s">
        <v>16</v>
      </c>
      <c r="F2240">
        <v>34</v>
      </c>
      <c r="G2240">
        <v>34.9</v>
      </c>
      <c r="H2240" t="s">
        <v>46</v>
      </c>
      <c r="I2240" t="s">
        <v>47</v>
      </c>
    </row>
    <row r="2241" spans="1:9" x14ac:dyDescent="0.35">
      <c r="A2241" s="1">
        <v>45366</v>
      </c>
      <c r="B2241" t="s">
        <v>36</v>
      </c>
      <c r="C2241" t="s">
        <v>37</v>
      </c>
      <c r="D2241" t="s">
        <v>18</v>
      </c>
      <c r="E2241" t="s">
        <v>19</v>
      </c>
      <c r="F2241">
        <v>38</v>
      </c>
      <c r="G2241">
        <v>37.4</v>
      </c>
      <c r="H2241" t="s">
        <v>46</v>
      </c>
      <c r="I2241" t="s">
        <v>47</v>
      </c>
    </row>
    <row r="2242" spans="1:9" x14ac:dyDescent="0.35">
      <c r="A2242" s="1">
        <v>45366</v>
      </c>
      <c r="B2242" t="s">
        <v>36</v>
      </c>
      <c r="C2242" t="s">
        <v>37</v>
      </c>
      <c r="D2242" t="s">
        <v>21</v>
      </c>
      <c r="E2242" t="s">
        <v>22</v>
      </c>
      <c r="F2242">
        <v>32</v>
      </c>
      <c r="G2242">
        <v>32.5</v>
      </c>
      <c r="H2242" t="s">
        <v>46</v>
      </c>
      <c r="I2242" t="s">
        <v>47</v>
      </c>
    </row>
    <row r="2243" spans="1:9" x14ac:dyDescent="0.35">
      <c r="A2243" s="1">
        <v>45366</v>
      </c>
      <c r="B2243" t="s">
        <v>36</v>
      </c>
      <c r="C2243" t="s">
        <v>37</v>
      </c>
      <c r="D2243" t="s">
        <v>24</v>
      </c>
      <c r="E2243" t="s">
        <v>25</v>
      </c>
      <c r="F2243">
        <v>50</v>
      </c>
      <c r="G2243">
        <v>51.8</v>
      </c>
      <c r="H2243" t="s">
        <v>46</v>
      </c>
      <c r="I2243" t="s">
        <v>47</v>
      </c>
    </row>
    <row r="2244" spans="1:9" x14ac:dyDescent="0.35">
      <c r="A2244" s="1">
        <v>45366</v>
      </c>
      <c r="B2244" t="s">
        <v>36</v>
      </c>
      <c r="C2244" t="s">
        <v>37</v>
      </c>
      <c r="D2244" t="s">
        <v>26</v>
      </c>
      <c r="E2244" t="s">
        <v>27</v>
      </c>
      <c r="F2244">
        <v>38</v>
      </c>
      <c r="G2244">
        <v>37.5</v>
      </c>
      <c r="H2244" t="s">
        <v>46</v>
      </c>
      <c r="I2244" t="s">
        <v>47</v>
      </c>
    </row>
    <row r="2245" spans="1:9" x14ac:dyDescent="0.35">
      <c r="A2245" s="1">
        <v>45366</v>
      </c>
      <c r="B2245" t="s">
        <v>36</v>
      </c>
      <c r="C2245" t="s">
        <v>37</v>
      </c>
      <c r="D2245" t="s">
        <v>28</v>
      </c>
      <c r="E2245" t="s">
        <v>29</v>
      </c>
      <c r="F2245">
        <v>32</v>
      </c>
      <c r="G2245">
        <v>33.9</v>
      </c>
      <c r="H2245" t="s">
        <v>46</v>
      </c>
      <c r="I2245" t="s">
        <v>47</v>
      </c>
    </row>
    <row r="2246" spans="1:9" x14ac:dyDescent="0.35">
      <c r="A2246" s="1">
        <v>45366</v>
      </c>
      <c r="B2246" t="s">
        <v>39</v>
      </c>
      <c r="C2246" t="s">
        <v>40</v>
      </c>
      <c r="D2246" t="s">
        <v>15</v>
      </c>
      <c r="E2246" t="s">
        <v>16</v>
      </c>
      <c r="F2246">
        <v>34</v>
      </c>
      <c r="G2246">
        <v>35.200000000000003</v>
      </c>
      <c r="H2246" t="s">
        <v>46</v>
      </c>
      <c r="I2246" t="s">
        <v>47</v>
      </c>
    </row>
    <row r="2247" spans="1:9" x14ac:dyDescent="0.35">
      <c r="A2247" s="1">
        <v>45366</v>
      </c>
      <c r="B2247" t="s">
        <v>39</v>
      </c>
      <c r="C2247" t="s">
        <v>40</v>
      </c>
      <c r="D2247" t="s">
        <v>18</v>
      </c>
      <c r="E2247" t="s">
        <v>19</v>
      </c>
      <c r="F2247">
        <v>38</v>
      </c>
      <c r="G2247">
        <v>39.799999999999997</v>
      </c>
      <c r="H2247" t="s">
        <v>46</v>
      </c>
      <c r="I2247" t="s">
        <v>47</v>
      </c>
    </row>
    <row r="2248" spans="1:9" x14ac:dyDescent="0.35">
      <c r="A2248" s="1">
        <v>45366</v>
      </c>
      <c r="B2248" t="s">
        <v>39</v>
      </c>
      <c r="C2248" t="s">
        <v>40</v>
      </c>
      <c r="D2248" t="s">
        <v>21</v>
      </c>
      <c r="E2248" t="s">
        <v>22</v>
      </c>
      <c r="F2248">
        <v>32</v>
      </c>
      <c r="G2248">
        <v>34.299999999999997</v>
      </c>
      <c r="H2248" t="s">
        <v>46</v>
      </c>
      <c r="I2248" t="s">
        <v>47</v>
      </c>
    </row>
    <row r="2249" spans="1:9" x14ac:dyDescent="0.35">
      <c r="A2249" s="1">
        <v>45366</v>
      </c>
      <c r="B2249" t="s">
        <v>39</v>
      </c>
      <c r="C2249" t="s">
        <v>40</v>
      </c>
      <c r="D2249" t="s">
        <v>24</v>
      </c>
      <c r="E2249" t="s">
        <v>25</v>
      </c>
      <c r="F2249">
        <v>50</v>
      </c>
      <c r="G2249">
        <v>51.1</v>
      </c>
      <c r="H2249" t="s">
        <v>46</v>
      </c>
      <c r="I2249" t="s">
        <v>47</v>
      </c>
    </row>
    <row r="2250" spans="1:9" x14ac:dyDescent="0.35">
      <c r="A2250" s="1">
        <v>45366</v>
      </c>
      <c r="B2250" t="s">
        <v>39</v>
      </c>
      <c r="C2250" t="s">
        <v>40</v>
      </c>
      <c r="D2250" t="s">
        <v>26</v>
      </c>
      <c r="E2250" t="s">
        <v>27</v>
      </c>
      <c r="F2250">
        <v>38</v>
      </c>
      <c r="G2250">
        <v>50.7</v>
      </c>
      <c r="H2250" t="s">
        <v>48</v>
      </c>
      <c r="I2250" t="s">
        <v>49</v>
      </c>
    </row>
    <row r="2251" spans="1:9" x14ac:dyDescent="0.35">
      <c r="A2251" s="1">
        <v>45366</v>
      </c>
      <c r="B2251" t="s">
        <v>39</v>
      </c>
      <c r="C2251" t="s">
        <v>40</v>
      </c>
      <c r="D2251" t="s">
        <v>28</v>
      </c>
      <c r="E2251" t="s">
        <v>29</v>
      </c>
      <c r="F2251">
        <v>32</v>
      </c>
      <c r="G2251">
        <v>34.299999999999997</v>
      </c>
      <c r="H2251" t="s">
        <v>46</v>
      </c>
      <c r="I2251" t="s">
        <v>47</v>
      </c>
    </row>
    <row r="2252" spans="1:9" x14ac:dyDescent="0.35">
      <c r="A2252" s="1">
        <v>45367</v>
      </c>
      <c r="B2252" t="s">
        <v>12</v>
      </c>
      <c r="C2252" t="s">
        <v>13</v>
      </c>
      <c r="D2252" t="s">
        <v>15</v>
      </c>
      <c r="E2252" t="s">
        <v>16</v>
      </c>
      <c r="F2252">
        <v>34</v>
      </c>
      <c r="G2252">
        <v>36</v>
      </c>
      <c r="H2252" t="s">
        <v>46</v>
      </c>
      <c r="I2252" t="s">
        <v>47</v>
      </c>
    </row>
    <row r="2253" spans="1:9" x14ac:dyDescent="0.35">
      <c r="A2253" s="1">
        <v>45367</v>
      </c>
      <c r="B2253" t="s">
        <v>12</v>
      </c>
      <c r="C2253" t="s">
        <v>13</v>
      </c>
      <c r="D2253" t="s">
        <v>18</v>
      </c>
      <c r="E2253" t="s">
        <v>19</v>
      </c>
      <c r="F2253">
        <v>38</v>
      </c>
      <c r="G2253">
        <v>39.6</v>
      </c>
      <c r="H2253" t="s">
        <v>46</v>
      </c>
      <c r="I2253" t="s">
        <v>47</v>
      </c>
    </row>
    <row r="2254" spans="1:9" x14ac:dyDescent="0.35">
      <c r="A2254" s="1">
        <v>45367</v>
      </c>
      <c r="B2254" t="s">
        <v>12</v>
      </c>
      <c r="C2254" t="s">
        <v>13</v>
      </c>
      <c r="D2254" t="s">
        <v>21</v>
      </c>
      <c r="E2254" t="s">
        <v>22</v>
      </c>
      <c r="F2254">
        <v>32</v>
      </c>
      <c r="G2254">
        <v>44.9</v>
      </c>
      <c r="H2254" t="s">
        <v>48</v>
      </c>
      <c r="I2254" t="s">
        <v>49</v>
      </c>
    </row>
    <row r="2255" spans="1:9" x14ac:dyDescent="0.35">
      <c r="A2255" s="1">
        <v>45367</v>
      </c>
      <c r="B2255" t="s">
        <v>12</v>
      </c>
      <c r="C2255" t="s">
        <v>13</v>
      </c>
      <c r="D2255" t="s">
        <v>24</v>
      </c>
      <c r="E2255" t="s">
        <v>25</v>
      </c>
      <c r="F2255">
        <v>50</v>
      </c>
      <c r="G2255">
        <v>49</v>
      </c>
      <c r="H2255" t="s">
        <v>46</v>
      </c>
      <c r="I2255" t="s">
        <v>47</v>
      </c>
    </row>
    <row r="2256" spans="1:9" x14ac:dyDescent="0.35">
      <c r="A2256" s="1">
        <v>45367</v>
      </c>
      <c r="B2256" t="s">
        <v>12</v>
      </c>
      <c r="C2256" t="s">
        <v>13</v>
      </c>
      <c r="D2256" t="s">
        <v>26</v>
      </c>
      <c r="E2256" t="s">
        <v>27</v>
      </c>
      <c r="F2256">
        <v>38</v>
      </c>
      <c r="G2256">
        <v>38.299999999999997</v>
      </c>
      <c r="H2256" t="s">
        <v>46</v>
      </c>
      <c r="I2256" t="s">
        <v>47</v>
      </c>
    </row>
    <row r="2257" spans="1:9" x14ac:dyDescent="0.35">
      <c r="A2257" s="1">
        <v>45367</v>
      </c>
      <c r="B2257" t="s">
        <v>12</v>
      </c>
      <c r="C2257" t="s">
        <v>13</v>
      </c>
      <c r="D2257" t="s">
        <v>28</v>
      </c>
      <c r="E2257" t="s">
        <v>29</v>
      </c>
      <c r="F2257">
        <v>32</v>
      </c>
      <c r="G2257">
        <v>42.6</v>
      </c>
      <c r="H2257" t="s">
        <v>48</v>
      </c>
      <c r="I2257" t="s">
        <v>49</v>
      </c>
    </row>
    <row r="2258" spans="1:9" x14ac:dyDescent="0.35">
      <c r="A2258" s="1">
        <v>45367</v>
      </c>
      <c r="B2258" t="s">
        <v>30</v>
      </c>
      <c r="C2258" t="s">
        <v>31</v>
      </c>
      <c r="D2258" t="s">
        <v>15</v>
      </c>
      <c r="E2258" t="s">
        <v>16</v>
      </c>
      <c r="F2258">
        <v>34</v>
      </c>
      <c r="G2258">
        <v>33.4</v>
      </c>
      <c r="H2258" t="s">
        <v>46</v>
      </c>
      <c r="I2258" t="s">
        <v>47</v>
      </c>
    </row>
    <row r="2259" spans="1:9" x14ac:dyDescent="0.35">
      <c r="A2259" s="1">
        <v>45367</v>
      </c>
      <c r="B2259" t="s">
        <v>30</v>
      </c>
      <c r="C2259" t="s">
        <v>31</v>
      </c>
      <c r="D2259" t="s">
        <v>18</v>
      </c>
      <c r="E2259" t="s">
        <v>19</v>
      </c>
      <c r="F2259">
        <v>38</v>
      </c>
      <c r="G2259">
        <v>40</v>
      </c>
      <c r="H2259" t="s">
        <v>46</v>
      </c>
      <c r="I2259" t="s">
        <v>47</v>
      </c>
    </row>
    <row r="2260" spans="1:9" x14ac:dyDescent="0.35">
      <c r="A2260" s="1">
        <v>45367</v>
      </c>
      <c r="B2260" t="s">
        <v>30</v>
      </c>
      <c r="C2260" t="s">
        <v>31</v>
      </c>
      <c r="D2260" t="s">
        <v>21</v>
      </c>
      <c r="E2260" t="s">
        <v>22</v>
      </c>
      <c r="F2260">
        <v>32</v>
      </c>
      <c r="G2260">
        <v>39</v>
      </c>
      <c r="H2260" t="s">
        <v>48</v>
      </c>
      <c r="I2260" t="s">
        <v>50</v>
      </c>
    </row>
    <row r="2261" spans="1:9" x14ac:dyDescent="0.35">
      <c r="A2261" s="1">
        <v>45367</v>
      </c>
      <c r="B2261" t="s">
        <v>30</v>
      </c>
      <c r="C2261" t="s">
        <v>31</v>
      </c>
      <c r="D2261" t="s">
        <v>24</v>
      </c>
      <c r="E2261" t="s">
        <v>25</v>
      </c>
      <c r="F2261">
        <v>50</v>
      </c>
      <c r="G2261">
        <v>52.9</v>
      </c>
      <c r="H2261" t="s">
        <v>46</v>
      </c>
      <c r="I2261" t="s">
        <v>47</v>
      </c>
    </row>
    <row r="2262" spans="1:9" x14ac:dyDescent="0.35">
      <c r="A2262" s="1">
        <v>45367</v>
      </c>
      <c r="B2262" t="s">
        <v>30</v>
      </c>
      <c r="C2262" t="s">
        <v>31</v>
      </c>
      <c r="D2262" t="s">
        <v>26</v>
      </c>
      <c r="E2262" t="s">
        <v>27</v>
      </c>
      <c r="F2262">
        <v>38</v>
      </c>
      <c r="G2262">
        <v>51.8</v>
      </c>
      <c r="H2262" t="s">
        <v>48</v>
      </c>
      <c r="I2262" t="s">
        <v>49</v>
      </c>
    </row>
    <row r="2263" spans="1:9" x14ac:dyDescent="0.35">
      <c r="A2263" s="1">
        <v>45367</v>
      </c>
      <c r="B2263" t="s">
        <v>30</v>
      </c>
      <c r="C2263" t="s">
        <v>31</v>
      </c>
      <c r="D2263" t="s">
        <v>28</v>
      </c>
      <c r="E2263" t="s">
        <v>29</v>
      </c>
      <c r="F2263">
        <v>32</v>
      </c>
      <c r="G2263">
        <v>32</v>
      </c>
      <c r="H2263" t="s">
        <v>46</v>
      </c>
      <c r="I2263" t="s">
        <v>47</v>
      </c>
    </row>
    <row r="2264" spans="1:9" x14ac:dyDescent="0.35">
      <c r="A2264" s="1">
        <v>45367</v>
      </c>
      <c r="B2264" t="s">
        <v>33</v>
      </c>
      <c r="C2264" t="s">
        <v>34</v>
      </c>
      <c r="D2264" t="s">
        <v>15</v>
      </c>
      <c r="E2264" t="s">
        <v>16</v>
      </c>
      <c r="F2264">
        <v>34</v>
      </c>
      <c r="G2264">
        <v>47.6</v>
      </c>
      <c r="H2264" t="s">
        <v>48</v>
      </c>
      <c r="I2264" t="s">
        <v>49</v>
      </c>
    </row>
    <row r="2265" spans="1:9" x14ac:dyDescent="0.35">
      <c r="A2265" s="1">
        <v>45367</v>
      </c>
      <c r="B2265" t="s">
        <v>33</v>
      </c>
      <c r="C2265" t="s">
        <v>34</v>
      </c>
      <c r="D2265" t="s">
        <v>18</v>
      </c>
      <c r="E2265" t="s">
        <v>19</v>
      </c>
      <c r="F2265">
        <v>38</v>
      </c>
      <c r="G2265">
        <v>38.200000000000003</v>
      </c>
      <c r="H2265" t="s">
        <v>46</v>
      </c>
      <c r="I2265" t="s">
        <v>47</v>
      </c>
    </row>
    <row r="2266" spans="1:9" x14ac:dyDescent="0.35">
      <c r="A2266" s="1">
        <v>45367</v>
      </c>
      <c r="B2266" t="s">
        <v>33</v>
      </c>
      <c r="C2266" t="s">
        <v>34</v>
      </c>
      <c r="D2266" t="s">
        <v>21</v>
      </c>
      <c r="E2266" t="s">
        <v>22</v>
      </c>
      <c r="F2266">
        <v>32</v>
      </c>
      <c r="G2266">
        <v>31.6</v>
      </c>
      <c r="H2266" t="s">
        <v>46</v>
      </c>
      <c r="I2266" t="s">
        <v>47</v>
      </c>
    </row>
    <row r="2267" spans="1:9" x14ac:dyDescent="0.35">
      <c r="A2267" s="1">
        <v>45367</v>
      </c>
      <c r="B2267" t="s">
        <v>33</v>
      </c>
      <c r="C2267" t="s">
        <v>34</v>
      </c>
      <c r="D2267" t="s">
        <v>24</v>
      </c>
      <c r="E2267" t="s">
        <v>25</v>
      </c>
      <c r="F2267">
        <v>50</v>
      </c>
      <c r="G2267">
        <v>50.3</v>
      </c>
      <c r="H2267" t="s">
        <v>46</v>
      </c>
      <c r="I2267" t="s">
        <v>47</v>
      </c>
    </row>
    <row r="2268" spans="1:9" x14ac:dyDescent="0.35">
      <c r="A2268" s="1">
        <v>45367</v>
      </c>
      <c r="B2268" t="s">
        <v>33</v>
      </c>
      <c r="C2268" t="s">
        <v>34</v>
      </c>
      <c r="D2268" t="s">
        <v>26</v>
      </c>
      <c r="E2268" t="s">
        <v>27</v>
      </c>
      <c r="F2268">
        <v>38</v>
      </c>
      <c r="G2268">
        <v>41</v>
      </c>
      <c r="H2268" t="s">
        <v>46</v>
      </c>
      <c r="I2268" t="s">
        <v>47</v>
      </c>
    </row>
    <row r="2269" spans="1:9" x14ac:dyDescent="0.35">
      <c r="A2269" s="1">
        <v>45367</v>
      </c>
      <c r="B2269" t="s">
        <v>33</v>
      </c>
      <c r="C2269" t="s">
        <v>34</v>
      </c>
      <c r="D2269" t="s">
        <v>28</v>
      </c>
      <c r="E2269" t="s">
        <v>29</v>
      </c>
      <c r="F2269">
        <v>32</v>
      </c>
      <c r="G2269">
        <v>33</v>
      </c>
      <c r="H2269" t="s">
        <v>46</v>
      </c>
      <c r="I2269" t="s">
        <v>47</v>
      </c>
    </row>
    <row r="2270" spans="1:9" x14ac:dyDescent="0.35">
      <c r="A2270" s="1">
        <v>45367</v>
      </c>
      <c r="B2270" t="s">
        <v>36</v>
      </c>
      <c r="C2270" t="s">
        <v>37</v>
      </c>
      <c r="D2270" t="s">
        <v>15</v>
      </c>
      <c r="E2270" t="s">
        <v>16</v>
      </c>
      <c r="F2270">
        <v>34</v>
      </c>
      <c r="G2270">
        <v>35.700000000000003</v>
      </c>
      <c r="H2270" t="s">
        <v>46</v>
      </c>
      <c r="I2270" t="s">
        <v>47</v>
      </c>
    </row>
    <row r="2271" spans="1:9" x14ac:dyDescent="0.35">
      <c r="A2271" s="1">
        <v>45367</v>
      </c>
      <c r="B2271" t="s">
        <v>36</v>
      </c>
      <c r="C2271" t="s">
        <v>37</v>
      </c>
      <c r="D2271" t="s">
        <v>18</v>
      </c>
      <c r="E2271" t="s">
        <v>19</v>
      </c>
      <c r="F2271">
        <v>38</v>
      </c>
      <c r="G2271">
        <v>44.3</v>
      </c>
      <c r="H2271" t="s">
        <v>48</v>
      </c>
      <c r="I2271" t="s">
        <v>50</v>
      </c>
    </row>
    <row r="2272" spans="1:9" x14ac:dyDescent="0.35">
      <c r="A2272" s="1">
        <v>45367</v>
      </c>
      <c r="B2272" t="s">
        <v>36</v>
      </c>
      <c r="C2272" t="s">
        <v>37</v>
      </c>
      <c r="D2272" t="s">
        <v>21</v>
      </c>
      <c r="E2272" t="s">
        <v>22</v>
      </c>
      <c r="F2272">
        <v>32</v>
      </c>
      <c r="G2272">
        <v>44.8</v>
      </c>
      <c r="H2272" t="s">
        <v>48</v>
      </c>
      <c r="I2272" t="s">
        <v>49</v>
      </c>
    </row>
    <row r="2273" spans="1:9" x14ac:dyDescent="0.35">
      <c r="A2273" s="1">
        <v>45367</v>
      </c>
      <c r="B2273" t="s">
        <v>36</v>
      </c>
      <c r="C2273" t="s">
        <v>37</v>
      </c>
      <c r="D2273" t="s">
        <v>24</v>
      </c>
      <c r="E2273" t="s">
        <v>25</v>
      </c>
      <c r="F2273">
        <v>50</v>
      </c>
      <c r="G2273">
        <v>49.5</v>
      </c>
      <c r="H2273" t="s">
        <v>46</v>
      </c>
      <c r="I2273" t="s">
        <v>47</v>
      </c>
    </row>
    <row r="2274" spans="1:9" x14ac:dyDescent="0.35">
      <c r="A2274" s="1">
        <v>45367</v>
      </c>
      <c r="B2274" t="s">
        <v>36</v>
      </c>
      <c r="C2274" t="s">
        <v>37</v>
      </c>
      <c r="D2274" t="s">
        <v>26</v>
      </c>
      <c r="E2274" t="s">
        <v>27</v>
      </c>
      <c r="F2274">
        <v>38</v>
      </c>
      <c r="G2274">
        <v>39.4</v>
      </c>
      <c r="H2274" t="s">
        <v>46</v>
      </c>
      <c r="I2274" t="s">
        <v>47</v>
      </c>
    </row>
    <row r="2275" spans="1:9" x14ac:dyDescent="0.35">
      <c r="A2275" s="1">
        <v>45367</v>
      </c>
      <c r="B2275" t="s">
        <v>36</v>
      </c>
      <c r="C2275" t="s">
        <v>37</v>
      </c>
      <c r="D2275" t="s">
        <v>28</v>
      </c>
      <c r="E2275" t="s">
        <v>29</v>
      </c>
      <c r="F2275">
        <v>32</v>
      </c>
      <c r="G2275">
        <v>33.9</v>
      </c>
      <c r="H2275" t="s">
        <v>46</v>
      </c>
      <c r="I2275" t="s">
        <v>47</v>
      </c>
    </row>
    <row r="2276" spans="1:9" x14ac:dyDescent="0.35">
      <c r="A2276" s="1">
        <v>45367</v>
      </c>
      <c r="B2276" t="s">
        <v>39</v>
      </c>
      <c r="C2276" t="s">
        <v>40</v>
      </c>
      <c r="D2276" t="s">
        <v>15</v>
      </c>
      <c r="E2276" t="s">
        <v>16</v>
      </c>
      <c r="F2276">
        <v>34</v>
      </c>
      <c r="G2276">
        <v>35.200000000000003</v>
      </c>
      <c r="H2276" t="s">
        <v>46</v>
      </c>
      <c r="I2276" t="s">
        <v>47</v>
      </c>
    </row>
    <row r="2277" spans="1:9" x14ac:dyDescent="0.35">
      <c r="A2277" s="1">
        <v>45367</v>
      </c>
      <c r="B2277" t="s">
        <v>39</v>
      </c>
      <c r="C2277" t="s">
        <v>40</v>
      </c>
      <c r="D2277" t="s">
        <v>18</v>
      </c>
      <c r="E2277" t="s">
        <v>19</v>
      </c>
      <c r="F2277">
        <v>38</v>
      </c>
      <c r="G2277">
        <v>39.6</v>
      </c>
      <c r="H2277" t="s">
        <v>46</v>
      </c>
      <c r="I2277" t="s">
        <v>47</v>
      </c>
    </row>
    <row r="2278" spans="1:9" x14ac:dyDescent="0.35">
      <c r="A2278" s="1">
        <v>45367</v>
      </c>
      <c r="B2278" t="s">
        <v>39</v>
      </c>
      <c r="C2278" t="s">
        <v>40</v>
      </c>
      <c r="D2278" t="s">
        <v>21</v>
      </c>
      <c r="E2278" t="s">
        <v>22</v>
      </c>
      <c r="F2278">
        <v>32</v>
      </c>
      <c r="G2278">
        <v>41.6</v>
      </c>
      <c r="H2278" t="s">
        <v>48</v>
      </c>
      <c r="I2278" t="s">
        <v>50</v>
      </c>
    </row>
    <row r="2279" spans="1:9" x14ac:dyDescent="0.35">
      <c r="A2279" s="1">
        <v>45367</v>
      </c>
      <c r="B2279" t="s">
        <v>39</v>
      </c>
      <c r="C2279" t="s">
        <v>40</v>
      </c>
      <c r="D2279" t="s">
        <v>24</v>
      </c>
      <c r="E2279" t="s">
        <v>25</v>
      </c>
      <c r="F2279">
        <v>50</v>
      </c>
      <c r="G2279">
        <v>51.7</v>
      </c>
      <c r="H2279" t="s">
        <v>46</v>
      </c>
      <c r="I2279" t="s">
        <v>47</v>
      </c>
    </row>
    <row r="2280" spans="1:9" x14ac:dyDescent="0.35">
      <c r="A2280" s="1">
        <v>45367</v>
      </c>
      <c r="B2280" t="s">
        <v>39</v>
      </c>
      <c r="C2280" t="s">
        <v>40</v>
      </c>
      <c r="D2280" t="s">
        <v>26</v>
      </c>
      <c r="E2280" t="s">
        <v>27</v>
      </c>
      <c r="F2280">
        <v>38</v>
      </c>
      <c r="G2280">
        <v>37.6</v>
      </c>
      <c r="H2280" t="s">
        <v>46</v>
      </c>
      <c r="I2280" t="s">
        <v>47</v>
      </c>
    </row>
    <row r="2281" spans="1:9" x14ac:dyDescent="0.35">
      <c r="A2281" s="1">
        <v>45367</v>
      </c>
      <c r="B2281" t="s">
        <v>39</v>
      </c>
      <c r="C2281" t="s">
        <v>40</v>
      </c>
      <c r="D2281" t="s">
        <v>28</v>
      </c>
      <c r="E2281" t="s">
        <v>29</v>
      </c>
      <c r="F2281">
        <v>32</v>
      </c>
      <c r="G2281">
        <v>33.5</v>
      </c>
      <c r="H2281" t="s">
        <v>46</v>
      </c>
      <c r="I2281" t="s">
        <v>47</v>
      </c>
    </row>
    <row r="2282" spans="1:9" x14ac:dyDescent="0.35">
      <c r="A2282" s="1">
        <v>45368</v>
      </c>
      <c r="B2282" t="s">
        <v>12</v>
      </c>
      <c r="C2282" t="s">
        <v>13</v>
      </c>
      <c r="D2282" t="s">
        <v>15</v>
      </c>
      <c r="E2282" t="s">
        <v>16</v>
      </c>
      <c r="F2282">
        <v>34</v>
      </c>
      <c r="G2282">
        <v>35.5</v>
      </c>
      <c r="H2282" t="s">
        <v>46</v>
      </c>
      <c r="I2282" t="s">
        <v>47</v>
      </c>
    </row>
    <row r="2283" spans="1:9" x14ac:dyDescent="0.35">
      <c r="A2283" s="1">
        <v>45368</v>
      </c>
      <c r="B2283" t="s">
        <v>12</v>
      </c>
      <c r="C2283" t="s">
        <v>13</v>
      </c>
      <c r="D2283" t="s">
        <v>18</v>
      </c>
      <c r="E2283" t="s">
        <v>19</v>
      </c>
      <c r="F2283">
        <v>38</v>
      </c>
      <c r="G2283">
        <v>39.9</v>
      </c>
      <c r="H2283" t="s">
        <v>46</v>
      </c>
      <c r="I2283" t="s">
        <v>47</v>
      </c>
    </row>
    <row r="2284" spans="1:9" x14ac:dyDescent="0.35">
      <c r="A2284" s="1">
        <v>45368</v>
      </c>
      <c r="B2284" t="s">
        <v>12</v>
      </c>
      <c r="C2284" t="s">
        <v>13</v>
      </c>
      <c r="D2284" t="s">
        <v>21</v>
      </c>
      <c r="E2284" t="s">
        <v>22</v>
      </c>
      <c r="F2284">
        <v>32</v>
      </c>
      <c r="G2284">
        <v>33.6</v>
      </c>
      <c r="H2284" t="s">
        <v>46</v>
      </c>
      <c r="I2284" t="s">
        <v>47</v>
      </c>
    </row>
    <row r="2285" spans="1:9" x14ac:dyDescent="0.35">
      <c r="A2285" s="1">
        <v>45368</v>
      </c>
      <c r="B2285" t="s">
        <v>12</v>
      </c>
      <c r="C2285" t="s">
        <v>13</v>
      </c>
      <c r="D2285" t="s">
        <v>24</v>
      </c>
      <c r="E2285" t="s">
        <v>25</v>
      </c>
      <c r="F2285">
        <v>50</v>
      </c>
      <c r="G2285">
        <v>49.7</v>
      </c>
      <c r="H2285" t="s">
        <v>46</v>
      </c>
      <c r="I2285" t="s">
        <v>47</v>
      </c>
    </row>
    <row r="2286" spans="1:9" x14ac:dyDescent="0.35">
      <c r="A2286" s="1">
        <v>45368</v>
      </c>
      <c r="B2286" t="s">
        <v>12</v>
      </c>
      <c r="C2286" t="s">
        <v>13</v>
      </c>
      <c r="D2286" t="s">
        <v>26</v>
      </c>
      <c r="E2286" t="s">
        <v>27</v>
      </c>
      <c r="F2286">
        <v>38</v>
      </c>
      <c r="G2286">
        <v>38.299999999999997</v>
      </c>
      <c r="H2286" t="s">
        <v>46</v>
      </c>
      <c r="I2286" t="s">
        <v>47</v>
      </c>
    </row>
    <row r="2287" spans="1:9" x14ac:dyDescent="0.35">
      <c r="A2287" s="1">
        <v>45368</v>
      </c>
      <c r="B2287" t="s">
        <v>12</v>
      </c>
      <c r="C2287" t="s">
        <v>13</v>
      </c>
      <c r="D2287" t="s">
        <v>28</v>
      </c>
      <c r="E2287" t="s">
        <v>29</v>
      </c>
      <c r="F2287">
        <v>32</v>
      </c>
      <c r="G2287">
        <v>32.5</v>
      </c>
      <c r="H2287" t="s">
        <v>46</v>
      </c>
      <c r="I2287" t="s">
        <v>47</v>
      </c>
    </row>
    <row r="2288" spans="1:9" x14ac:dyDescent="0.35">
      <c r="A2288" s="1">
        <v>45368</v>
      </c>
      <c r="B2288" t="s">
        <v>30</v>
      </c>
      <c r="C2288" t="s">
        <v>31</v>
      </c>
      <c r="D2288" t="s">
        <v>15</v>
      </c>
      <c r="E2288" t="s">
        <v>16</v>
      </c>
      <c r="F2288">
        <v>34</v>
      </c>
      <c r="G2288">
        <v>34</v>
      </c>
      <c r="H2288" t="s">
        <v>46</v>
      </c>
      <c r="I2288" t="s">
        <v>47</v>
      </c>
    </row>
    <row r="2289" spans="1:9" x14ac:dyDescent="0.35">
      <c r="A2289" s="1">
        <v>45368</v>
      </c>
      <c r="B2289" t="s">
        <v>30</v>
      </c>
      <c r="C2289" t="s">
        <v>31</v>
      </c>
      <c r="D2289" t="s">
        <v>18</v>
      </c>
      <c r="E2289" t="s">
        <v>19</v>
      </c>
      <c r="F2289">
        <v>38</v>
      </c>
      <c r="G2289">
        <v>39.1</v>
      </c>
      <c r="H2289" t="s">
        <v>46</v>
      </c>
      <c r="I2289" t="s">
        <v>47</v>
      </c>
    </row>
    <row r="2290" spans="1:9" x14ac:dyDescent="0.35">
      <c r="A2290" s="1">
        <v>45368</v>
      </c>
      <c r="B2290" t="s">
        <v>30</v>
      </c>
      <c r="C2290" t="s">
        <v>31</v>
      </c>
      <c r="D2290" t="s">
        <v>21</v>
      </c>
      <c r="E2290" t="s">
        <v>22</v>
      </c>
      <c r="F2290">
        <v>32</v>
      </c>
      <c r="G2290">
        <v>32.6</v>
      </c>
      <c r="H2290" t="s">
        <v>46</v>
      </c>
      <c r="I2290" t="s">
        <v>47</v>
      </c>
    </row>
    <row r="2291" spans="1:9" x14ac:dyDescent="0.35">
      <c r="A2291" s="1">
        <v>45368</v>
      </c>
      <c r="B2291" t="s">
        <v>30</v>
      </c>
      <c r="C2291" t="s">
        <v>31</v>
      </c>
      <c r="D2291" t="s">
        <v>24</v>
      </c>
      <c r="E2291" t="s">
        <v>25</v>
      </c>
      <c r="F2291">
        <v>50</v>
      </c>
      <c r="G2291">
        <v>49.4</v>
      </c>
      <c r="H2291" t="s">
        <v>46</v>
      </c>
      <c r="I2291" t="s">
        <v>47</v>
      </c>
    </row>
    <row r="2292" spans="1:9" x14ac:dyDescent="0.35">
      <c r="A2292" s="1">
        <v>45368</v>
      </c>
      <c r="B2292" t="s">
        <v>30</v>
      </c>
      <c r="C2292" t="s">
        <v>31</v>
      </c>
      <c r="D2292" t="s">
        <v>26</v>
      </c>
      <c r="E2292" t="s">
        <v>27</v>
      </c>
      <c r="F2292">
        <v>38</v>
      </c>
      <c r="G2292">
        <v>40.1</v>
      </c>
      <c r="H2292" t="s">
        <v>46</v>
      </c>
      <c r="I2292" t="s">
        <v>47</v>
      </c>
    </row>
    <row r="2293" spans="1:9" x14ac:dyDescent="0.35">
      <c r="A2293" s="1">
        <v>45368</v>
      </c>
      <c r="B2293" t="s">
        <v>30</v>
      </c>
      <c r="C2293" t="s">
        <v>31</v>
      </c>
      <c r="D2293" t="s">
        <v>28</v>
      </c>
      <c r="E2293" t="s">
        <v>29</v>
      </c>
      <c r="F2293">
        <v>32</v>
      </c>
      <c r="G2293">
        <v>44.4</v>
      </c>
      <c r="H2293" t="s">
        <v>48</v>
      </c>
      <c r="I2293" t="s">
        <v>49</v>
      </c>
    </row>
    <row r="2294" spans="1:9" x14ac:dyDescent="0.35">
      <c r="A2294" s="1">
        <v>45368</v>
      </c>
      <c r="B2294" t="s">
        <v>33</v>
      </c>
      <c r="C2294" t="s">
        <v>34</v>
      </c>
      <c r="D2294" t="s">
        <v>15</v>
      </c>
      <c r="E2294" t="s">
        <v>16</v>
      </c>
      <c r="F2294">
        <v>34</v>
      </c>
      <c r="G2294">
        <v>33.4</v>
      </c>
      <c r="H2294" t="s">
        <v>46</v>
      </c>
      <c r="I2294" t="s">
        <v>47</v>
      </c>
    </row>
    <row r="2295" spans="1:9" x14ac:dyDescent="0.35">
      <c r="A2295" s="1">
        <v>45368</v>
      </c>
      <c r="B2295" t="s">
        <v>33</v>
      </c>
      <c r="C2295" t="s">
        <v>34</v>
      </c>
      <c r="D2295" t="s">
        <v>18</v>
      </c>
      <c r="E2295" t="s">
        <v>19</v>
      </c>
      <c r="F2295">
        <v>38</v>
      </c>
      <c r="G2295">
        <v>37.9</v>
      </c>
      <c r="H2295" t="s">
        <v>46</v>
      </c>
      <c r="I2295" t="s">
        <v>47</v>
      </c>
    </row>
    <row r="2296" spans="1:9" x14ac:dyDescent="0.35">
      <c r="A2296" s="1">
        <v>45368</v>
      </c>
      <c r="B2296" t="s">
        <v>33</v>
      </c>
      <c r="C2296" t="s">
        <v>34</v>
      </c>
      <c r="D2296" t="s">
        <v>21</v>
      </c>
      <c r="E2296" t="s">
        <v>22</v>
      </c>
      <c r="F2296">
        <v>32</v>
      </c>
      <c r="G2296">
        <v>34.1</v>
      </c>
      <c r="H2296" t="s">
        <v>46</v>
      </c>
      <c r="I2296" t="s">
        <v>47</v>
      </c>
    </row>
    <row r="2297" spans="1:9" x14ac:dyDescent="0.35">
      <c r="A2297" s="1">
        <v>45368</v>
      </c>
      <c r="B2297" t="s">
        <v>33</v>
      </c>
      <c r="C2297" t="s">
        <v>34</v>
      </c>
      <c r="D2297" t="s">
        <v>24</v>
      </c>
      <c r="E2297" t="s">
        <v>25</v>
      </c>
      <c r="F2297">
        <v>50</v>
      </c>
      <c r="G2297">
        <v>60.2</v>
      </c>
      <c r="H2297" t="s">
        <v>48</v>
      </c>
      <c r="I2297" t="s">
        <v>49</v>
      </c>
    </row>
    <row r="2298" spans="1:9" x14ac:dyDescent="0.35">
      <c r="A2298" s="1">
        <v>45368</v>
      </c>
      <c r="B2298" t="s">
        <v>33</v>
      </c>
      <c r="C2298" t="s">
        <v>34</v>
      </c>
      <c r="D2298" t="s">
        <v>26</v>
      </c>
      <c r="E2298" t="s">
        <v>27</v>
      </c>
      <c r="F2298">
        <v>38</v>
      </c>
      <c r="G2298">
        <v>39.4</v>
      </c>
      <c r="H2298" t="s">
        <v>46</v>
      </c>
      <c r="I2298" t="s">
        <v>47</v>
      </c>
    </row>
    <row r="2299" spans="1:9" x14ac:dyDescent="0.35">
      <c r="A2299" s="1">
        <v>45368</v>
      </c>
      <c r="B2299" t="s">
        <v>33</v>
      </c>
      <c r="C2299" t="s">
        <v>34</v>
      </c>
      <c r="D2299" t="s">
        <v>28</v>
      </c>
      <c r="E2299" t="s">
        <v>29</v>
      </c>
      <c r="F2299">
        <v>32</v>
      </c>
      <c r="G2299">
        <v>31.4</v>
      </c>
      <c r="H2299" t="s">
        <v>46</v>
      </c>
      <c r="I2299" t="s">
        <v>47</v>
      </c>
    </row>
    <row r="2300" spans="1:9" x14ac:dyDescent="0.35">
      <c r="A2300" s="1">
        <v>45368</v>
      </c>
      <c r="B2300" t="s">
        <v>36</v>
      </c>
      <c r="C2300" t="s">
        <v>37</v>
      </c>
      <c r="D2300" t="s">
        <v>15</v>
      </c>
      <c r="E2300" t="s">
        <v>16</v>
      </c>
      <c r="F2300">
        <v>34</v>
      </c>
      <c r="G2300">
        <v>35.299999999999997</v>
      </c>
      <c r="H2300" t="s">
        <v>46</v>
      </c>
      <c r="I2300" t="s">
        <v>47</v>
      </c>
    </row>
    <row r="2301" spans="1:9" x14ac:dyDescent="0.35">
      <c r="A2301" s="1">
        <v>45368</v>
      </c>
      <c r="B2301" t="s">
        <v>36</v>
      </c>
      <c r="C2301" t="s">
        <v>37</v>
      </c>
      <c r="D2301" t="s">
        <v>18</v>
      </c>
      <c r="E2301" t="s">
        <v>19</v>
      </c>
      <c r="F2301">
        <v>38</v>
      </c>
      <c r="G2301">
        <v>38.1</v>
      </c>
      <c r="H2301" t="s">
        <v>46</v>
      </c>
      <c r="I2301" t="s">
        <v>47</v>
      </c>
    </row>
    <row r="2302" spans="1:9" x14ac:dyDescent="0.35">
      <c r="A2302" s="1">
        <v>45368</v>
      </c>
      <c r="B2302" t="s">
        <v>36</v>
      </c>
      <c r="C2302" t="s">
        <v>37</v>
      </c>
      <c r="D2302" t="s">
        <v>21</v>
      </c>
      <c r="E2302" t="s">
        <v>22</v>
      </c>
      <c r="F2302">
        <v>32</v>
      </c>
      <c r="G2302">
        <v>38.4</v>
      </c>
      <c r="H2302" t="s">
        <v>48</v>
      </c>
      <c r="I2302" t="s">
        <v>50</v>
      </c>
    </row>
    <row r="2303" spans="1:9" x14ac:dyDescent="0.35">
      <c r="A2303" s="1">
        <v>45368</v>
      </c>
      <c r="B2303" t="s">
        <v>36</v>
      </c>
      <c r="C2303" t="s">
        <v>37</v>
      </c>
      <c r="D2303" t="s">
        <v>24</v>
      </c>
      <c r="E2303" t="s">
        <v>25</v>
      </c>
      <c r="F2303">
        <v>50</v>
      </c>
      <c r="G2303">
        <v>52</v>
      </c>
      <c r="H2303" t="s">
        <v>46</v>
      </c>
      <c r="I2303" t="s">
        <v>47</v>
      </c>
    </row>
    <row r="2304" spans="1:9" x14ac:dyDescent="0.35">
      <c r="A2304" s="1">
        <v>45368</v>
      </c>
      <c r="B2304" t="s">
        <v>36</v>
      </c>
      <c r="C2304" t="s">
        <v>37</v>
      </c>
      <c r="D2304" t="s">
        <v>26</v>
      </c>
      <c r="E2304" t="s">
        <v>27</v>
      </c>
      <c r="F2304">
        <v>38</v>
      </c>
      <c r="G2304">
        <v>40.200000000000003</v>
      </c>
      <c r="H2304" t="s">
        <v>46</v>
      </c>
      <c r="I2304" t="s">
        <v>47</v>
      </c>
    </row>
    <row r="2305" spans="1:9" x14ac:dyDescent="0.35">
      <c r="A2305" s="1">
        <v>45368</v>
      </c>
      <c r="B2305" t="s">
        <v>36</v>
      </c>
      <c r="C2305" t="s">
        <v>37</v>
      </c>
      <c r="D2305" t="s">
        <v>28</v>
      </c>
      <c r="E2305" t="s">
        <v>29</v>
      </c>
      <c r="F2305">
        <v>32</v>
      </c>
      <c r="G2305">
        <v>34.200000000000003</v>
      </c>
      <c r="H2305" t="s">
        <v>46</v>
      </c>
      <c r="I2305" t="s">
        <v>47</v>
      </c>
    </row>
    <row r="2306" spans="1:9" x14ac:dyDescent="0.35">
      <c r="A2306" s="1">
        <v>45368</v>
      </c>
      <c r="B2306" t="s">
        <v>39</v>
      </c>
      <c r="C2306" t="s">
        <v>40</v>
      </c>
      <c r="D2306" t="s">
        <v>15</v>
      </c>
      <c r="E2306" t="s">
        <v>16</v>
      </c>
      <c r="F2306">
        <v>34</v>
      </c>
      <c r="G2306">
        <v>36.5</v>
      </c>
      <c r="H2306" t="s">
        <v>46</v>
      </c>
      <c r="I2306" t="s">
        <v>47</v>
      </c>
    </row>
    <row r="2307" spans="1:9" x14ac:dyDescent="0.35">
      <c r="A2307" s="1">
        <v>45368</v>
      </c>
      <c r="B2307" t="s">
        <v>39</v>
      </c>
      <c r="C2307" t="s">
        <v>40</v>
      </c>
      <c r="D2307" t="s">
        <v>18</v>
      </c>
      <c r="E2307" t="s">
        <v>19</v>
      </c>
      <c r="F2307">
        <v>38</v>
      </c>
      <c r="G2307">
        <v>39.4</v>
      </c>
      <c r="H2307" t="s">
        <v>46</v>
      </c>
      <c r="I2307" t="s">
        <v>47</v>
      </c>
    </row>
    <row r="2308" spans="1:9" x14ac:dyDescent="0.35">
      <c r="A2308" s="1">
        <v>45368</v>
      </c>
      <c r="B2308" t="s">
        <v>39</v>
      </c>
      <c r="C2308" t="s">
        <v>40</v>
      </c>
      <c r="D2308" t="s">
        <v>21</v>
      </c>
      <c r="E2308" t="s">
        <v>22</v>
      </c>
      <c r="F2308">
        <v>32</v>
      </c>
      <c r="G2308">
        <v>33.700000000000003</v>
      </c>
      <c r="H2308" t="s">
        <v>46</v>
      </c>
      <c r="I2308" t="s">
        <v>47</v>
      </c>
    </row>
    <row r="2309" spans="1:9" x14ac:dyDescent="0.35">
      <c r="A2309" s="1">
        <v>45368</v>
      </c>
      <c r="B2309" t="s">
        <v>39</v>
      </c>
      <c r="C2309" t="s">
        <v>40</v>
      </c>
      <c r="D2309" t="s">
        <v>24</v>
      </c>
      <c r="E2309" t="s">
        <v>25</v>
      </c>
      <c r="F2309">
        <v>50</v>
      </c>
      <c r="G2309">
        <v>51.6</v>
      </c>
      <c r="H2309" t="s">
        <v>46</v>
      </c>
      <c r="I2309" t="s">
        <v>47</v>
      </c>
    </row>
    <row r="2310" spans="1:9" x14ac:dyDescent="0.35">
      <c r="A2310" s="1">
        <v>45368</v>
      </c>
      <c r="B2310" t="s">
        <v>39</v>
      </c>
      <c r="C2310" t="s">
        <v>40</v>
      </c>
      <c r="D2310" t="s">
        <v>26</v>
      </c>
      <c r="E2310" t="s">
        <v>27</v>
      </c>
      <c r="F2310">
        <v>38</v>
      </c>
      <c r="G2310">
        <v>48.5</v>
      </c>
      <c r="H2310" t="s">
        <v>48</v>
      </c>
      <c r="I2310" t="s">
        <v>49</v>
      </c>
    </row>
    <row r="2311" spans="1:9" x14ac:dyDescent="0.35">
      <c r="A2311" s="1">
        <v>45368</v>
      </c>
      <c r="B2311" t="s">
        <v>39</v>
      </c>
      <c r="C2311" t="s">
        <v>40</v>
      </c>
      <c r="D2311" t="s">
        <v>28</v>
      </c>
      <c r="E2311" t="s">
        <v>29</v>
      </c>
      <c r="F2311">
        <v>32</v>
      </c>
      <c r="G2311">
        <v>34.700000000000003</v>
      </c>
      <c r="H2311" t="s">
        <v>46</v>
      </c>
      <c r="I2311" t="s">
        <v>47</v>
      </c>
    </row>
    <row r="2312" spans="1:9" x14ac:dyDescent="0.35">
      <c r="A2312" s="1">
        <v>45369</v>
      </c>
      <c r="B2312" t="s">
        <v>12</v>
      </c>
      <c r="C2312" t="s">
        <v>13</v>
      </c>
      <c r="D2312" t="s">
        <v>15</v>
      </c>
      <c r="E2312" t="s">
        <v>16</v>
      </c>
      <c r="F2312">
        <v>34</v>
      </c>
      <c r="G2312">
        <v>34.5</v>
      </c>
      <c r="H2312" t="s">
        <v>46</v>
      </c>
      <c r="I2312" t="s">
        <v>47</v>
      </c>
    </row>
    <row r="2313" spans="1:9" x14ac:dyDescent="0.35">
      <c r="A2313" s="1">
        <v>45369</v>
      </c>
      <c r="B2313" t="s">
        <v>12</v>
      </c>
      <c r="C2313" t="s">
        <v>13</v>
      </c>
      <c r="D2313" t="s">
        <v>18</v>
      </c>
      <c r="E2313" t="s">
        <v>19</v>
      </c>
      <c r="F2313">
        <v>38</v>
      </c>
      <c r="G2313">
        <v>39.700000000000003</v>
      </c>
      <c r="H2313" t="s">
        <v>46</v>
      </c>
      <c r="I2313" t="s">
        <v>47</v>
      </c>
    </row>
    <row r="2314" spans="1:9" x14ac:dyDescent="0.35">
      <c r="A2314" s="1">
        <v>45369</v>
      </c>
      <c r="B2314" t="s">
        <v>12</v>
      </c>
      <c r="C2314" t="s">
        <v>13</v>
      </c>
      <c r="D2314" t="s">
        <v>21</v>
      </c>
      <c r="E2314" t="s">
        <v>22</v>
      </c>
      <c r="F2314">
        <v>32</v>
      </c>
      <c r="G2314">
        <v>32.799999999999997</v>
      </c>
      <c r="H2314" t="s">
        <v>46</v>
      </c>
      <c r="I2314" t="s">
        <v>47</v>
      </c>
    </row>
    <row r="2315" spans="1:9" x14ac:dyDescent="0.35">
      <c r="A2315" s="1">
        <v>45369</v>
      </c>
      <c r="B2315" t="s">
        <v>12</v>
      </c>
      <c r="C2315" t="s">
        <v>13</v>
      </c>
      <c r="D2315" t="s">
        <v>24</v>
      </c>
      <c r="E2315" t="s">
        <v>25</v>
      </c>
      <c r="F2315">
        <v>50</v>
      </c>
      <c r="G2315">
        <v>50.4</v>
      </c>
      <c r="H2315" t="s">
        <v>46</v>
      </c>
      <c r="I2315" t="s">
        <v>47</v>
      </c>
    </row>
    <row r="2316" spans="1:9" x14ac:dyDescent="0.35">
      <c r="A2316" s="1">
        <v>45369</v>
      </c>
      <c r="B2316" t="s">
        <v>12</v>
      </c>
      <c r="C2316" t="s">
        <v>13</v>
      </c>
      <c r="D2316" t="s">
        <v>26</v>
      </c>
      <c r="E2316" t="s">
        <v>27</v>
      </c>
      <c r="F2316">
        <v>38</v>
      </c>
      <c r="G2316">
        <v>38.1</v>
      </c>
      <c r="H2316" t="s">
        <v>46</v>
      </c>
      <c r="I2316" t="s">
        <v>47</v>
      </c>
    </row>
    <row r="2317" spans="1:9" x14ac:dyDescent="0.35">
      <c r="A2317" s="1">
        <v>45369</v>
      </c>
      <c r="B2317" t="s">
        <v>12</v>
      </c>
      <c r="C2317" t="s">
        <v>13</v>
      </c>
      <c r="D2317" t="s">
        <v>28</v>
      </c>
      <c r="E2317" t="s">
        <v>29</v>
      </c>
      <c r="F2317">
        <v>32</v>
      </c>
      <c r="G2317">
        <v>33.1</v>
      </c>
      <c r="H2317" t="s">
        <v>46</v>
      </c>
      <c r="I2317" t="s">
        <v>47</v>
      </c>
    </row>
    <row r="2318" spans="1:9" x14ac:dyDescent="0.35">
      <c r="A2318" s="1">
        <v>45369</v>
      </c>
      <c r="B2318" t="s">
        <v>30</v>
      </c>
      <c r="C2318" t="s">
        <v>31</v>
      </c>
      <c r="D2318" t="s">
        <v>15</v>
      </c>
      <c r="E2318" t="s">
        <v>16</v>
      </c>
      <c r="F2318">
        <v>34</v>
      </c>
      <c r="G2318">
        <v>36.700000000000003</v>
      </c>
      <c r="H2318" t="s">
        <v>46</v>
      </c>
      <c r="I2318" t="s">
        <v>47</v>
      </c>
    </row>
    <row r="2319" spans="1:9" x14ac:dyDescent="0.35">
      <c r="A2319" s="1">
        <v>45369</v>
      </c>
      <c r="B2319" t="s">
        <v>30</v>
      </c>
      <c r="C2319" t="s">
        <v>31</v>
      </c>
      <c r="D2319" t="s">
        <v>18</v>
      </c>
      <c r="E2319" t="s">
        <v>19</v>
      </c>
      <c r="F2319">
        <v>38</v>
      </c>
      <c r="G2319">
        <v>39.5</v>
      </c>
      <c r="H2319" t="s">
        <v>46</v>
      </c>
      <c r="I2319" t="s">
        <v>47</v>
      </c>
    </row>
    <row r="2320" spans="1:9" x14ac:dyDescent="0.35">
      <c r="A2320" s="1">
        <v>45369</v>
      </c>
      <c r="B2320" t="s">
        <v>30</v>
      </c>
      <c r="C2320" t="s">
        <v>31</v>
      </c>
      <c r="D2320" t="s">
        <v>21</v>
      </c>
      <c r="E2320" t="s">
        <v>22</v>
      </c>
      <c r="F2320">
        <v>32</v>
      </c>
      <c r="G2320">
        <v>40.4</v>
      </c>
      <c r="H2320" t="s">
        <v>48</v>
      </c>
      <c r="I2320" t="s">
        <v>50</v>
      </c>
    </row>
    <row r="2321" spans="1:9" x14ac:dyDescent="0.35">
      <c r="A2321" s="1">
        <v>45369</v>
      </c>
      <c r="B2321" t="s">
        <v>30</v>
      </c>
      <c r="C2321" t="s">
        <v>31</v>
      </c>
      <c r="D2321" t="s">
        <v>24</v>
      </c>
      <c r="E2321" t="s">
        <v>25</v>
      </c>
      <c r="F2321">
        <v>50</v>
      </c>
      <c r="G2321">
        <v>52.4</v>
      </c>
      <c r="H2321" t="s">
        <v>46</v>
      </c>
      <c r="I2321" t="s">
        <v>47</v>
      </c>
    </row>
    <row r="2322" spans="1:9" x14ac:dyDescent="0.35">
      <c r="A2322" s="1">
        <v>45369</v>
      </c>
      <c r="B2322" t="s">
        <v>30</v>
      </c>
      <c r="C2322" t="s">
        <v>31</v>
      </c>
      <c r="D2322" t="s">
        <v>26</v>
      </c>
      <c r="E2322" t="s">
        <v>27</v>
      </c>
      <c r="F2322">
        <v>38</v>
      </c>
      <c r="G2322">
        <v>37.299999999999997</v>
      </c>
      <c r="H2322" t="s">
        <v>46</v>
      </c>
      <c r="I2322" t="s">
        <v>47</v>
      </c>
    </row>
    <row r="2323" spans="1:9" x14ac:dyDescent="0.35">
      <c r="A2323" s="1">
        <v>45369</v>
      </c>
      <c r="B2323" t="s">
        <v>30</v>
      </c>
      <c r="C2323" t="s">
        <v>31</v>
      </c>
      <c r="D2323" t="s">
        <v>28</v>
      </c>
      <c r="E2323" t="s">
        <v>29</v>
      </c>
      <c r="F2323">
        <v>32</v>
      </c>
      <c r="G2323">
        <v>31.4</v>
      </c>
      <c r="H2323" t="s">
        <v>46</v>
      </c>
      <c r="I2323" t="s">
        <v>47</v>
      </c>
    </row>
    <row r="2324" spans="1:9" x14ac:dyDescent="0.35">
      <c r="A2324" s="1">
        <v>45369</v>
      </c>
      <c r="B2324" t="s">
        <v>33</v>
      </c>
      <c r="C2324" t="s">
        <v>34</v>
      </c>
      <c r="D2324" t="s">
        <v>15</v>
      </c>
      <c r="E2324" t="s">
        <v>16</v>
      </c>
      <c r="F2324">
        <v>34</v>
      </c>
      <c r="G2324">
        <v>33.299999999999997</v>
      </c>
      <c r="H2324" t="s">
        <v>46</v>
      </c>
      <c r="I2324" t="s">
        <v>47</v>
      </c>
    </row>
    <row r="2325" spans="1:9" x14ac:dyDescent="0.35">
      <c r="A2325" s="1">
        <v>45369</v>
      </c>
      <c r="B2325" t="s">
        <v>33</v>
      </c>
      <c r="C2325" t="s">
        <v>34</v>
      </c>
      <c r="D2325" t="s">
        <v>18</v>
      </c>
      <c r="E2325" t="s">
        <v>19</v>
      </c>
      <c r="F2325">
        <v>38</v>
      </c>
      <c r="G2325">
        <v>40.700000000000003</v>
      </c>
      <c r="H2325" t="s">
        <v>46</v>
      </c>
      <c r="I2325" t="s">
        <v>47</v>
      </c>
    </row>
    <row r="2326" spans="1:9" x14ac:dyDescent="0.35">
      <c r="A2326" s="1">
        <v>45369</v>
      </c>
      <c r="B2326" t="s">
        <v>33</v>
      </c>
      <c r="C2326" t="s">
        <v>34</v>
      </c>
      <c r="D2326" t="s">
        <v>21</v>
      </c>
      <c r="E2326" t="s">
        <v>22</v>
      </c>
      <c r="F2326">
        <v>32</v>
      </c>
      <c r="G2326">
        <v>31</v>
      </c>
      <c r="H2326" t="s">
        <v>46</v>
      </c>
      <c r="I2326" t="s">
        <v>47</v>
      </c>
    </row>
    <row r="2327" spans="1:9" x14ac:dyDescent="0.35">
      <c r="A2327" s="1">
        <v>45369</v>
      </c>
      <c r="B2327" t="s">
        <v>33</v>
      </c>
      <c r="C2327" t="s">
        <v>34</v>
      </c>
      <c r="D2327" t="s">
        <v>24</v>
      </c>
      <c r="E2327" t="s">
        <v>25</v>
      </c>
      <c r="F2327">
        <v>50</v>
      </c>
      <c r="G2327">
        <v>51.7</v>
      </c>
      <c r="H2327" t="s">
        <v>46</v>
      </c>
      <c r="I2327" t="s">
        <v>47</v>
      </c>
    </row>
    <row r="2328" spans="1:9" x14ac:dyDescent="0.35">
      <c r="A2328" s="1">
        <v>45369</v>
      </c>
      <c r="B2328" t="s">
        <v>33</v>
      </c>
      <c r="C2328" t="s">
        <v>34</v>
      </c>
      <c r="D2328" t="s">
        <v>26</v>
      </c>
      <c r="E2328" t="s">
        <v>27</v>
      </c>
      <c r="F2328">
        <v>38</v>
      </c>
      <c r="G2328">
        <v>37.5</v>
      </c>
      <c r="H2328" t="s">
        <v>46</v>
      </c>
      <c r="I2328" t="s">
        <v>47</v>
      </c>
    </row>
    <row r="2329" spans="1:9" x14ac:dyDescent="0.35">
      <c r="A2329" s="1">
        <v>45369</v>
      </c>
      <c r="B2329" t="s">
        <v>33</v>
      </c>
      <c r="C2329" t="s">
        <v>34</v>
      </c>
      <c r="D2329" t="s">
        <v>28</v>
      </c>
      <c r="E2329" t="s">
        <v>29</v>
      </c>
      <c r="F2329">
        <v>32</v>
      </c>
      <c r="G2329">
        <v>33.700000000000003</v>
      </c>
      <c r="H2329" t="s">
        <v>46</v>
      </c>
      <c r="I2329" t="s">
        <v>47</v>
      </c>
    </row>
    <row r="2330" spans="1:9" x14ac:dyDescent="0.35">
      <c r="A2330" s="1">
        <v>45369</v>
      </c>
      <c r="B2330" t="s">
        <v>36</v>
      </c>
      <c r="C2330" t="s">
        <v>37</v>
      </c>
      <c r="D2330" t="s">
        <v>15</v>
      </c>
      <c r="E2330" t="s">
        <v>16</v>
      </c>
      <c r="F2330">
        <v>34</v>
      </c>
      <c r="G2330">
        <v>35.1</v>
      </c>
      <c r="H2330" t="s">
        <v>46</v>
      </c>
      <c r="I2330" t="s">
        <v>47</v>
      </c>
    </row>
    <row r="2331" spans="1:9" x14ac:dyDescent="0.35">
      <c r="A2331" s="1">
        <v>45369</v>
      </c>
      <c r="B2331" t="s">
        <v>36</v>
      </c>
      <c r="C2331" t="s">
        <v>37</v>
      </c>
      <c r="D2331" t="s">
        <v>18</v>
      </c>
      <c r="E2331" t="s">
        <v>19</v>
      </c>
      <c r="F2331">
        <v>38</v>
      </c>
      <c r="G2331">
        <v>44.1</v>
      </c>
      <c r="H2331" t="s">
        <v>48</v>
      </c>
      <c r="I2331" t="s">
        <v>50</v>
      </c>
    </row>
    <row r="2332" spans="1:9" x14ac:dyDescent="0.35">
      <c r="A2332" s="1">
        <v>45369</v>
      </c>
      <c r="B2332" t="s">
        <v>36</v>
      </c>
      <c r="C2332" t="s">
        <v>37</v>
      </c>
      <c r="D2332" t="s">
        <v>21</v>
      </c>
      <c r="E2332" t="s">
        <v>22</v>
      </c>
      <c r="F2332">
        <v>32</v>
      </c>
      <c r="G2332">
        <v>34.299999999999997</v>
      </c>
      <c r="H2332" t="s">
        <v>46</v>
      </c>
      <c r="I2332" t="s">
        <v>47</v>
      </c>
    </row>
    <row r="2333" spans="1:9" x14ac:dyDescent="0.35">
      <c r="A2333" s="1">
        <v>45369</v>
      </c>
      <c r="B2333" t="s">
        <v>36</v>
      </c>
      <c r="C2333" t="s">
        <v>37</v>
      </c>
      <c r="D2333" t="s">
        <v>24</v>
      </c>
      <c r="E2333" t="s">
        <v>25</v>
      </c>
      <c r="F2333">
        <v>50</v>
      </c>
      <c r="G2333">
        <v>59.4</v>
      </c>
      <c r="H2333" t="s">
        <v>48</v>
      </c>
      <c r="I2333" t="s">
        <v>50</v>
      </c>
    </row>
    <row r="2334" spans="1:9" x14ac:dyDescent="0.35">
      <c r="A2334" s="1">
        <v>45369</v>
      </c>
      <c r="B2334" t="s">
        <v>36</v>
      </c>
      <c r="C2334" t="s">
        <v>37</v>
      </c>
      <c r="D2334" t="s">
        <v>26</v>
      </c>
      <c r="E2334" t="s">
        <v>27</v>
      </c>
      <c r="F2334">
        <v>38</v>
      </c>
      <c r="G2334">
        <v>38.4</v>
      </c>
      <c r="H2334" t="s">
        <v>46</v>
      </c>
      <c r="I2334" t="s">
        <v>47</v>
      </c>
    </row>
    <row r="2335" spans="1:9" x14ac:dyDescent="0.35">
      <c r="A2335" s="1">
        <v>45369</v>
      </c>
      <c r="B2335" t="s">
        <v>36</v>
      </c>
      <c r="C2335" t="s">
        <v>37</v>
      </c>
      <c r="D2335" t="s">
        <v>28</v>
      </c>
      <c r="E2335" t="s">
        <v>29</v>
      </c>
      <c r="F2335">
        <v>32</v>
      </c>
      <c r="G2335">
        <v>33.6</v>
      </c>
      <c r="H2335" t="s">
        <v>46</v>
      </c>
      <c r="I2335" t="s">
        <v>47</v>
      </c>
    </row>
    <row r="2336" spans="1:9" x14ac:dyDescent="0.35">
      <c r="A2336" s="1">
        <v>45369</v>
      </c>
      <c r="B2336" t="s">
        <v>39</v>
      </c>
      <c r="C2336" t="s">
        <v>40</v>
      </c>
      <c r="D2336" t="s">
        <v>15</v>
      </c>
      <c r="E2336" t="s">
        <v>16</v>
      </c>
      <c r="F2336">
        <v>34</v>
      </c>
      <c r="G2336">
        <v>37</v>
      </c>
      <c r="H2336" t="s">
        <v>46</v>
      </c>
      <c r="I2336" t="s">
        <v>47</v>
      </c>
    </row>
    <row r="2337" spans="1:9" x14ac:dyDescent="0.35">
      <c r="A2337" s="1">
        <v>45369</v>
      </c>
      <c r="B2337" t="s">
        <v>39</v>
      </c>
      <c r="C2337" t="s">
        <v>40</v>
      </c>
      <c r="D2337" t="s">
        <v>18</v>
      </c>
      <c r="E2337" t="s">
        <v>19</v>
      </c>
      <c r="F2337">
        <v>38</v>
      </c>
      <c r="G2337">
        <v>39.700000000000003</v>
      </c>
      <c r="H2337" t="s">
        <v>46</v>
      </c>
      <c r="I2337" t="s">
        <v>47</v>
      </c>
    </row>
    <row r="2338" spans="1:9" x14ac:dyDescent="0.35">
      <c r="A2338" s="1">
        <v>45369</v>
      </c>
      <c r="B2338" t="s">
        <v>39</v>
      </c>
      <c r="C2338" t="s">
        <v>40</v>
      </c>
      <c r="D2338" t="s">
        <v>21</v>
      </c>
      <c r="E2338" t="s">
        <v>22</v>
      </c>
      <c r="F2338">
        <v>32</v>
      </c>
      <c r="G2338">
        <v>41.6</v>
      </c>
      <c r="H2338" t="s">
        <v>48</v>
      </c>
      <c r="I2338" t="s">
        <v>50</v>
      </c>
    </row>
    <row r="2339" spans="1:9" x14ac:dyDescent="0.35">
      <c r="A2339" s="1">
        <v>45369</v>
      </c>
      <c r="B2339" t="s">
        <v>39</v>
      </c>
      <c r="C2339" t="s">
        <v>40</v>
      </c>
      <c r="D2339" t="s">
        <v>24</v>
      </c>
      <c r="E2339" t="s">
        <v>25</v>
      </c>
      <c r="F2339">
        <v>50</v>
      </c>
      <c r="G2339">
        <v>63.4</v>
      </c>
      <c r="H2339" t="s">
        <v>48</v>
      </c>
      <c r="I2339" t="s">
        <v>49</v>
      </c>
    </row>
    <row r="2340" spans="1:9" x14ac:dyDescent="0.35">
      <c r="A2340" s="1">
        <v>45369</v>
      </c>
      <c r="B2340" t="s">
        <v>39</v>
      </c>
      <c r="C2340" t="s">
        <v>40</v>
      </c>
      <c r="D2340" t="s">
        <v>26</v>
      </c>
      <c r="E2340" t="s">
        <v>27</v>
      </c>
      <c r="F2340">
        <v>38</v>
      </c>
      <c r="G2340">
        <v>40.6</v>
      </c>
      <c r="H2340" t="s">
        <v>46</v>
      </c>
      <c r="I2340" t="s">
        <v>47</v>
      </c>
    </row>
    <row r="2341" spans="1:9" x14ac:dyDescent="0.35">
      <c r="A2341" s="1">
        <v>45369</v>
      </c>
      <c r="B2341" t="s">
        <v>39</v>
      </c>
      <c r="C2341" t="s">
        <v>40</v>
      </c>
      <c r="D2341" t="s">
        <v>28</v>
      </c>
      <c r="E2341" t="s">
        <v>29</v>
      </c>
      <c r="F2341">
        <v>32</v>
      </c>
      <c r="G2341">
        <v>40.9</v>
      </c>
      <c r="H2341" t="s">
        <v>48</v>
      </c>
      <c r="I2341" t="s">
        <v>50</v>
      </c>
    </row>
    <row r="2342" spans="1:9" x14ac:dyDescent="0.35">
      <c r="A2342" s="1">
        <v>45370</v>
      </c>
      <c r="B2342" t="s">
        <v>12</v>
      </c>
      <c r="C2342" t="s">
        <v>13</v>
      </c>
      <c r="D2342" t="s">
        <v>15</v>
      </c>
      <c r="E2342" t="s">
        <v>16</v>
      </c>
      <c r="F2342">
        <v>34</v>
      </c>
      <c r="G2342">
        <v>42.8</v>
      </c>
      <c r="H2342" t="s">
        <v>48</v>
      </c>
      <c r="I2342" t="s">
        <v>50</v>
      </c>
    </row>
    <row r="2343" spans="1:9" x14ac:dyDescent="0.35">
      <c r="A2343" s="1">
        <v>45370</v>
      </c>
      <c r="B2343" t="s">
        <v>12</v>
      </c>
      <c r="C2343" t="s">
        <v>13</v>
      </c>
      <c r="D2343" t="s">
        <v>18</v>
      </c>
      <c r="E2343" t="s">
        <v>19</v>
      </c>
      <c r="F2343">
        <v>38</v>
      </c>
      <c r="G2343">
        <v>48</v>
      </c>
      <c r="H2343" t="s">
        <v>48</v>
      </c>
      <c r="I2343" t="s">
        <v>50</v>
      </c>
    </row>
    <row r="2344" spans="1:9" x14ac:dyDescent="0.35">
      <c r="A2344" s="1">
        <v>45370</v>
      </c>
      <c r="B2344" t="s">
        <v>12</v>
      </c>
      <c r="C2344" t="s">
        <v>13</v>
      </c>
      <c r="D2344" t="s">
        <v>21</v>
      </c>
      <c r="E2344" t="s">
        <v>22</v>
      </c>
      <c r="F2344">
        <v>32</v>
      </c>
      <c r="G2344">
        <v>45.8</v>
      </c>
      <c r="H2344" t="s">
        <v>48</v>
      </c>
      <c r="I2344" t="s">
        <v>49</v>
      </c>
    </row>
    <row r="2345" spans="1:9" x14ac:dyDescent="0.35">
      <c r="A2345" s="1">
        <v>45370</v>
      </c>
      <c r="B2345" t="s">
        <v>12</v>
      </c>
      <c r="C2345" t="s">
        <v>13</v>
      </c>
      <c r="D2345" t="s">
        <v>24</v>
      </c>
      <c r="E2345" t="s">
        <v>25</v>
      </c>
      <c r="F2345">
        <v>50</v>
      </c>
      <c r="G2345">
        <v>51.7</v>
      </c>
      <c r="H2345" t="s">
        <v>46</v>
      </c>
      <c r="I2345" t="s">
        <v>47</v>
      </c>
    </row>
    <row r="2346" spans="1:9" x14ac:dyDescent="0.35">
      <c r="A2346" s="1">
        <v>45370</v>
      </c>
      <c r="B2346" t="s">
        <v>12</v>
      </c>
      <c r="C2346" t="s">
        <v>13</v>
      </c>
      <c r="D2346" t="s">
        <v>26</v>
      </c>
      <c r="E2346" t="s">
        <v>27</v>
      </c>
      <c r="F2346">
        <v>38</v>
      </c>
      <c r="G2346">
        <v>40.4</v>
      </c>
      <c r="H2346" t="s">
        <v>46</v>
      </c>
      <c r="I2346" t="s">
        <v>47</v>
      </c>
    </row>
    <row r="2347" spans="1:9" x14ac:dyDescent="0.35">
      <c r="A2347" s="1">
        <v>45370</v>
      </c>
      <c r="B2347" t="s">
        <v>12</v>
      </c>
      <c r="C2347" t="s">
        <v>13</v>
      </c>
      <c r="D2347" t="s">
        <v>28</v>
      </c>
      <c r="E2347" t="s">
        <v>29</v>
      </c>
      <c r="F2347">
        <v>32</v>
      </c>
      <c r="G2347">
        <v>32.200000000000003</v>
      </c>
      <c r="H2347" t="s">
        <v>46</v>
      </c>
      <c r="I2347" t="s">
        <v>47</v>
      </c>
    </row>
    <row r="2348" spans="1:9" x14ac:dyDescent="0.35">
      <c r="A2348" s="1">
        <v>45370</v>
      </c>
      <c r="B2348" t="s">
        <v>30</v>
      </c>
      <c r="C2348" t="s">
        <v>31</v>
      </c>
      <c r="D2348" t="s">
        <v>15</v>
      </c>
      <c r="E2348" t="s">
        <v>16</v>
      </c>
      <c r="F2348">
        <v>34</v>
      </c>
      <c r="G2348">
        <v>34.1</v>
      </c>
      <c r="H2348" t="s">
        <v>46</v>
      </c>
      <c r="I2348" t="s">
        <v>47</v>
      </c>
    </row>
    <row r="2349" spans="1:9" x14ac:dyDescent="0.35">
      <c r="A2349" s="1">
        <v>45370</v>
      </c>
      <c r="B2349" t="s">
        <v>30</v>
      </c>
      <c r="C2349" t="s">
        <v>31</v>
      </c>
      <c r="D2349" t="s">
        <v>18</v>
      </c>
      <c r="E2349" t="s">
        <v>19</v>
      </c>
      <c r="F2349">
        <v>38</v>
      </c>
      <c r="G2349">
        <v>49</v>
      </c>
      <c r="H2349" t="s">
        <v>48</v>
      </c>
      <c r="I2349" t="s">
        <v>49</v>
      </c>
    </row>
    <row r="2350" spans="1:9" x14ac:dyDescent="0.35">
      <c r="A2350" s="1">
        <v>45370</v>
      </c>
      <c r="B2350" t="s">
        <v>30</v>
      </c>
      <c r="C2350" t="s">
        <v>31</v>
      </c>
      <c r="D2350" t="s">
        <v>21</v>
      </c>
      <c r="E2350" t="s">
        <v>22</v>
      </c>
      <c r="F2350">
        <v>32</v>
      </c>
      <c r="G2350">
        <v>34.700000000000003</v>
      </c>
      <c r="H2350" t="s">
        <v>46</v>
      </c>
      <c r="I2350" t="s">
        <v>47</v>
      </c>
    </row>
    <row r="2351" spans="1:9" x14ac:dyDescent="0.35">
      <c r="A2351" s="1">
        <v>45370</v>
      </c>
      <c r="B2351" t="s">
        <v>30</v>
      </c>
      <c r="C2351" t="s">
        <v>31</v>
      </c>
      <c r="D2351" t="s">
        <v>24</v>
      </c>
      <c r="E2351" t="s">
        <v>25</v>
      </c>
      <c r="F2351">
        <v>50</v>
      </c>
      <c r="G2351">
        <v>52.8</v>
      </c>
      <c r="H2351" t="s">
        <v>46</v>
      </c>
      <c r="I2351" t="s">
        <v>47</v>
      </c>
    </row>
    <row r="2352" spans="1:9" x14ac:dyDescent="0.35">
      <c r="A2352" s="1">
        <v>45370</v>
      </c>
      <c r="B2352" t="s">
        <v>30</v>
      </c>
      <c r="C2352" t="s">
        <v>31</v>
      </c>
      <c r="D2352" t="s">
        <v>26</v>
      </c>
      <c r="E2352" t="s">
        <v>27</v>
      </c>
      <c r="F2352">
        <v>38</v>
      </c>
      <c r="G2352">
        <v>40.6</v>
      </c>
      <c r="H2352" t="s">
        <v>46</v>
      </c>
      <c r="I2352" t="s">
        <v>47</v>
      </c>
    </row>
    <row r="2353" spans="1:9" x14ac:dyDescent="0.35">
      <c r="A2353" s="1">
        <v>45370</v>
      </c>
      <c r="B2353" t="s">
        <v>30</v>
      </c>
      <c r="C2353" t="s">
        <v>31</v>
      </c>
      <c r="D2353" t="s">
        <v>28</v>
      </c>
      <c r="E2353" t="s">
        <v>29</v>
      </c>
      <c r="F2353">
        <v>32</v>
      </c>
      <c r="G2353">
        <v>34.6</v>
      </c>
      <c r="H2353" t="s">
        <v>46</v>
      </c>
      <c r="I2353" t="s">
        <v>47</v>
      </c>
    </row>
    <row r="2354" spans="1:9" x14ac:dyDescent="0.35">
      <c r="A2354" s="1">
        <v>45370</v>
      </c>
      <c r="B2354" t="s">
        <v>33</v>
      </c>
      <c r="C2354" t="s">
        <v>34</v>
      </c>
      <c r="D2354" t="s">
        <v>15</v>
      </c>
      <c r="E2354" t="s">
        <v>16</v>
      </c>
      <c r="F2354">
        <v>34</v>
      </c>
      <c r="G2354">
        <v>33.200000000000003</v>
      </c>
      <c r="H2354" t="s">
        <v>46</v>
      </c>
      <c r="I2354" t="s">
        <v>47</v>
      </c>
    </row>
    <row r="2355" spans="1:9" x14ac:dyDescent="0.35">
      <c r="A2355" s="1">
        <v>45370</v>
      </c>
      <c r="B2355" t="s">
        <v>33</v>
      </c>
      <c r="C2355" t="s">
        <v>34</v>
      </c>
      <c r="D2355" t="s">
        <v>18</v>
      </c>
      <c r="E2355" t="s">
        <v>19</v>
      </c>
      <c r="F2355">
        <v>38</v>
      </c>
      <c r="G2355">
        <v>47.7</v>
      </c>
      <c r="H2355" t="s">
        <v>48</v>
      </c>
      <c r="I2355" t="s">
        <v>50</v>
      </c>
    </row>
    <row r="2356" spans="1:9" x14ac:dyDescent="0.35">
      <c r="A2356" s="1">
        <v>45370</v>
      </c>
      <c r="B2356" t="s">
        <v>33</v>
      </c>
      <c r="C2356" t="s">
        <v>34</v>
      </c>
      <c r="D2356" t="s">
        <v>21</v>
      </c>
      <c r="E2356" t="s">
        <v>22</v>
      </c>
      <c r="F2356">
        <v>32</v>
      </c>
      <c r="G2356">
        <v>31.4</v>
      </c>
      <c r="H2356" t="s">
        <v>46</v>
      </c>
      <c r="I2356" t="s">
        <v>47</v>
      </c>
    </row>
    <row r="2357" spans="1:9" x14ac:dyDescent="0.35">
      <c r="A2357" s="1">
        <v>45370</v>
      </c>
      <c r="B2357" t="s">
        <v>33</v>
      </c>
      <c r="C2357" t="s">
        <v>34</v>
      </c>
      <c r="D2357" t="s">
        <v>24</v>
      </c>
      <c r="E2357" t="s">
        <v>25</v>
      </c>
      <c r="F2357">
        <v>50</v>
      </c>
      <c r="G2357">
        <v>51.9</v>
      </c>
      <c r="H2357" t="s">
        <v>46</v>
      </c>
      <c r="I2357" t="s">
        <v>47</v>
      </c>
    </row>
    <row r="2358" spans="1:9" x14ac:dyDescent="0.35">
      <c r="A2358" s="1">
        <v>45370</v>
      </c>
      <c r="B2358" t="s">
        <v>33</v>
      </c>
      <c r="C2358" t="s">
        <v>34</v>
      </c>
      <c r="D2358" t="s">
        <v>26</v>
      </c>
      <c r="E2358" t="s">
        <v>27</v>
      </c>
      <c r="F2358">
        <v>38</v>
      </c>
      <c r="G2358">
        <v>37</v>
      </c>
      <c r="H2358" t="s">
        <v>46</v>
      </c>
      <c r="I2358" t="s">
        <v>47</v>
      </c>
    </row>
    <row r="2359" spans="1:9" x14ac:dyDescent="0.35">
      <c r="A2359" s="1">
        <v>45370</v>
      </c>
      <c r="B2359" t="s">
        <v>33</v>
      </c>
      <c r="C2359" t="s">
        <v>34</v>
      </c>
      <c r="D2359" t="s">
        <v>28</v>
      </c>
      <c r="E2359" t="s">
        <v>29</v>
      </c>
      <c r="F2359">
        <v>32</v>
      </c>
      <c r="G2359">
        <v>31.8</v>
      </c>
      <c r="H2359" t="s">
        <v>46</v>
      </c>
      <c r="I2359" t="s">
        <v>47</v>
      </c>
    </row>
    <row r="2360" spans="1:9" x14ac:dyDescent="0.35">
      <c r="A2360" s="1">
        <v>45370</v>
      </c>
      <c r="B2360" t="s">
        <v>36</v>
      </c>
      <c r="C2360" t="s">
        <v>37</v>
      </c>
      <c r="D2360" t="s">
        <v>15</v>
      </c>
      <c r="E2360" t="s">
        <v>16</v>
      </c>
      <c r="F2360">
        <v>34</v>
      </c>
      <c r="G2360">
        <v>36.6</v>
      </c>
      <c r="H2360" t="s">
        <v>46</v>
      </c>
      <c r="I2360" t="s">
        <v>47</v>
      </c>
    </row>
    <row r="2361" spans="1:9" x14ac:dyDescent="0.35">
      <c r="A2361" s="1">
        <v>45370</v>
      </c>
      <c r="B2361" t="s">
        <v>36</v>
      </c>
      <c r="C2361" t="s">
        <v>37</v>
      </c>
      <c r="D2361" t="s">
        <v>18</v>
      </c>
      <c r="E2361" t="s">
        <v>19</v>
      </c>
      <c r="F2361">
        <v>38</v>
      </c>
      <c r="G2361">
        <v>40.700000000000003</v>
      </c>
      <c r="H2361" t="s">
        <v>46</v>
      </c>
      <c r="I2361" t="s">
        <v>47</v>
      </c>
    </row>
    <row r="2362" spans="1:9" x14ac:dyDescent="0.35">
      <c r="A2362" s="1">
        <v>45370</v>
      </c>
      <c r="B2362" t="s">
        <v>36</v>
      </c>
      <c r="C2362" t="s">
        <v>37</v>
      </c>
      <c r="D2362" t="s">
        <v>21</v>
      </c>
      <c r="E2362" t="s">
        <v>22</v>
      </c>
      <c r="F2362">
        <v>32</v>
      </c>
      <c r="G2362">
        <v>44.2</v>
      </c>
      <c r="H2362" t="s">
        <v>48</v>
      </c>
      <c r="I2362" t="s">
        <v>49</v>
      </c>
    </row>
    <row r="2363" spans="1:9" x14ac:dyDescent="0.35">
      <c r="A2363" s="1">
        <v>45370</v>
      </c>
      <c r="B2363" t="s">
        <v>36</v>
      </c>
      <c r="C2363" t="s">
        <v>37</v>
      </c>
      <c r="D2363" t="s">
        <v>24</v>
      </c>
      <c r="E2363" t="s">
        <v>25</v>
      </c>
      <c r="F2363">
        <v>50</v>
      </c>
      <c r="G2363">
        <v>50.9</v>
      </c>
      <c r="H2363" t="s">
        <v>46</v>
      </c>
      <c r="I2363" t="s">
        <v>47</v>
      </c>
    </row>
    <row r="2364" spans="1:9" x14ac:dyDescent="0.35">
      <c r="A2364" s="1">
        <v>45370</v>
      </c>
      <c r="B2364" t="s">
        <v>36</v>
      </c>
      <c r="C2364" t="s">
        <v>37</v>
      </c>
      <c r="D2364" t="s">
        <v>26</v>
      </c>
      <c r="E2364" t="s">
        <v>27</v>
      </c>
      <c r="F2364">
        <v>38</v>
      </c>
      <c r="G2364">
        <v>38.5</v>
      </c>
      <c r="H2364" t="s">
        <v>46</v>
      </c>
      <c r="I2364" t="s">
        <v>47</v>
      </c>
    </row>
    <row r="2365" spans="1:9" x14ac:dyDescent="0.35">
      <c r="A2365" s="1">
        <v>45370</v>
      </c>
      <c r="B2365" t="s">
        <v>36</v>
      </c>
      <c r="C2365" t="s">
        <v>37</v>
      </c>
      <c r="D2365" t="s">
        <v>28</v>
      </c>
      <c r="E2365" t="s">
        <v>29</v>
      </c>
      <c r="F2365">
        <v>32</v>
      </c>
      <c r="G2365">
        <v>33.1</v>
      </c>
      <c r="H2365" t="s">
        <v>46</v>
      </c>
      <c r="I2365" t="s">
        <v>47</v>
      </c>
    </row>
    <row r="2366" spans="1:9" x14ac:dyDescent="0.35">
      <c r="A2366" s="1">
        <v>45370</v>
      </c>
      <c r="B2366" t="s">
        <v>39</v>
      </c>
      <c r="C2366" t="s">
        <v>40</v>
      </c>
      <c r="D2366" t="s">
        <v>15</v>
      </c>
      <c r="E2366" t="s">
        <v>16</v>
      </c>
      <c r="F2366">
        <v>34</v>
      </c>
      <c r="G2366">
        <v>37</v>
      </c>
      <c r="H2366" t="s">
        <v>46</v>
      </c>
      <c r="I2366" t="s">
        <v>47</v>
      </c>
    </row>
    <row r="2367" spans="1:9" x14ac:dyDescent="0.35">
      <c r="A2367" s="1">
        <v>45370</v>
      </c>
      <c r="B2367" t="s">
        <v>39</v>
      </c>
      <c r="C2367" t="s">
        <v>40</v>
      </c>
      <c r="D2367" t="s">
        <v>18</v>
      </c>
      <c r="E2367" t="s">
        <v>19</v>
      </c>
      <c r="F2367">
        <v>38</v>
      </c>
      <c r="G2367">
        <v>38.799999999999997</v>
      </c>
      <c r="H2367" t="s">
        <v>46</v>
      </c>
      <c r="I2367" t="s">
        <v>47</v>
      </c>
    </row>
    <row r="2368" spans="1:9" x14ac:dyDescent="0.35">
      <c r="A2368" s="1">
        <v>45370</v>
      </c>
      <c r="B2368" t="s">
        <v>39</v>
      </c>
      <c r="C2368" t="s">
        <v>40</v>
      </c>
      <c r="D2368" t="s">
        <v>21</v>
      </c>
      <c r="E2368" t="s">
        <v>22</v>
      </c>
      <c r="F2368">
        <v>32</v>
      </c>
      <c r="G2368">
        <v>44</v>
      </c>
      <c r="H2368" t="s">
        <v>48</v>
      </c>
      <c r="I2368" t="s">
        <v>49</v>
      </c>
    </row>
    <row r="2369" spans="1:9" x14ac:dyDescent="0.35">
      <c r="A2369" s="1">
        <v>45370</v>
      </c>
      <c r="B2369" t="s">
        <v>39</v>
      </c>
      <c r="C2369" t="s">
        <v>40</v>
      </c>
      <c r="D2369" t="s">
        <v>24</v>
      </c>
      <c r="E2369" t="s">
        <v>25</v>
      </c>
      <c r="F2369">
        <v>50</v>
      </c>
      <c r="G2369">
        <v>63.1</v>
      </c>
      <c r="H2369" t="s">
        <v>48</v>
      </c>
      <c r="I2369" t="s">
        <v>49</v>
      </c>
    </row>
    <row r="2370" spans="1:9" x14ac:dyDescent="0.35">
      <c r="A2370" s="1">
        <v>45370</v>
      </c>
      <c r="B2370" t="s">
        <v>39</v>
      </c>
      <c r="C2370" t="s">
        <v>40</v>
      </c>
      <c r="D2370" t="s">
        <v>26</v>
      </c>
      <c r="E2370" t="s">
        <v>27</v>
      </c>
      <c r="F2370">
        <v>38</v>
      </c>
      <c r="G2370">
        <v>37.4</v>
      </c>
      <c r="H2370" t="s">
        <v>46</v>
      </c>
      <c r="I2370" t="s">
        <v>47</v>
      </c>
    </row>
    <row r="2371" spans="1:9" x14ac:dyDescent="0.35">
      <c r="A2371" s="1">
        <v>45370</v>
      </c>
      <c r="B2371" t="s">
        <v>39</v>
      </c>
      <c r="C2371" t="s">
        <v>40</v>
      </c>
      <c r="D2371" t="s">
        <v>28</v>
      </c>
      <c r="E2371" t="s">
        <v>29</v>
      </c>
      <c r="F2371">
        <v>32</v>
      </c>
      <c r="G2371">
        <v>31.5</v>
      </c>
      <c r="H2371" t="s">
        <v>46</v>
      </c>
      <c r="I2371" t="s">
        <v>47</v>
      </c>
    </row>
    <row r="2372" spans="1:9" x14ac:dyDescent="0.35">
      <c r="A2372" s="1">
        <v>45371</v>
      </c>
      <c r="B2372" t="s">
        <v>12</v>
      </c>
      <c r="C2372" t="s">
        <v>13</v>
      </c>
      <c r="D2372" t="s">
        <v>15</v>
      </c>
      <c r="E2372" t="s">
        <v>16</v>
      </c>
      <c r="F2372">
        <v>34</v>
      </c>
      <c r="G2372">
        <v>34.299999999999997</v>
      </c>
      <c r="H2372" t="s">
        <v>46</v>
      </c>
      <c r="I2372" t="s">
        <v>47</v>
      </c>
    </row>
    <row r="2373" spans="1:9" x14ac:dyDescent="0.35">
      <c r="A2373" s="1">
        <v>45371</v>
      </c>
      <c r="B2373" t="s">
        <v>12</v>
      </c>
      <c r="C2373" t="s">
        <v>13</v>
      </c>
      <c r="D2373" t="s">
        <v>18</v>
      </c>
      <c r="E2373" t="s">
        <v>19</v>
      </c>
      <c r="F2373">
        <v>38</v>
      </c>
      <c r="G2373">
        <v>49.3</v>
      </c>
      <c r="H2373" t="s">
        <v>48</v>
      </c>
      <c r="I2373" t="s">
        <v>49</v>
      </c>
    </row>
    <row r="2374" spans="1:9" x14ac:dyDescent="0.35">
      <c r="A2374" s="1">
        <v>45371</v>
      </c>
      <c r="B2374" t="s">
        <v>12</v>
      </c>
      <c r="C2374" t="s">
        <v>13</v>
      </c>
      <c r="D2374" t="s">
        <v>21</v>
      </c>
      <c r="E2374" t="s">
        <v>22</v>
      </c>
      <c r="F2374">
        <v>32</v>
      </c>
      <c r="G2374">
        <v>34.799999999999997</v>
      </c>
      <c r="H2374" t="s">
        <v>46</v>
      </c>
      <c r="I2374" t="s">
        <v>47</v>
      </c>
    </row>
    <row r="2375" spans="1:9" x14ac:dyDescent="0.35">
      <c r="A2375" s="1">
        <v>45371</v>
      </c>
      <c r="B2375" t="s">
        <v>12</v>
      </c>
      <c r="C2375" t="s">
        <v>13</v>
      </c>
      <c r="D2375" t="s">
        <v>24</v>
      </c>
      <c r="E2375" t="s">
        <v>25</v>
      </c>
      <c r="F2375">
        <v>50</v>
      </c>
      <c r="G2375">
        <v>49.5</v>
      </c>
      <c r="H2375" t="s">
        <v>46</v>
      </c>
      <c r="I2375" t="s">
        <v>47</v>
      </c>
    </row>
    <row r="2376" spans="1:9" x14ac:dyDescent="0.35">
      <c r="A2376" s="1">
        <v>45371</v>
      </c>
      <c r="B2376" t="s">
        <v>12</v>
      </c>
      <c r="C2376" t="s">
        <v>13</v>
      </c>
      <c r="D2376" t="s">
        <v>26</v>
      </c>
      <c r="E2376" t="s">
        <v>27</v>
      </c>
      <c r="F2376">
        <v>38</v>
      </c>
      <c r="G2376">
        <v>39</v>
      </c>
      <c r="H2376" t="s">
        <v>46</v>
      </c>
      <c r="I2376" t="s">
        <v>47</v>
      </c>
    </row>
    <row r="2377" spans="1:9" x14ac:dyDescent="0.35">
      <c r="A2377" s="1">
        <v>45371</v>
      </c>
      <c r="B2377" t="s">
        <v>12</v>
      </c>
      <c r="C2377" t="s">
        <v>13</v>
      </c>
      <c r="D2377" t="s">
        <v>28</v>
      </c>
      <c r="E2377" t="s">
        <v>29</v>
      </c>
      <c r="F2377">
        <v>32</v>
      </c>
      <c r="G2377">
        <v>31.5</v>
      </c>
      <c r="H2377" t="s">
        <v>46</v>
      </c>
      <c r="I2377" t="s">
        <v>47</v>
      </c>
    </row>
    <row r="2378" spans="1:9" x14ac:dyDescent="0.35">
      <c r="A2378" s="1">
        <v>45371</v>
      </c>
      <c r="B2378" t="s">
        <v>30</v>
      </c>
      <c r="C2378" t="s">
        <v>31</v>
      </c>
      <c r="D2378" t="s">
        <v>15</v>
      </c>
      <c r="E2378" t="s">
        <v>16</v>
      </c>
      <c r="F2378">
        <v>34</v>
      </c>
      <c r="G2378">
        <v>36.1</v>
      </c>
      <c r="H2378" t="s">
        <v>46</v>
      </c>
      <c r="I2378" t="s">
        <v>47</v>
      </c>
    </row>
    <row r="2379" spans="1:9" x14ac:dyDescent="0.35">
      <c r="A2379" s="1">
        <v>45371</v>
      </c>
      <c r="B2379" t="s">
        <v>30</v>
      </c>
      <c r="C2379" t="s">
        <v>31</v>
      </c>
      <c r="D2379" t="s">
        <v>18</v>
      </c>
      <c r="E2379" t="s">
        <v>19</v>
      </c>
      <c r="F2379">
        <v>38</v>
      </c>
      <c r="G2379">
        <v>39.9</v>
      </c>
      <c r="H2379" t="s">
        <v>46</v>
      </c>
      <c r="I2379" t="s">
        <v>47</v>
      </c>
    </row>
    <row r="2380" spans="1:9" x14ac:dyDescent="0.35">
      <c r="A2380" s="1">
        <v>45371</v>
      </c>
      <c r="B2380" t="s">
        <v>30</v>
      </c>
      <c r="C2380" t="s">
        <v>31</v>
      </c>
      <c r="D2380" t="s">
        <v>21</v>
      </c>
      <c r="E2380" t="s">
        <v>22</v>
      </c>
      <c r="F2380">
        <v>32</v>
      </c>
      <c r="G2380">
        <v>34.299999999999997</v>
      </c>
      <c r="H2380" t="s">
        <v>46</v>
      </c>
      <c r="I2380" t="s">
        <v>47</v>
      </c>
    </row>
    <row r="2381" spans="1:9" x14ac:dyDescent="0.35">
      <c r="A2381" s="1">
        <v>45371</v>
      </c>
      <c r="B2381" t="s">
        <v>30</v>
      </c>
      <c r="C2381" t="s">
        <v>31</v>
      </c>
      <c r="D2381" t="s">
        <v>24</v>
      </c>
      <c r="E2381" t="s">
        <v>25</v>
      </c>
      <c r="F2381">
        <v>50</v>
      </c>
      <c r="G2381">
        <v>63.7</v>
      </c>
      <c r="H2381" t="s">
        <v>48</v>
      </c>
      <c r="I2381" t="s">
        <v>49</v>
      </c>
    </row>
    <row r="2382" spans="1:9" x14ac:dyDescent="0.35">
      <c r="A2382" s="1">
        <v>45371</v>
      </c>
      <c r="B2382" t="s">
        <v>30</v>
      </c>
      <c r="C2382" t="s">
        <v>31</v>
      </c>
      <c r="D2382" t="s">
        <v>26</v>
      </c>
      <c r="E2382" t="s">
        <v>27</v>
      </c>
      <c r="F2382">
        <v>38</v>
      </c>
      <c r="G2382">
        <v>37.5</v>
      </c>
      <c r="H2382" t="s">
        <v>46</v>
      </c>
      <c r="I2382" t="s">
        <v>47</v>
      </c>
    </row>
    <row r="2383" spans="1:9" x14ac:dyDescent="0.35">
      <c r="A2383" s="1">
        <v>45371</v>
      </c>
      <c r="B2383" t="s">
        <v>30</v>
      </c>
      <c r="C2383" t="s">
        <v>31</v>
      </c>
      <c r="D2383" t="s">
        <v>28</v>
      </c>
      <c r="E2383" t="s">
        <v>29</v>
      </c>
      <c r="F2383">
        <v>32</v>
      </c>
      <c r="G2383">
        <v>31.1</v>
      </c>
      <c r="H2383" t="s">
        <v>46</v>
      </c>
      <c r="I2383" t="s">
        <v>47</v>
      </c>
    </row>
    <row r="2384" spans="1:9" x14ac:dyDescent="0.35">
      <c r="A2384" s="1">
        <v>45371</v>
      </c>
      <c r="B2384" t="s">
        <v>33</v>
      </c>
      <c r="C2384" t="s">
        <v>34</v>
      </c>
      <c r="D2384" t="s">
        <v>15</v>
      </c>
      <c r="E2384" t="s">
        <v>16</v>
      </c>
      <c r="F2384">
        <v>34</v>
      </c>
      <c r="G2384">
        <v>33.200000000000003</v>
      </c>
      <c r="H2384" t="s">
        <v>46</v>
      </c>
      <c r="I2384" t="s">
        <v>47</v>
      </c>
    </row>
    <row r="2385" spans="1:9" x14ac:dyDescent="0.35">
      <c r="A2385" s="1">
        <v>45371</v>
      </c>
      <c r="B2385" t="s">
        <v>33</v>
      </c>
      <c r="C2385" t="s">
        <v>34</v>
      </c>
      <c r="D2385" t="s">
        <v>18</v>
      </c>
      <c r="E2385" t="s">
        <v>19</v>
      </c>
      <c r="F2385">
        <v>38</v>
      </c>
      <c r="G2385">
        <v>38.700000000000003</v>
      </c>
      <c r="H2385" t="s">
        <v>46</v>
      </c>
      <c r="I2385" t="s">
        <v>47</v>
      </c>
    </row>
    <row r="2386" spans="1:9" x14ac:dyDescent="0.35">
      <c r="A2386" s="1">
        <v>45371</v>
      </c>
      <c r="B2386" t="s">
        <v>33</v>
      </c>
      <c r="C2386" t="s">
        <v>34</v>
      </c>
      <c r="D2386" t="s">
        <v>21</v>
      </c>
      <c r="E2386" t="s">
        <v>22</v>
      </c>
      <c r="F2386">
        <v>32</v>
      </c>
      <c r="G2386">
        <v>31</v>
      </c>
      <c r="H2386" t="s">
        <v>46</v>
      </c>
      <c r="I2386" t="s">
        <v>47</v>
      </c>
    </row>
    <row r="2387" spans="1:9" x14ac:dyDescent="0.35">
      <c r="A2387" s="1">
        <v>45371</v>
      </c>
      <c r="B2387" t="s">
        <v>33</v>
      </c>
      <c r="C2387" t="s">
        <v>34</v>
      </c>
      <c r="D2387" t="s">
        <v>24</v>
      </c>
      <c r="E2387" t="s">
        <v>25</v>
      </c>
      <c r="F2387">
        <v>50</v>
      </c>
      <c r="G2387">
        <v>50.1</v>
      </c>
      <c r="H2387" t="s">
        <v>46</v>
      </c>
      <c r="I2387" t="s">
        <v>47</v>
      </c>
    </row>
    <row r="2388" spans="1:9" x14ac:dyDescent="0.35">
      <c r="A2388" s="1">
        <v>45371</v>
      </c>
      <c r="B2388" t="s">
        <v>33</v>
      </c>
      <c r="C2388" t="s">
        <v>34</v>
      </c>
      <c r="D2388" t="s">
        <v>26</v>
      </c>
      <c r="E2388" t="s">
        <v>27</v>
      </c>
      <c r="F2388">
        <v>38</v>
      </c>
      <c r="G2388">
        <v>47.4</v>
      </c>
      <c r="H2388" t="s">
        <v>48</v>
      </c>
      <c r="I2388" t="s">
        <v>50</v>
      </c>
    </row>
    <row r="2389" spans="1:9" x14ac:dyDescent="0.35">
      <c r="A2389" s="1">
        <v>45371</v>
      </c>
      <c r="B2389" t="s">
        <v>33</v>
      </c>
      <c r="C2389" t="s">
        <v>34</v>
      </c>
      <c r="D2389" t="s">
        <v>28</v>
      </c>
      <c r="E2389" t="s">
        <v>29</v>
      </c>
      <c r="F2389">
        <v>32</v>
      </c>
      <c r="G2389">
        <v>33.9</v>
      </c>
      <c r="H2389" t="s">
        <v>46</v>
      </c>
      <c r="I2389" t="s">
        <v>47</v>
      </c>
    </row>
    <row r="2390" spans="1:9" x14ac:dyDescent="0.35">
      <c r="A2390" s="1">
        <v>45371</v>
      </c>
      <c r="B2390" t="s">
        <v>36</v>
      </c>
      <c r="C2390" t="s">
        <v>37</v>
      </c>
      <c r="D2390" t="s">
        <v>15</v>
      </c>
      <c r="E2390" t="s">
        <v>16</v>
      </c>
      <c r="F2390">
        <v>34</v>
      </c>
      <c r="G2390">
        <v>34.1</v>
      </c>
      <c r="H2390" t="s">
        <v>46</v>
      </c>
      <c r="I2390" t="s">
        <v>47</v>
      </c>
    </row>
    <row r="2391" spans="1:9" x14ac:dyDescent="0.35">
      <c r="A2391" s="1">
        <v>45371</v>
      </c>
      <c r="B2391" t="s">
        <v>36</v>
      </c>
      <c r="C2391" t="s">
        <v>37</v>
      </c>
      <c r="D2391" t="s">
        <v>18</v>
      </c>
      <c r="E2391" t="s">
        <v>19</v>
      </c>
      <c r="F2391">
        <v>38</v>
      </c>
      <c r="G2391">
        <v>46.1</v>
      </c>
      <c r="H2391" t="s">
        <v>48</v>
      </c>
      <c r="I2391" t="s">
        <v>50</v>
      </c>
    </row>
    <row r="2392" spans="1:9" x14ac:dyDescent="0.35">
      <c r="A2392" s="1">
        <v>45371</v>
      </c>
      <c r="B2392" t="s">
        <v>36</v>
      </c>
      <c r="C2392" t="s">
        <v>37</v>
      </c>
      <c r="D2392" t="s">
        <v>21</v>
      </c>
      <c r="E2392" t="s">
        <v>22</v>
      </c>
      <c r="F2392">
        <v>32</v>
      </c>
      <c r="G2392">
        <v>33.700000000000003</v>
      </c>
      <c r="H2392" t="s">
        <v>46</v>
      </c>
      <c r="I2392" t="s">
        <v>47</v>
      </c>
    </row>
    <row r="2393" spans="1:9" x14ac:dyDescent="0.35">
      <c r="A2393" s="1">
        <v>45371</v>
      </c>
      <c r="B2393" t="s">
        <v>36</v>
      </c>
      <c r="C2393" t="s">
        <v>37</v>
      </c>
      <c r="D2393" t="s">
        <v>24</v>
      </c>
      <c r="E2393" t="s">
        <v>25</v>
      </c>
      <c r="F2393">
        <v>50</v>
      </c>
      <c r="G2393">
        <v>50.9</v>
      </c>
      <c r="H2393" t="s">
        <v>46</v>
      </c>
      <c r="I2393" t="s">
        <v>47</v>
      </c>
    </row>
    <row r="2394" spans="1:9" x14ac:dyDescent="0.35">
      <c r="A2394" s="1">
        <v>45371</v>
      </c>
      <c r="B2394" t="s">
        <v>36</v>
      </c>
      <c r="C2394" t="s">
        <v>37</v>
      </c>
      <c r="D2394" t="s">
        <v>26</v>
      </c>
      <c r="E2394" t="s">
        <v>27</v>
      </c>
      <c r="F2394">
        <v>38</v>
      </c>
      <c r="G2394">
        <v>37.4</v>
      </c>
      <c r="H2394" t="s">
        <v>46</v>
      </c>
      <c r="I2394" t="s">
        <v>47</v>
      </c>
    </row>
    <row r="2395" spans="1:9" x14ac:dyDescent="0.35">
      <c r="A2395" s="1">
        <v>45371</v>
      </c>
      <c r="B2395" t="s">
        <v>36</v>
      </c>
      <c r="C2395" t="s">
        <v>37</v>
      </c>
      <c r="D2395" t="s">
        <v>28</v>
      </c>
      <c r="E2395" t="s">
        <v>29</v>
      </c>
      <c r="F2395">
        <v>32</v>
      </c>
      <c r="G2395">
        <v>33.4</v>
      </c>
      <c r="H2395" t="s">
        <v>46</v>
      </c>
      <c r="I2395" t="s">
        <v>47</v>
      </c>
    </row>
    <row r="2396" spans="1:9" x14ac:dyDescent="0.35">
      <c r="A2396" s="1">
        <v>45371</v>
      </c>
      <c r="B2396" t="s">
        <v>39</v>
      </c>
      <c r="C2396" t="s">
        <v>40</v>
      </c>
      <c r="D2396" t="s">
        <v>15</v>
      </c>
      <c r="E2396" t="s">
        <v>16</v>
      </c>
      <c r="F2396">
        <v>34</v>
      </c>
      <c r="G2396">
        <v>36.4</v>
      </c>
      <c r="H2396" t="s">
        <v>46</v>
      </c>
      <c r="I2396" t="s">
        <v>47</v>
      </c>
    </row>
    <row r="2397" spans="1:9" x14ac:dyDescent="0.35">
      <c r="A2397" s="1">
        <v>45371</v>
      </c>
      <c r="B2397" t="s">
        <v>39</v>
      </c>
      <c r="C2397" t="s">
        <v>40</v>
      </c>
      <c r="D2397" t="s">
        <v>18</v>
      </c>
      <c r="E2397" t="s">
        <v>19</v>
      </c>
      <c r="F2397">
        <v>38</v>
      </c>
      <c r="G2397">
        <v>37.6</v>
      </c>
      <c r="H2397" t="s">
        <v>46</v>
      </c>
      <c r="I2397" t="s">
        <v>47</v>
      </c>
    </row>
    <row r="2398" spans="1:9" x14ac:dyDescent="0.35">
      <c r="A2398" s="1">
        <v>45371</v>
      </c>
      <c r="B2398" t="s">
        <v>39</v>
      </c>
      <c r="C2398" t="s">
        <v>40</v>
      </c>
      <c r="D2398" t="s">
        <v>21</v>
      </c>
      <c r="E2398" t="s">
        <v>22</v>
      </c>
      <c r="F2398">
        <v>32</v>
      </c>
      <c r="G2398">
        <v>41.2</v>
      </c>
      <c r="H2398" t="s">
        <v>48</v>
      </c>
      <c r="I2398" t="s">
        <v>50</v>
      </c>
    </row>
    <row r="2399" spans="1:9" x14ac:dyDescent="0.35">
      <c r="A2399" s="1">
        <v>45371</v>
      </c>
      <c r="B2399" t="s">
        <v>39</v>
      </c>
      <c r="C2399" t="s">
        <v>40</v>
      </c>
      <c r="D2399" t="s">
        <v>24</v>
      </c>
      <c r="E2399" t="s">
        <v>25</v>
      </c>
      <c r="F2399">
        <v>50</v>
      </c>
      <c r="G2399">
        <v>49.8</v>
      </c>
      <c r="H2399" t="s">
        <v>46</v>
      </c>
      <c r="I2399" t="s">
        <v>47</v>
      </c>
    </row>
    <row r="2400" spans="1:9" x14ac:dyDescent="0.35">
      <c r="A2400" s="1">
        <v>45371</v>
      </c>
      <c r="B2400" t="s">
        <v>39</v>
      </c>
      <c r="C2400" t="s">
        <v>40</v>
      </c>
      <c r="D2400" t="s">
        <v>26</v>
      </c>
      <c r="E2400" t="s">
        <v>27</v>
      </c>
      <c r="F2400">
        <v>38</v>
      </c>
      <c r="G2400">
        <v>44.1</v>
      </c>
      <c r="H2400" t="s">
        <v>48</v>
      </c>
      <c r="I2400" t="s">
        <v>50</v>
      </c>
    </row>
    <row r="2401" spans="1:9" x14ac:dyDescent="0.35">
      <c r="A2401" s="1">
        <v>45371</v>
      </c>
      <c r="B2401" t="s">
        <v>39</v>
      </c>
      <c r="C2401" t="s">
        <v>40</v>
      </c>
      <c r="D2401" t="s">
        <v>28</v>
      </c>
      <c r="E2401" t="s">
        <v>29</v>
      </c>
      <c r="F2401">
        <v>32</v>
      </c>
      <c r="G2401">
        <v>34.5</v>
      </c>
      <c r="H2401" t="s">
        <v>46</v>
      </c>
      <c r="I2401" t="s">
        <v>47</v>
      </c>
    </row>
    <row r="2402" spans="1:9" x14ac:dyDescent="0.35">
      <c r="A2402" s="1">
        <v>45372</v>
      </c>
      <c r="B2402" t="s">
        <v>12</v>
      </c>
      <c r="C2402" t="s">
        <v>13</v>
      </c>
      <c r="D2402" t="s">
        <v>15</v>
      </c>
      <c r="E2402" t="s">
        <v>16</v>
      </c>
      <c r="F2402">
        <v>34</v>
      </c>
      <c r="G2402">
        <v>35.1</v>
      </c>
      <c r="H2402" t="s">
        <v>46</v>
      </c>
      <c r="I2402" t="s">
        <v>47</v>
      </c>
    </row>
    <row r="2403" spans="1:9" x14ac:dyDescent="0.35">
      <c r="A2403" s="1">
        <v>45372</v>
      </c>
      <c r="B2403" t="s">
        <v>12</v>
      </c>
      <c r="C2403" t="s">
        <v>13</v>
      </c>
      <c r="D2403" t="s">
        <v>18</v>
      </c>
      <c r="E2403" t="s">
        <v>19</v>
      </c>
      <c r="F2403">
        <v>38</v>
      </c>
      <c r="G2403">
        <v>40.9</v>
      </c>
      <c r="H2403" t="s">
        <v>46</v>
      </c>
      <c r="I2403" t="s">
        <v>47</v>
      </c>
    </row>
    <row r="2404" spans="1:9" x14ac:dyDescent="0.35">
      <c r="A2404" s="1">
        <v>45372</v>
      </c>
      <c r="B2404" t="s">
        <v>12</v>
      </c>
      <c r="C2404" t="s">
        <v>13</v>
      </c>
      <c r="D2404" t="s">
        <v>21</v>
      </c>
      <c r="E2404" t="s">
        <v>22</v>
      </c>
      <c r="F2404">
        <v>32</v>
      </c>
      <c r="G2404">
        <v>32.700000000000003</v>
      </c>
      <c r="H2404" t="s">
        <v>46</v>
      </c>
      <c r="I2404" t="s">
        <v>47</v>
      </c>
    </row>
    <row r="2405" spans="1:9" x14ac:dyDescent="0.35">
      <c r="A2405" s="1">
        <v>45372</v>
      </c>
      <c r="B2405" t="s">
        <v>12</v>
      </c>
      <c r="C2405" t="s">
        <v>13</v>
      </c>
      <c r="D2405" t="s">
        <v>24</v>
      </c>
      <c r="E2405" t="s">
        <v>25</v>
      </c>
      <c r="F2405">
        <v>50</v>
      </c>
      <c r="G2405">
        <v>59.4</v>
      </c>
      <c r="H2405" t="s">
        <v>48</v>
      </c>
      <c r="I2405" t="s">
        <v>50</v>
      </c>
    </row>
    <row r="2406" spans="1:9" x14ac:dyDescent="0.35">
      <c r="A2406" s="1">
        <v>45372</v>
      </c>
      <c r="B2406" t="s">
        <v>12</v>
      </c>
      <c r="C2406" t="s">
        <v>13</v>
      </c>
      <c r="D2406" t="s">
        <v>26</v>
      </c>
      <c r="E2406" t="s">
        <v>27</v>
      </c>
      <c r="F2406">
        <v>38</v>
      </c>
      <c r="G2406">
        <v>44.9</v>
      </c>
      <c r="H2406" t="s">
        <v>48</v>
      </c>
      <c r="I2406" t="s">
        <v>50</v>
      </c>
    </row>
    <row r="2407" spans="1:9" x14ac:dyDescent="0.35">
      <c r="A2407" s="1">
        <v>45372</v>
      </c>
      <c r="B2407" t="s">
        <v>12</v>
      </c>
      <c r="C2407" t="s">
        <v>13</v>
      </c>
      <c r="D2407" t="s">
        <v>28</v>
      </c>
      <c r="E2407" t="s">
        <v>29</v>
      </c>
      <c r="F2407">
        <v>32</v>
      </c>
      <c r="G2407">
        <v>34.799999999999997</v>
      </c>
      <c r="H2407" t="s">
        <v>46</v>
      </c>
      <c r="I2407" t="s">
        <v>47</v>
      </c>
    </row>
    <row r="2408" spans="1:9" x14ac:dyDescent="0.35">
      <c r="A2408" s="1">
        <v>45372</v>
      </c>
      <c r="B2408" t="s">
        <v>30</v>
      </c>
      <c r="C2408" t="s">
        <v>31</v>
      </c>
      <c r="D2408" t="s">
        <v>15</v>
      </c>
      <c r="E2408" t="s">
        <v>16</v>
      </c>
      <c r="F2408">
        <v>34</v>
      </c>
      <c r="G2408">
        <v>34</v>
      </c>
      <c r="H2408" t="s">
        <v>46</v>
      </c>
      <c r="I2408" t="s">
        <v>47</v>
      </c>
    </row>
    <row r="2409" spans="1:9" x14ac:dyDescent="0.35">
      <c r="A2409" s="1">
        <v>45372</v>
      </c>
      <c r="B2409" t="s">
        <v>30</v>
      </c>
      <c r="C2409" t="s">
        <v>31</v>
      </c>
      <c r="D2409" t="s">
        <v>18</v>
      </c>
      <c r="E2409" t="s">
        <v>19</v>
      </c>
      <c r="F2409">
        <v>38</v>
      </c>
      <c r="G2409">
        <v>37.700000000000003</v>
      </c>
      <c r="H2409" t="s">
        <v>46</v>
      </c>
      <c r="I2409" t="s">
        <v>47</v>
      </c>
    </row>
    <row r="2410" spans="1:9" x14ac:dyDescent="0.35">
      <c r="A2410" s="1">
        <v>45372</v>
      </c>
      <c r="B2410" t="s">
        <v>30</v>
      </c>
      <c r="C2410" t="s">
        <v>31</v>
      </c>
      <c r="D2410" t="s">
        <v>21</v>
      </c>
      <c r="E2410" t="s">
        <v>22</v>
      </c>
      <c r="F2410">
        <v>32</v>
      </c>
      <c r="G2410">
        <v>43.3</v>
      </c>
      <c r="H2410" t="s">
        <v>48</v>
      </c>
      <c r="I2410" t="s">
        <v>49</v>
      </c>
    </row>
    <row r="2411" spans="1:9" x14ac:dyDescent="0.35">
      <c r="A2411" s="1">
        <v>45372</v>
      </c>
      <c r="B2411" t="s">
        <v>30</v>
      </c>
      <c r="C2411" t="s">
        <v>31</v>
      </c>
      <c r="D2411" t="s">
        <v>24</v>
      </c>
      <c r="E2411" t="s">
        <v>25</v>
      </c>
      <c r="F2411">
        <v>50</v>
      </c>
      <c r="G2411">
        <v>50.1</v>
      </c>
      <c r="H2411" t="s">
        <v>46</v>
      </c>
      <c r="I2411" t="s">
        <v>47</v>
      </c>
    </row>
    <row r="2412" spans="1:9" x14ac:dyDescent="0.35">
      <c r="A2412" s="1">
        <v>45372</v>
      </c>
      <c r="B2412" t="s">
        <v>30</v>
      </c>
      <c r="C2412" t="s">
        <v>31</v>
      </c>
      <c r="D2412" t="s">
        <v>26</v>
      </c>
      <c r="E2412" t="s">
        <v>27</v>
      </c>
      <c r="F2412">
        <v>38</v>
      </c>
      <c r="G2412">
        <v>39.4</v>
      </c>
      <c r="H2412" t="s">
        <v>46</v>
      </c>
      <c r="I2412" t="s">
        <v>47</v>
      </c>
    </row>
    <row r="2413" spans="1:9" x14ac:dyDescent="0.35">
      <c r="A2413" s="1">
        <v>45372</v>
      </c>
      <c r="B2413" t="s">
        <v>30</v>
      </c>
      <c r="C2413" t="s">
        <v>31</v>
      </c>
      <c r="D2413" t="s">
        <v>28</v>
      </c>
      <c r="E2413" t="s">
        <v>29</v>
      </c>
      <c r="F2413">
        <v>32</v>
      </c>
      <c r="G2413">
        <v>32</v>
      </c>
      <c r="H2413" t="s">
        <v>46</v>
      </c>
      <c r="I2413" t="s">
        <v>47</v>
      </c>
    </row>
    <row r="2414" spans="1:9" x14ac:dyDescent="0.35">
      <c r="A2414" s="1">
        <v>45372</v>
      </c>
      <c r="B2414" t="s">
        <v>33</v>
      </c>
      <c r="C2414" t="s">
        <v>34</v>
      </c>
      <c r="D2414" t="s">
        <v>15</v>
      </c>
      <c r="E2414" t="s">
        <v>16</v>
      </c>
      <c r="F2414">
        <v>34</v>
      </c>
      <c r="G2414">
        <v>34.299999999999997</v>
      </c>
      <c r="H2414" t="s">
        <v>46</v>
      </c>
      <c r="I2414" t="s">
        <v>47</v>
      </c>
    </row>
    <row r="2415" spans="1:9" x14ac:dyDescent="0.35">
      <c r="A2415" s="1">
        <v>45372</v>
      </c>
      <c r="B2415" t="s">
        <v>33</v>
      </c>
      <c r="C2415" t="s">
        <v>34</v>
      </c>
      <c r="D2415" t="s">
        <v>18</v>
      </c>
      <c r="E2415" t="s">
        <v>19</v>
      </c>
      <c r="F2415">
        <v>38</v>
      </c>
      <c r="G2415">
        <v>49.4</v>
      </c>
      <c r="H2415" t="s">
        <v>48</v>
      </c>
      <c r="I2415" t="s">
        <v>49</v>
      </c>
    </row>
    <row r="2416" spans="1:9" x14ac:dyDescent="0.35">
      <c r="A2416" s="1">
        <v>45372</v>
      </c>
      <c r="B2416" t="s">
        <v>33</v>
      </c>
      <c r="C2416" t="s">
        <v>34</v>
      </c>
      <c r="D2416" t="s">
        <v>21</v>
      </c>
      <c r="E2416" t="s">
        <v>22</v>
      </c>
      <c r="F2416">
        <v>32</v>
      </c>
      <c r="G2416">
        <v>34.1</v>
      </c>
      <c r="H2416" t="s">
        <v>46</v>
      </c>
      <c r="I2416" t="s">
        <v>47</v>
      </c>
    </row>
    <row r="2417" spans="1:9" x14ac:dyDescent="0.35">
      <c r="A2417" s="1">
        <v>45372</v>
      </c>
      <c r="B2417" t="s">
        <v>33</v>
      </c>
      <c r="C2417" t="s">
        <v>34</v>
      </c>
      <c r="D2417" t="s">
        <v>24</v>
      </c>
      <c r="E2417" t="s">
        <v>25</v>
      </c>
      <c r="F2417">
        <v>50</v>
      </c>
      <c r="G2417">
        <v>58.9</v>
      </c>
      <c r="H2417" t="s">
        <v>48</v>
      </c>
      <c r="I2417" t="s">
        <v>50</v>
      </c>
    </row>
    <row r="2418" spans="1:9" x14ac:dyDescent="0.35">
      <c r="A2418" s="1">
        <v>45372</v>
      </c>
      <c r="B2418" t="s">
        <v>33</v>
      </c>
      <c r="C2418" t="s">
        <v>34</v>
      </c>
      <c r="D2418" t="s">
        <v>26</v>
      </c>
      <c r="E2418" t="s">
        <v>27</v>
      </c>
      <c r="F2418">
        <v>38</v>
      </c>
      <c r="G2418">
        <v>40</v>
      </c>
      <c r="H2418" t="s">
        <v>46</v>
      </c>
      <c r="I2418" t="s">
        <v>47</v>
      </c>
    </row>
    <row r="2419" spans="1:9" x14ac:dyDescent="0.35">
      <c r="A2419" s="1">
        <v>45372</v>
      </c>
      <c r="B2419" t="s">
        <v>33</v>
      </c>
      <c r="C2419" t="s">
        <v>34</v>
      </c>
      <c r="D2419" t="s">
        <v>28</v>
      </c>
      <c r="E2419" t="s">
        <v>29</v>
      </c>
      <c r="F2419">
        <v>32</v>
      </c>
      <c r="G2419">
        <v>33.4</v>
      </c>
      <c r="H2419" t="s">
        <v>46</v>
      </c>
      <c r="I2419" t="s">
        <v>47</v>
      </c>
    </row>
    <row r="2420" spans="1:9" x14ac:dyDescent="0.35">
      <c r="A2420" s="1">
        <v>45372</v>
      </c>
      <c r="B2420" t="s">
        <v>36</v>
      </c>
      <c r="C2420" t="s">
        <v>37</v>
      </c>
      <c r="D2420" t="s">
        <v>15</v>
      </c>
      <c r="E2420" t="s">
        <v>16</v>
      </c>
      <c r="F2420">
        <v>34</v>
      </c>
      <c r="G2420">
        <v>34.1</v>
      </c>
      <c r="H2420" t="s">
        <v>46</v>
      </c>
      <c r="I2420" t="s">
        <v>47</v>
      </c>
    </row>
    <row r="2421" spans="1:9" x14ac:dyDescent="0.35">
      <c r="A2421" s="1">
        <v>45372</v>
      </c>
      <c r="B2421" t="s">
        <v>36</v>
      </c>
      <c r="C2421" t="s">
        <v>37</v>
      </c>
      <c r="D2421" t="s">
        <v>18</v>
      </c>
      <c r="E2421" t="s">
        <v>19</v>
      </c>
      <c r="F2421">
        <v>38</v>
      </c>
      <c r="G2421">
        <v>37.299999999999997</v>
      </c>
      <c r="H2421" t="s">
        <v>46</v>
      </c>
      <c r="I2421" t="s">
        <v>47</v>
      </c>
    </row>
    <row r="2422" spans="1:9" x14ac:dyDescent="0.35">
      <c r="A2422" s="1">
        <v>45372</v>
      </c>
      <c r="B2422" t="s">
        <v>36</v>
      </c>
      <c r="C2422" t="s">
        <v>37</v>
      </c>
      <c r="D2422" t="s">
        <v>21</v>
      </c>
      <c r="E2422" t="s">
        <v>22</v>
      </c>
      <c r="F2422">
        <v>32</v>
      </c>
      <c r="G2422">
        <v>43</v>
      </c>
      <c r="H2422" t="s">
        <v>48</v>
      </c>
      <c r="I2422" t="s">
        <v>49</v>
      </c>
    </row>
    <row r="2423" spans="1:9" x14ac:dyDescent="0.35">
      <c r="A2423" s="1">
        <v>45372</v>
      </c>
      <c r="B2423" t="s">
        <v>36</v>
      </c>
      <c r="C2423" t="s">
        <v>37</v>
      </c>
      <c r="D2423" t="s">
        <v>24</v>
      </c>
      <c r="E2423" t="s">
        <v>25</v>
      </c>
      <c r="F2423">
        <v>50</v>
      </c>
      <c r="G2423">
        <v>49.2</v>
      </c>
      <c r="H2423" t="s">
        <v>46</v>
      </c>
      <c r="I2423" t="s">
        <v>47</v>
      </c>
    </row>
    <row r="2424" spans="1:9" x14ac:dyDescent="0.35">
      <c r="A2424" s="1">
        <v>45372</v>
      </c>
      <c r="B2424" t="s">
        <v>36</v>
      </c>
      <c r="C2424" t="s">
        <v>37</v>
      </c>
      <c r="D2424" t="s">
        <v>26</v>
      </c>
      <c r="E2424" t="s">
        <v>27</v>
      </c>
      <c r="F2424">
        <v>38</v>
      </c>
      <c r="G2424">
        <v>40.5</v>
      </c>
      <c r="H2424" t="s">
        <v>46</v>
      </c>
      <c r="I2424" t="s">
        <v>47</v>
      </c>
    </row>
    <row r="2425" spans="1:9" x14ac:dyDescent="0.35">
      <c r="A2425" s="1">
        <v>45372</v>
      </c>
      <c r="B2425" t="s">
        <v>36</v>
      </c>
      <c r="C2425" t="s">
        <v>37</v>
      </c>
      <c r="D2425" t="s">
        <v>28</v>
      </c>
      <c r="E2425" t="s">
        <v>29</v>
      </c>
      <c r="F2425">
        <v>32</v>
      </c>
      <c r="G2425">
        <v>31.8</v>
      </c>
      <c r="H2425" t="s">
        <v>46</v>
      </c>
      <c r="I2425" t="s">
        <v>47</v>
      </c>
    </row>
    <row r="2426" spans="1:9" x14ac:dyDescent="0.35">
      <c r="A2426" s="1">
        <v>45372</v>
      </c>
      <c r="B2426" t="s">
        <v>39</v>
      </c>
      <c r="C2426" t="s">
        <v>40</v>
      </c>
      <c r="D2426" t="s">
        <v>15</v>
      </c>
      <c r="E2426" t="s">
        <v>16</v>
      </c>
      <c r="F2426">
        <v>34</v>
      </c>
      <c r="G2426">
        <v>33.4</v>
      </c>
      <c r="H2426" t="s">
        <v>46</v>
      </c>
      <c r="I2426" t="s">
        <v>47</v>
      </c>
    </row>
    <row r="2427" spans="1:9" x14ac:dyDescent="0.35">
      <c r="A2427" s="1">
        <v>45372</v>
      </c>
      <c r="B2427" t="s">
        <v>39</v>
      </c>
      <c r="C2427" t="s">
        <v>40</v>
      </c>
      <c r="D2427" t="s">
        <v>18</v>
      </c>
      <c r="E2427" t="s">
        <v>19</v>
      </c>
      <c r="F2427">
        <v>38</v>
      </c>
      <c r="G2427">
        <v>39.5</v>
      </c>
      <c r="H2427" t="s">
        <v>46</v>
      </c>
      <c r="I2427" t="s">
        <v>47</v>
      </c>
    </row>
    <row r="2428" spans="1:9" x14ac:dyDescent="0.35">
      <c r="A2428" s="1">
        <v>45372</v>
      </c>
      <c r="B2428" t="s">
        <v>39</v>
      </c>
      <c r="C2428" t="s">
        <v>40</v>
      </c>
      <c r="D2428" t="s">
        <v>21</v>
      </c>
      <c r="E2428" t="s">
        <v>22</v>
      </c>
      <c r="F2428">
        <v>32</v>
      </c>
      <c r="G2428">
        <v>32.9</v>
      </c>
      <c r="H2428" t="s">
        <v>46</v>
      </c>
      <c r="I2428" t="s">
        <v>47</v>
      </c>
    </row>
    <row r="2429" spans="1:9" x14ac:dyDescent="0.35">
      <c r="A2429" s="1">
        <v>45372</v>
      </c>
      <c r="B2429" t="s">
        <v>39</v>
      </c>
      <c r="C2429" t="s">
        <v>40</v>
      </c>
      <c r="D2429" t="s">
        <v>24</v>
      </c>
      <c r="E2429" t="s">
        <v>25</v>
      </c>
      <c r="F2429">
        <v>50</v>
      </c>
      <c r="G2429">
        <v>51.1</v>
      </c>
      <c r="H2429" t="s">
        <v>46</v>
      </c>
      <c r="I2429" t="s">
        <v>47</v>
      </c>
    </row>
    <row r="2430" spans="1:9" x14ac:dyDescent="0.35">
      <c r="A2430" s="1">
        <v>45372</v>
      </c>
      <c r="B2430" t="s">
        <v>39</v>
      </c>
      <c r="C2430" t="s">
        <v>40</v>
      </c>
      <c r="D2430" t="s">
        <v>26</v>
      </c>
      <c r="E2430" t="s">
        <v>27</v>
      </c>
      <c r="F2430">
        <v>38</v>
      </c>
      <c r="G2430">
        <v>45</v>
      </c>
      <c r="H2430" t="s">
        <v>48</v>
      </c>
      <c r="I2430" t="s">
        <v>50</v>
      </c>
    </row>
    <row r="2431" spans="1:9" x14ac:dyDescent="0.35">
      <c r="A2431" s="1">
        <v>45372</v>
      </c>
      <c r="B2431" t="s">
        <v>39</v>
      </c>
      <c r="C2431" t="s">
        <v>40</v>
      </c>
      <c r="D2431" t="s">
        <v>28</v>
      </c>
      <c r="E2431" t="s">
        <v>29</v>
      </c>
      <c r="F2431">
        <v>32</v>
      </c>
      <c r="G2431">
        <v>33.799999999999997</v>
      </c>
      <c r="H2431" t="s">
        <v>46</v>
      </c>
      <c r="I2431" t="s">
        <v>47</v>
      </c>
    </row>
    <row r="2432" spans="1:9" x14ac:dyDescent="0.35">
      <c r="A2432" s="1">
        <v>45373</v>
      </c>
      <c r="B2432" t="s">
        <v>12</v>
      </c>
      <c r="C2432" t="s">
        <v>13</v>
      </c>
      <c r="D2432" t="s">
        <v>15</v>
      </c>
      <c r="E2432" t="s">
        <v>16</v>
      </c>
      <c r="F2432">
        <v>34</v>
      </c>
      <c r="G2432">
        <v>36</v>
      </c>
      <c r="H2432" t="s">
        <v>46</v>
      </c>
      <c r="I2432" t="s">
        <v>47</v>
      </c>
    </row>
    <row r="2433" spans="1:9" x14ac:dyDescent="0.35">
      <c r="A2433" s="1">
        <v>45373</v>
      </c>
      <c r="B2433" t="s">
        <v>12</v>
      </c>
      <c r="C2433" t="s">
        <v>13</v>
      </c>
      <c r="D2433" t="s">
        <v>18</v>
      </c>
      <c r="E2433" t="s">
        <v>19</v>
      </c>
      <c r="F2433">
        <v>38</v>
      </c>
      <c r="G2433">
        <v>39.200000000000003</v>
      </c>
      <c r="H2433" t="s">
        <v>46</v>
      </c>
      <c r="I2433" t="s">
        <v>47</v>
      </c>
    </row>
    <row r="2434" spans="1:9" x14ac:dyDescent="0.35">
      <c r="A2434" s="1">
        <v>45373</v>
      </c>
      <c r="B2434" t="s">
        <v>12</v>
      </c>
      <c r="C2434" t="s">
        <v>13</v>
      </c>
      <c r="D2434" t="s">
        <v>21</v>
      </c>
      <c r="E2434" t="s">
        <v>22</v>
      </c>
      <c r="F2434">
        <v>32</v>
      </c>
      <c r="G2434">
        <v>32.5</v>
      </c>
      <c r="H2434" t="s">
        <v>46</v>
      </c>
      <c r="I2434" t="s">
        <v>47</v>
      </c>
    </row>
    <row r="2435" spans="1:9" x14ac:dyDescent="0.35">
      <c r="A2435" s="1">
        <v>45373</v>
      </c>
      <c r="B2435" t="s">
        <v>12</v>
      </c>
      <c r="C2435" t="s">
        <v>13</v>
      </c>
      <c r="D2435" t="s">
        <v>24</v>
      </c>
      <c r="E2435" t="s">
        <v>25</v>
      </c>
      <c r="F2435">
        <v>50</v>
      </c>
      <c r="G2435">
        <v>49.5</v>
      </c>
      <c r="H2435" t="s">
        <v>46</v>
      </c>
      <c r="I2435" t="s">
        <v>47</v>
      </c>
    </row>
    <row r="2436" spans="1:9" x14ac:dyDescent="0.35">
      <c r="A2436" s="1">
        <v>45373</v>
      </c>
      <c r="B2436" t="s">
        <v>12</v>
      </c>
      <c r="C2436" t="s">
        <v>13</v>
      </c>
      <c r="D2436" t="s">
        <v>26</v>
      </c>
      <c r="E2436" t="s">
        <v>27</v>
      </c>
      <c r="F2436">
        <v>38</v>
      </c>
      <c r="G2436">
        <v>38.9</v>
      </c>
      <c r="H2436" t="s">
        <v>46</v>
      </c>
      <c r="I2436" t="s">
        <v>47</v>
      </c>
    </row>
    <row r="2437" spans="1:9" x14ac:dyDescent="0.35">
      <c r="A2437" s="1">
        <v>45373</v>
      </c>
      <c r="B2437" t="s">
        <v>12</v>
      </c>
      <c r="C2437" t="s">
        <v>13</v>
      </c>
      <c r="D2437" t="s">
        <v>28</v>
      </c>
      <c r="E2437" t="s">
        <v>29</v>
      </c>
      <c r="F2437">
        <v>32</v>
      </c>
      <c r="G2437">
        <v>34.799999999999997</v>
      </c>
      <c r="H2437" t="s">
        <v>46</v>
      </c>
      <c r="I2437" t="s">
        <v>47</v>
      </c>
    </row>
    <row r="2438" spans="1:9" x14ac:dyDescent="0.35">
      <c r="A2438" s="1">
        <v>45373</v>
      </c>
      <c r="B2438" t="s">
        <v>30</v>
      </c>
      <c r="C2438" t="s">
        <v>31</v>
      </c>
      <c r="D2438" t="s">
        <v>15</v>
      </c>
      <c r="E2438" t="s">
        <v>16</v>
      </c>
      <c r="F2438">
        <v>34</v>
      </c>
      <c r="G2438">
        <v>33.700000000000003</v>
      </c>
      <c r="H2438" t="s">
        <v>46</v>
      </c>
      <c r="I2438" t="s">
        <v>47</v>
      </c>
    </row>
    <row r="2439" spans="1:9" x14ac:dyDescent="0.35">
      <c r="A2439" s="1">
        <v>45373</v>
      </c>
      <c r="B2439" t="s">
        <v>30</v>
      </c>
      <c r="C2439" t="s">
        <v>31</v>
      </c>
      <c r="D2439" t="s">
        <v>18</v>
      </c>
      <c r="E2439" t="s">
        <v>19</v>
      </c>
      <c r="F2439">
        <v>38</v>
      </c>
      <c r="G2439">
        <v>40.9</v>
      </c>
      <c r="H2439" t="s">
        <v>46</v>
      </c>
      <c r="I2439" t="s">
        <v>47</v>
      </c>
    </row>
    <row r="2440" spans="1:9" x14ac:dyDescent="0.35">
      <c r="A2440" s="1">
        <v>45373</v>
      </c>
      <c r="B2440" t="s">
        <v>30</v>
      </c>
      <c r="C2440" t="s">
        <v>31</v>
      </c>
      <c r="D2440" t="s">
        <v>21</v>
      </c>
      <c r="E2440" t="s">
        <v>22</v>
      </c>
      <c r="F2440">
        <v>32</v>
      </c>
      <c r="G2440">
        <v>34.799999999999997</v>
      </c>
      <c r="H2440" t="s">
        <v>46</v>
      </c>
      <c r="I2440" t="s">
        <v>47</v>
      </c>
    </row>
    <row r="2441" spans="1:9" x14ac:dyDescent="0.35">
      <c r="A2441" s="1">
        <v>45373</v>
      </c>
      <c r="B2441" t="s">
        <v>30</v>
      </c>
      <c r="C2441" t="s">
        <v>31</v>
      </c>
      <c r="D2441" t="s">
        <v>24</v>
      </c>
      <c r="E2441" t="s">
        <v>25</v>
      </c>
      <c r="F2441">
        <v>50</v>
      </c>
      <c r="G2441">
        <v>63.8</v>
      </c>
      <c r="H2441" t="s">
        <v>48</v>
      </c>
      <c r="I2441" t="s">
        <v>49</v>
      </c>
    </row>
    <row r="2442" spans="1:9" x14ac:dyDescent="0.35">
      <c r="A2442" s="1">
        <v>45373</v>
      </c>
      <c r="B2442" t="s">
        <v>30</v>
      </c>
      <c r="C2442" t="s">
        <v>31</v>
      </c>
      <c r="D2442" t="s">
        <v>26</v>
      </c>
      <c r="E2442" t="s">
        <v>27</v>
      </c>
      <c r="F2442">
        <v>38</v>
      </c>
      <c r="G2442">
        <v>40.299999999999997</v>
      </c>
      <c r="H2442" t="s">
        <v>46</v>
      </c>
      <c r="I2442" t="s">
        <v>47</v>
      </c>
    </row>
    <row r="2443" spans="1:9" x14ac:dyDescent="0.35">
      <c r="A2443" s="1">
        <v>45373</v>
      </c>
      <c r="B2443" t="s">
        <v>30</v>
      </c>
      <c r="C2443" t="s">
        <v>31</v>
      </c>
      <c r="D2443" t="s">
        <v>28</v>
      </c>
      <c r="E2443" t="s">
        <v>29</v>
      </c>
      <c r="F2443">
        <v>32</v>
      </c>
      <c r="G2443">
        <v>33.1</v>
      </c>
      <c r="H2443" t="s">
        <v>46</v>
      </c>
      <c r="I2443" t="s">
        <v>47</v>
      </c>
    </row>
    <row r="2444" spans="1:9" x14ac:dyDescent="0.35">
      <c r="A2444" s="1">
        <v>45373</v>
      </c>
      <c r="B2444" t="s">
        <v>33</v>
      </c>
      <c r="C2444" t="s">
        <v>34</v>
      </c>
      <c r="D2444" t="s">
        <v>15</v>
      </c>
      <c r="E2444" t="s">
        <v>16</v>
      </c>
      <c r="F2444">
        <v>34</v>
      </c>
      <c r="G2444">
        <v>33.299999999999997</v>
      </c>
      <c r="H2444" t="s">
        <v>46</v>
      </c>
      <c r="I2444" t="s">
        <v>47</v>
      </c>
    </row>
    <row r="2445" spans="1:9" x14ac:dyDescent="0.35">
      <c r="A2445" s="1">
        <v>45373</v>
      </c>
      <c r="B2445" t="s">
        <v>33</v>
      </c>
      <c r="C2445" t="s">
        <v>34</v>
      </c>
      <c r="D2445" t="s">
        <v>18</v>
      </c>
      <c r="E2445" t="s">
        <v>19</v>
      </c>
      <c r="F2445">
        <v>38</v>
      </c>
      <c r="G2445">
        <v>39</v>
      </c>
      <c r="H2445" t="s">
        <v>46</v>
      </c>
      <c r="I2445" t="s">
        <v>47</v>
      </c>
    </row>
    <row r="2446" spans="1:9" x14ac:dyDescent="0.35">
      <c r="A2446" s="1">
        <v>45373</v>
      </c>
      <c r="B2446" t="s">
        <v>33</v>
      </c>
      <c r="C2446" t="s">
        <v>34</v>
      </c>
      <c r="D2446" t="s">
        <v>21</v>
      </c>
      <c r="E2446" t="s">
        <v>22</v>
      </c>
      <c r="F2446">
        <v>32</v>
      </c>
      <c r="G2446">
        <v>32.6</v>
      </c>
      <c r="H2446" t="s">
        <v>46</v>
      </c>
      <c r="I2446" t="s">
        <v>47</v>
      </c>
    </row>
    <row r="2447" spans="1:9" x14ac:dyDescent="0.35">
      <c r="A2447" s="1">
        <v>45373</v>
      </c>
      <c r="B2447" t="s">
        <v>33</v>
      </c>
      <c r="C2447" t="s">
        <v>34</v>
      </c>
      <c r="D2447" t="s">
        <v>24</v>
      </c>
      <c r="E2447" t="s">
        <v>25</v>
      </c>
      <c r="F2447">
        <v>50</v>
      </c>
      <c r="G2447">
        <v>49.8</v>
      </c>
      <c r="H2447" t="s">
        <v>46</v>
      </c>
      <c r="I2447" t="s">
        <v>47</v>
      </c>
    </row>
    <row r="2448" spans="1:9" x14ac:dyDescent="0.35">
      <c r="A2448" s="1">
        <v>45373</v>
      </c>
      <c r="B2448" t="s">
        <v>33</v>
      </c>
      <c r="C2448" t="s">
        <v>34</v>
      </c>
      <c r="D2448" t="s">
        <v>26</v>
      </c>
      <c r="E2448" t="s">
        <v>27</v>
      </c>
      <c r="F2448">
        <v>38</v>
      </c>
      <c r="G2448">
        <v>48.6</v>
      </c>
      <c r="H2448" t="s">
        <v>48</v>
      </c>
      <c r="I2448" t="s">
        <v>49</v>
      </c>
    </row>
    <row r="2449" spans="1:9" x14ac:dyDescent="0.35">
      <c r="A2449" s="1">
        <v>45373</v>
      </c>
      <c r="B2449" t="s">
        <v>33</v>
      </c>
      <c r="C2449" t="s">
        <v>34</v>
      </c>
      <c r="D2449" t="s">
        <v>28</v>
      </c>
      <c r="E2449" t="s">
        <v>29</v>
      </c>
      <c r="F2449">
        <v>32</v>
      </c>
      <c r="G2449">
        <v>31</v>
      </c>
      <c r="H2449" t="s">
        <v>46</v>
      </c>
      <c r="I2449" t="s">
        <v>47</v>
      </c>
    </row>
    <row r="2450" spans="1:9" x14ac:dyDescent="0.35">
      <c r="A2450" s="1">
        <v>45373</v>
      </c>
      <c r="B2450" t="s">
        <v>36</v>
      </c>
      <c r="C2450" t="s">
        <v>37</v>
      </c>
      <c r="D2450" t="s">
        <v>15</v>
      </c>
      <c r="E2450" t="s">
        <v>16</v>
      </c>
      <c r="F2450">
        <v>34</v>
      </c>
      <c r="G2450">
        <v>35.1</v>
      </c>
      <c r="H2450" t="s">
        <v>46</v>
      </c>
      <c r="I2450" t="s">
        <v>47</v>
      </c>
    </row>
    <row r="2451" spans="1:9" x14ac:dyDescent="0.35">
      <c r="A2451" s="1">
        <v>45373</v>
      </c>
      <c r="B2451" t="s">
        <v>36</v>
      </c>
      <c r="C2451" t="s">
        <v>37</v>
      </c>
      <c r="D2451" t="s">
        <v>18</v>
      </c>
      <c r="E2451" t="s">
        <v>19</v>
      </c>
      <c r="F2451">
        <v>38</v>
      </c>
      <c r="G2451">
        <v>39.9</v>
      </c>
      <c r="H2451" t="s">
        <v>46</v>
      </c>
      <c r="I2451" t="s">
        <v>47</v>
      </c>
    </row>
    <row r="2452" spans="1:9" x14ac:dyDescent="0.35">
      <c r="A2452" s="1">
        <v>45373</v>
      </c>
      <c r="B2452" t="s">
        <v>36</v>
      </c>
      <c r="C2452" t="s">
        <v>37</v>
      </c>
      <c r="D2452" t="s">
        <v>21</v>
      </c>
      <c r="E2452" t="s">
        <v>22</v>
      </c>
      <c r="F2452">
        <v>32</v>
      </c>
      <c r="G2452">
        <v>34.4</v>
      </c>
      <c r="H2452" t="s">
        <v>46</v>
      </c>
      <c r="I2452" t="s">
        <v>47</v>
      </c>
    </row>
    <row r="2453" spans="1:9" x14ac:dyDescent="0.35">
      <c r="A2453" s="1">
        <v>45373</v>
      </c>
      <c r="B2453" t="s">
        <v>36</v>
      </c>
      <c r="C2453" t="s">
        <v>37</v>
      </c>
      <c r="D2453" t="s">
        <v>24</v>
      </c>
      <c r="E2453" t="s">
        <v>25</v>
      </c>
      <c r="F2453">
        <v>50</v>
      </c>
      <c r="G2453">
        <v>50.1</v>
      </c>
      <c r="H2453" t="s">
        <v>46</v>
      </c>
      <c r="I2453" t="s">
        <v>47</v>
      </c>
    </row>
    <row r="2454" spans="1:9" x14ac:dyDescent="0.35">
      <c r="A2454" s="1">
        <v>45373</v>
      </c>
      <c r="B2454" t="s">
        <v>36</v>
      </c>
      <c r="C2454" t="s">
        <v>37</v>
      </c>
      <c r="D2454" t="s">
        <v>26</v>
      </c>
      <c r="E2454" t="s">
        <v>27</v>
      </c>
      <c r="F2454">
        <v>38</v>
      </c>
      <c r="G2454">
        <v>45.8</v>
      </c>
      <c r="H2454" t="s">
        <v>48</v>
      </c>
      <c r="I2454" t="s">
        <v>50</v>
      </c>
    </row>
    <row r="2455" spans="1:9" x14ac:dyDescent="0.35">
      <c r="A2455" s="1">
        <v>45373</v>
      </c>
      <c r="B2455" t="s">
        <v>36</v>
      </c>
      <c r="C2455" t="s">
        <v>37</v>
      </c>
      <c r="D2455" t="s">
        <v>28</v>
      </c>
      <c r="E2455" t="s">
        <v>29</v>
      </c>
      <c r="F2455">
        <v>32</v>
      </c>
      <c r="G2455">
        <v>32.200000000000003</v>
      </c>
      <c r="H2455" t="s">
        <v>46</v>
      </c>
      <c r="I2455" t="s">
        <v>47</v>
      </c>
    </row>
    <row r="2456" spans="1:9" x14ac:dyDescent="0.35">
      <c r="A2456" s="1">
        <v>45373</v>
      </c>
      <c r="B2456" t="s">
        <v>39</v>
      </c>
      <c r="C2456" t="s">
        <v>40</v>
      </c>
      <c r="D2456" t="s">
        <v>15</v>
      </c>
      <c r="E2456" t="s">
        <v>16</v>
      </c>
      <c r="F2456">
        <v>34</v>
      </c>
      <c r="G2456">
        <v>36.799999999999997</v>
      </c>
      <c r="H2456" t="s">
        <v>46</v>
      </c>
      <c r="I2456" t="s">
        <v>47</v>
      </c>
    </row>
    <row r="2457" spans="1:9" x14ac:dyDescent="0.35">
      <c r="A2457" s="1">
        <v>45373</v>
      </c>
      <c r="B2457" t="s">
        <v>39</v>
      </c>
      <c r="C2457" t="s">
        <v>40</v>
      </c>
      <c r="D2457" t="s">
        <v>18</v>
      </c>
      <c r="E2457" t="s">
        <v>19</v>
      </c>
      <c r="F2457">
        <v>38</v>
      </c>
      <c r="G2457">
        <v>37.5</v>
      </c>
      <c r="H2457" t="s">
        <v>46</v>
      </c>
      <c r="I2457" t="s">
        <v>47</v>
      </c>
    </row>
    <row r="2458" spans="1:9" x14ac:dyDescent="0.35">
      <c r="A2458" s="1">
        <v>45373</v>
      </c>
      <c r="B2458" t="s">
        <v>39</v>
      </c>
      <c r="C2458" t="s">
        <v>40</v>
      </c>
      <c r="D2458" t="s">
        <v>21</v>
      </c>
      <c r="E2458" t="s">
        <v>22</v>
      </c>
      <c r="F2458">
        <v>32</v>
      </c>
      <c r="G2458">
        <v>31.2</v>
      </c>
      <c r="H2458" t="s">
        <v>46</v>
      </c>
      <c r="I2458" t="s">
        <v>47</v>
      </c>
    </row>
    <row r="2459" spans="1:9" x14ac:dyDescent="0.35">
      <c r="A2459" s="1">
        <v>45373</v>
      </c>
      <c r="B2459" t="s">
        <v>39</v>
      </c>
      <c r="C2459" t="s">
        <v>40</v>
      </c>
      <c r="D2459" t="s">
        <v>24</v>
      </c>
      <c r="E2459" t="s">
        <v>25</v>
      </c>
      <c r="F2459">
        <v>50</v>
      </c>
      <c r="G2459">
        <v>53</v>
      </c>
      <c r="H2459" t="s">
        <v>46</v>
      </c>
      <c r="I2459" t="s">
        <v>47</v>
      </c>
    </row>
    <row r="2460" spans="1:9" x14ac:dyDescent="0.35">
      <c r="A2460" s="1">
        <v>45373</v>
      </c>
      <c r="B2460" t="s">
        <v>39</v>
      </c>
      <c r="C2460" t="s">
        <v>40</v>
      </c>
      <c r="D2460" t="s">
        <v>26</v>
      </c>
      <c r="E2460" t="s">
        <v>27</v>
      </c>
      <c r="F2460">
        <v>38</v>
      </c>
      <c r="G2460">
        <v>37.5</v>
      </c>
      <c r="H2460" t="s">
        <v>46</v>
      </c>
      <c r="I2460" t="s">
        <v>47</v>
      </c>
    </row>
    <row r="2461" spans="1:9" x14ac:dyDescent="0.35">
      <c r="A2461" s="1">
        <v>45373</v>
      </c>
      <c r="B2461" t="s">
        <v>39</v>
      </c>
      <c r="C2461" t="s">
        <v>40</v>
      </c>
      <c r="D2461" t="s">
        <v>28</v>
      </c>
      <c r="E2461" t="s">
        <v>29</v>
      </c>
      <c r="F2461">
        <v>32</v>
      </c>
      <c r="G2461">
        <v>33.5</v>
      </c>
      <c r="H2461" t="s">
        <v>46</v>
      </c>
      <c r="I2461" t="s">
        <v>47</v>
      </c>
    </row>
    <row r="2462" spans="1:9" x14ac:dyDescent="0.35">
      <c r="A2462" s="1">
        <v>45374</v>
      </c>
      <c r="B2462" t="s">
        <v>12</v>
      </c>
      <c r="C2462" t="s">
        <v>13</v>
      </c>
      <c r="D2462" t="s">
        <v>15</v>
      </c>
      <c r="E2462" t="s">
        <v>16</v>
      </c>
      <c r="F2462">
        <v>34</v>
      </c>
      <c r="G2462">
        <v>34.299999999999997</v>
      </c>
      <c r="H2462" t="s">
        <v>46</v>
      </c>
      <c r="I2462" t="s">
        <v>47</v>
      </c>
    </row>
    <row r="2463" spans="1:9" x14ac:dyDescent="0.35">
      <c r="A2463" s="1">
        <v>45374</v>
      </c>
      <c r="B2463" t="s">
        <v>12</v>
      </c>
      <c r="C2463" t="s">
        <v>13</v>
      </c>
      <c r="D2463" t="s">
        <v>18</v>
      </c>
      <c r="E2463" t="s">
        <v>19</v>
      </c>
      <c r="F2463">
        <v>38</v>
      </c>
      <c r="G2463">
        <v>40.5</v>
      </c>
      <c r="H2463" t="s">
        <v>46</v>
      </c>
      <c r="I2463" t="s">
        <v>47</v>
      </c>
    </row>
    <row r="2464" spans="1:9" x14ac:dyDescent="0.35">
      <c r="A2464" s="1">
        <v>45374</v>
      </c>
      <c r="B2464" t="s">
        <v>12</v>
      </c>
      <c r="C2464" t="s">
        <v>13</v>
      </c>
      <c r="D2464" t="s">
        <v>21</v>
      </c>
      <c r="E2464" t="s">
        <v>22</v>
      </c>
      <c r="F2464">
        <v>32</v>
      </c>
      <c r="G2464">
        <v>31.5</v>
      </c>
      <c r="H2464" t="s">
        <v>46</v>
      </c>
      <c r="I2464" t="s">
        <v>47</v>
      </c>
    </row>
    <row r="2465" spans="1:9" x14ac:dyDescent="0.35">
      <c r="A2465" s="1">
        <v>45374</v>
      </c>
      <c r="B2465" t="s">
        <v>12</v>
      </c>
      <c r="C2465" t="s">
        <v>13</v>
      </c>
      <c r="D2465" t="s">
        <v>24</v>
      </c>
      <c r="E2465" t="s">
        <v>25</v>
      </c>
      <c r="F2465">
        <v>50</v>
      </c>
      <c r="G2465">
        <v>50.2</v>
      </c>
      <c r="H2465" t="s">
        <v>46</v>
      </c>
      <c r="I2465" t="s">
        <v>47</v>
      </c>
    </row>
    <row r="2466" spans="1:9" x14ac:dyDescent="0.35">
      <c r="A2466" s="1">
        <v>45374</v>
      </c>
      <c r="B2466" t="s">
        <v>12</v>
      </c>
      <c r="C2466" t="s">
        <v>13</v>
      </c>
      <c r="D2466" t="s">
        <v>26</v>
      </c>
      <c r="E2466" t="s">
        <v>27</v>
      </c>
      <c r="F2466">
        <v>38</v>
      </c>
      <c r="G2466">
        <v>39.5</v>
      </c>
      <c r="H2466" t="s">
        <v>46</v>
      </c>
      <c r="I2466" t="s">
        <v>47</v>
      </c>
    </row>
    <row r="2467" spans="1:9" x14ac:dyDescent="0.35">
      <c r="A2467" s="1">
        <v>45374</v>
      </c>
      <c r="B2467" t="s">
        <v>12</v>
      </c>
      <c r="C2467" t="s">
        <v>13</v>
      </c>
      <c r="D2467" t="s">
        <v>28</v>
      </c>
      <c r="E2467" t="s">
        <v>29</v>
      </c>
      <c r="F2467">
        <v>32</v>
      </c>
      <c r="G2467">
        <v>40.799999999999997</v>
      </c>
      <c r="H2467" t="s">
        <v>48</v>
      </c>
      <c r="I2467" t="s">
        <v>50</v>
      </c>
    </row>
    <row r="2468" spans="1:9" x14ac:dyDescent="0.35">
      <c r="A2468" s="1">
        <v>45374</v>
      </c>
      <c r="B2468" t="s">
        <v>30</v>
      </c>
      <c r="C2468" t="s">
        <v>31</v>
      </c>
      <c r="D2468" t="s">
        <v>15</v>
      </c>
      <c r="E2468" t="s">
        <v>16</v>
      </c>
      <c r="F2468">
        <v>34</v>
      </c>
      <c r="G2468">
        <v>34.1</v>
      </c>
      <c r="H2468" t="s">
        <v>46</v>
      </c>
      <c r="I2468" t="s">
        <v>47</v>
      </c>
    </row>
    <row r="2469" spans="1:9" x14ac:dyDescent="0.35">
      <c r="A2469" s="1">
        <v>45374</v>
      </c>
      <c r="B2469" t="s">
        <v>30</v>
      </c>
      <c r="C2469" t="s">
        <v>31</v>
      </c>
      <c r="D2469" t="s">
        <v>18</v>
      </c>
      <c r="E2469" t="s">
        <v>19</v>
      </c>
      <c r="F2469">
        <v>38</v>
      </c>
      <c r="G2469">
        <v>37.1</v>
      </c>
      <c r="H2469" t="s">
        <v>46</v>
      </c>
      <c r="I2469" t="s">
        <v>47</v>
      </c>
    </row>
    <row r="2470" spans="1:9" x14ac:dyDescent="0.35">
      <c r="A2470" s="1">
        <v>45374</v>
      </c>
      <c r="B2470" t="s">
        <v>30</v>
      </c>
      <c r="C2470" t="s">
        <v>31</v>
      </c>
      <c r="D2470" t="s">
        <v>21</v>
      </c>
      <c r="E2470" t="s">
        <v>22</v>
      </c>
      <c r="F2470">
        <v>32</v>
      </c>
      <c r="G2470">
        <v>34.5</v>
      </c>
      <c r="H2470" t="s">
        <v>46</v>
      </c>
      <c r="I2470" t="s">
        <v>47</v>
      </c>
    </row>
    <row r="2471" spans="1:9" x14ac:dyDescent="0.35">
      <c r="A2471" s="1">
        <v>45374</v>
      </c>
      <c r="B2471" t="s">
        <v>30</v>
      </c>
      <c r="C2471" t="s">
        <v>31</v>
      </c>
      <c r="D2471" t="s">
        <v>24</v>
      </c>
      <c r="E2471" t="s">
        <v>25</v>
      </c>
      <c r="F2471">
        <v>50</v>
      </c>
      <c r="G2471">
        <v>51.3</v>
      </c>
      <c r="H2471" t="s">
        <v>46</v>
      </c>
      <c r="I2471" t="s">
        <v>47</v>
      </c>
    </row>
    <row r="2472" spans="1:9" x14ac:dyDescent="0.35">
      <c r="A2472" s="1">
        <v>45374</v>
      </c>
      <c r="B2472" t="s">
        <v>30</v>
      </c>
      <c r="C2472" t="s">
        <v>31</v>
      </c>
      <c r="D2472" t="s">
        <v>26</v>
      </c>
      <c r="E2472" t="s">
        <v>27</v>
      </c>
      <c r="F2472">
        <v>38</v>
      </c>
      <c r="G2472">
        <v>39.799999999999997</v>
      </c>
      <c r="H2472" t="s">
        <v>46</v>
      </c>
      <c r="I2472" t="s">
        <v>47</v>
      </c>
    </row>
    <row r="2473" spans="1:9" x14ac:dyDescent="0.35">
      <c r="A2473" s="1">
        <v>45374</v>
      </c>
      <c r="B2473" t="s">
        <v>30</v>
      </c>
      <c r="C2473" t="s">
        <v>31</v>
      </c>
      <c r="D2473" t="s">
        <v>28</v>
      </c>
      <c r="E2473" t="s">
        <v>29</v>
      </c>
      <c r="F2473">
        <v>32</v>
      </c>
      <c r="G2473">
        <v>32</v>
      </c>
      <c r="H2473" t="s">
        <v>46</v>
      </c>
      <c r="I2473" t="s">
        <v>47</v>
      </c>
    </row>
    <row r="2474" spans="1:9" x14ac:dyDescent="0.35">
      <c r="A2474" s="1">
        <v>45374</v>
      </c>
      <c r="B2474" t="s">
        <v>33</v>
      </c>
      <c r="C2474" t="s">
        <v>34</v>
      </c>
      <c r="D2474" t="s">
        <v>15</v>
      </c>
      <c r="E2474" t="s">
        <v>16</v>
      </c>
      <c r="F2474">
        <v>34</v>
      </c>
      <c r="G2474">
        <v>35.4</v>
      </c>
      <c r="H2474" t="s">
        <v>46</v>
      </c>
      <c r="I2474" t="s">
        <v>47</v>
      </c>
    </row>
    <row r="2475" spans="1:9" x14ac:dyDescent="0.35">
      <c r="A2475" s="1">
        <v>45374</v>
      </c>
      <c r="B2475" t="s">
        <v>33</v>
      </c>
      <c r="C2475" t="s">
        <v>34</v>
      </c>
      <c r="D2475" t="s">
        <v>18</v>
      </c>
      <c r="E2475" t="s">
        <v>19</v>
      </c>
      <c r="F2475">
        <v>38</v>
      </c>
      <c r="G2475">
        <v>38.799999999999997</v>
      </c>
      <c r="H2475" t="s">
        <v>46</v>
      </c>
      <c r="I2475" t="s">
        <v>47</v>
      </c>
    </row>
    <row r="2476" spans="1:9" x14ac:dyDescent="0.35">
      <c r="A2476" s="1">
        <v>45374</v>
      </c>
      <c r="B2476" t="s">
        <v>33</v>
      </c>
      <c r="C2476" t="s">
        <v>34</v>
      </c>
      <c r="D2476" t="s">
        <v>21</v>
      </c>
      <c r="E2476" t="s">
        <v>22</v>
      </c>
      <c r="F2476">
        <v>32</v>
      </c>
      <c r="G2476">
        <v>31.8</v>
      </c>
      <c r="H2476" t="s">
        <v>46</v>
      </c>
      <c r="I2476" t="s">
        <v>47</v>
      </c>
    </row>
    <row r="2477" spans="1:9" x14ac:dyDescent="0.35">
      <c r="A2477" s="1">
        <v>45374</v>
      </c>
      <c r="B2477" t="s">
        <v>33</v>
      </c>
      <c r="C2477" t="s">
        <v>34</v>
      </c>
      <c r="D2477" t="s">
        <v>24</v>
      </c>
      <c r="E2477" t="s">
        <v>25</v>
      </c>
      <c r="F2477">
        <v>50</v>
      </c>
      <c r="G2477">
        <v>52.4</v>
      </c>
      <c r="H2477" t="s">
        <v>46</v>
      </c>
      <c r="I2477" t="s">
        <v>47</v>
      </c>
    </row>
    <row r="2478" spans="1:9" x14ac:dyDescent="0.35">
      <c r="A2478" s="1">
        <v>45374</v>
      </c>
      <c r="B2478" t="s">
        <v>33</v>
      </c>
      <c r="C2478" t="s">
        <v>34</v>
      </c>
      <c r="D2478" t="s">
        <v>26</v>
      </c>
      <c r="E2478" t="s">
        <v>27</v>
      </c>
      <c r="F2478">
        <v>38</v>
      </c>
      <c r="G2478">
        <v>38.799999999999997</v>
      </c>
      <c r="H2478" t="s">
        <v>46</v>
      </c>
      <c r="I2478" t="s">
        <v>47</v>
      </c>
    </row>
    <row r="2479" spans="1:9" x14ac:dyDescent="0.35">
      <c r="A2479" s="1">
        <v>45374</v>
      </c>
      <c r="B2479" t="s">
        <v>33</v>
      </c>
      <c r="C2479" t="s">
        <v>34</v>
      </c>
      <c r="D2479" t="s">
        <v>28</v>
      </c>
      <c r="E2479" t="s">
        <v>29</v>
      </c>
      <c r="F2479">
        <v>32</v>
      </c>
      <c r="G2479">
        <v>32.700000000000003</v>
      </c>
      <c r="H2479" t="s">
        <v>46</v>
      </c>
      <c r="I2479" t="s">
        <v>47</v>
      </c>
    </row>
    <row r="2480" spans="1:9" x14ac:dyDescent="0.35">
      <c r="A2480" s="1">
        <v>45374</v>
      </c>
      <c r="B2480" t="s">
        <v>36</v>
      </c>
      <c r="C2480" t="s">
        <v>37</v>
      </c>
      <c r="D2480" t="s">
        <v>15</v>
      </c>
      <c r="E2480" t="s">
        <v>16</v>
      </c>
      <c r="F2480">
        <v>34</v>
      </c>
      <c r="G2480">
        <v>43.8</v>
      </c>
      <c r="H2480" t="s">
        <v>48</v>
      </c>
      <c r="I2480" t="s">
        <v>50</v>
      </c>
    </row>
    <row r="2481" spans="1:9" x14ac:dyDescent="0.35">
      <c r="A2481" s="1">
        <v>45374</v>
      </c>
      <c r="B2481" t="s">
        <v>36</v>
      </c>
      <c r="C2481" t="s">
        <v>37</v>
      </c>
      <c r="D2481" t="s">
        <v>18</v>
      </c>
      <c r="E2481" t="s">
        <v>19</v>
      </c>
      <c r="F2481">
        <v>38</v>
      </c>
      <c r="G2481">
        <v>38.799999999999997</v>
      </c>
      <c r="H2481" t="s">
        <v>46</v>
      </c>
      <c r="I2481" t="s">
        <v>47</v>
      </c>
    </row>
    <row r="2482" spans="1:9" x14ac:dyDescent="0.35">
      <c r="A2482" s="1">
        <v>45374</v>
      </c>
      <c r="B2482" t="s">
        <v>36</v>
      </c>
      <c r="C2482" t="s">
        <v>37</v>
      </c>
      <c r="D2482" t="s">
        <v>21</v>
      </c>
      <c r="E2482" t="s">
        <v>22</v>
      </c>
      <c r="F2482">
        <v>32</v>
      </c>
      <c r="G2482">
        <v>31.7</v>
      </c>
      <c r="H2482" t="s">
        <v>46</v>
      </c>
      <c r="I2482" t="s">
        <v>47</v>
      </c>
    </row>
    <row r="2483" spans="1:9" x14ac:dyDescent="0.35">
      <c r="A2483" s="1">
        <v>45374</v>
      </c>
      <c r="B2483" t="s">
        <v>36</v>
      </c>
      <c r="C2483" t="s">
        <v>37</v>
      </c>
      <c r="D2483" t="s">
        <v>24</v>
      </c>
      <c r="E2483" t="s">
        <v>25</v>
      </c>
      <c r="F2483">
        <v>50</v>
      </c>
      <c r="G2483">
        <v>52.8</v>
      </c>
      <c r="H2483" t="s">
        <v>46</v>
      </c>
      <c r="I2483" t="s">
        <v>47</v>
      </c>
    </row>
    <row r="2484" spans="1:9" x14ac:dyDescent="0.35">
      <c r="A2484" s="1">
        <v>45374</v>
      </c>
      <c r="B2484" t="s">
        <v>36</v>
      </c>
      <c r="C2484" t="s">
        <v>37</v>
      </c>
      <c r="D2484" t="s">
        <v>26</v>
      </c>
      <c r="E2484" t="s">
        <v>27</v>
      </c>
      <c r="F2484">
        <v>38</v>
      </c>
      <c r="G2484">
        <v>38.1</v>
      </c>
      <c r="H2484" t="s">
        <v>46</v>
      </c>
      <c r="I2484" t="s">
        <v>47</v>
      </c>
    </row>
    <row r="2485" spans="1:9" x14ac:dyDescent="0.35">
      <c r="A2485" s="1">
        <v>45374</v>
      </c>
      <c r="B2485" t="s">
        <v>36</v>
      </c>
      <c r="C2485" t="s">
        <v>37</v>
      </c>
      <c r="D2485" t="s">
        <v>28</v>
      </c>
      <c r="E2485" t="s">
        <v>29</v>
      </c>
      <c r="F2485">
        <v>32</v>
      </c>
      <c r="G2485">
        <v>34.5</v>
      </c>
      <c r="H2485" t="s">
        <v>46</v>
      </c>
      <c r="I2485" t="s">
        <v>47</v>
      </c>
    </row>
    <row r="2486" spans="1:9" x14ac:dyDescent="0.35">
      <c r="A2486" s="1">
        <v>45374</v>
      </c>
      <c r="B2486" t="s">
        <v>39</v>
      </c>
      <c r="C2486" t="s">
        <v>40</v>
      </c>
      <c r="D2486" t="s">
        <v>15</v>
      </c>
      <c r="E2486" t="s">
        <v>16</v>
      </c>
      <c r="F2486">
        <v>34</v>
      </c>
      <c r="G2486">
        <v>35.700000000000003</v>
      </c>
      <c r="H2486" t="s">
        <v>46</v>
      </c>
      <c r="I2486" t="s">
        <v>47</v>
      </c>
    </row>
    <row r="2487" spans="1:9" x14ac:dyDescent="0.35">
      <c r="A2487" s="1">
        <v>45374</v>
      </c>
      <c r="B2487" t="s">
        <v>39</v>
      </c>
      <c r="C2487" t="s">
        <v>40</v>
      </c>
      <c r="D2487" t="s">
        <v>18</v>
      </c>
      <c r="E2487" t="s">
        <v>19</v>
      </c>
      <c r="F2487">
        <v>38</v>
      </c>
      <c r="G2487">
        <v>37.6</v>
      </c>
      <c r="H2487" t="s">
        <v>46</v>
      </c>
      <c r="I2487" t="s">
        <v>47</v>
      </c>
    </row>
    <row r="2488" spans="1:9" x14ac:dyDescent="0.35">
      <c r="A2488" s="1">
        <v>45374</v>
      </c>
      <c r="B2488" t="s">
        <v>39</v>
      </c>
      <c r="C2488" t="s">
        <v>40</v>
      </c>
      <c r="D2488" t="s">
        <v>21</v>
      </c>
      <c r="E2488" t="s">
        <v>22</v>
      </c>
      <c r="F2488">
        <v>32</v>
      </c>
      <c r="G2488">
        <v>32.799999999999997</v>
      </c>
      <c r="H2488" t="s">
        <v>46</v>
      </c>
      <c r="I2488" t="s">
        <v>47</v>
      </c>
    </row>
    <row r="2489" spans="1:9" x14ac:dyDescent="0.35">
      <c r="A2489" s="1">
        <v>45374</v>
      </c>
      <c r="B2489" t="s">
        <v>39</v>
      </c>
      <c r="C2489" t="s">
        <v>40</v>
      </c>
      <c r="D2489" t="s">
        <v>24</v>
      </c>
      <c r="E2489" t="s">
        <v>25</v>
      </c>
      <c r="F2489">
        <v>50</v>
      </c>
      <c r="G2489">
        <v>50.6</v>
      </c>
      <c r="H2489" t="s">
        <v>46</v>
      </c>
      <c r="I2489" t="s">
        <v>47</v>
      </c>
    </row>
    <row r="2490" spans="1:9" x14ac:dyDescent="0.35">
      <c r="A2490" s="1">
        <v>45374</v>
      </c>
      <c r="B2490" t="s">
        <v>39</v>
      </c>
      <c r="C2490" t="s">
        <v>40</v>
      </c>
      <c r="D2490" t="s">
        <v>26</v>
      </c>
      <c r="E2490" t="s">
        <v>27</v>
      </c>
      <c r="F2490">
        <v>38</v>
      </c>
      <c r="G2490">
        <v>37.5</v>
      </c>
      <c r="H2490" t="s">
        <v>46</v>
      </c>
      <c r="I2490" t="s">
        <v>47</v>
      </c>
    </row>
    <row r="2491" spans="1:9" x14ac:dyDescent="0.35">
      <c r="A2491" s="1">
        <v>45374</v>
      </c>
      <c r="B2491" t="s">
        <v>39</v>
      </c>
      <c r="C2491" t="s">
        <v>40</v>
      </c>
      <c r="D2491" t="s">
        <v>28</v>
      </c>
      <c r="E2491" t="s">
        <v>29</v>
      </c>
      <c r="F2491">
        <v>32</v>
      </c>
      <c r="G2491">
        <v>31</v>
      </c>
      <c r="H2491" t="s">
        <v>46</v>
      </c>
      <c r="I2491" t="s">
        <v>47</v>
      </c>
    </row>
    <row r="2492" spans="1:9" x14ac:dyDescent="0.35">
      <c r="A2492" s="1">
        <v>45375</v>
      </c>
      <c r="B2492" t="s">
        <v>12</v>
      </c>
      <c r="C2492" t="s">
        <v>13</v>
      </c>
      <c r="D2492" t="s">
        <v>15</v>
      </c>
      <c r="E2492" t="s">
        <v>16</v>
      </c>
      <c r="F2492">
        <v>34</v>
      </c>
      <c r="G2492">
        <v>43.1</v>
      </c>
      <c r="H2492" t="s">
        <v>48</v>
      </c>
      <c r="I2492" t="s">
        <v>50</v>
      </c>
    </row>
    <row r="2493" spans="1:9" x14ac:dyDescent="0.35">
      <c r="A2493" s="1">
        <v>45375</v>
      </c>
      <c r="B2493" t="s">
        <v>12</v>
      </c>
      <c r="C2493" t="s">
        <v>13</v>
      </c>
      <c r="D2493" t="s">
        <v>18</v>
      </c>
      <c r="E2493" t="s">
        <v>19</v>
      </c>
      <c r="F2493">
        <v>38</v>
      </c>
      <c r="G2493">
        <v>44.1</v>
      </c>
      <c r="H2493" t="s">
        <v>48</v>
      </c>
      <c r="I2493" t="s">
        <v>50</v>
      </c>
    </row>
    <row r="2494" spans="1:9" x14ac:dyDescent="0.35">
      <c r="A2494" s="1">
        <v>45375</v>
      </c>
      <c r="B2494" t="s">
        <v>12</v>
      </c>
      <c r="C2494" t="s">
        <v>13</v>
      </c>
      <c r="D2494" t="s">
        <v>21</v>
      </c>
      <c r="E2494" t="s">
        <v>22</v>
      </c>
      <c r="F2494">
        <v>32</v>
      </c>
      <c r="G2494">
        <v>34.700000000000003</v>
      </c>
      <c r="H2494" t="s">
        <v>46</v>
      </c>
      <c r="I2494" t="s">
        <v>47</v>
      </c>
    </row>
    <row r="2495" spans="1:9" x14ac:dyDescent="0.35">
      <c r="A2495" s="1">
        <v>45375</v>
      </c>
      <c r="B2495" t="s">
        <v>12</v>
      </c>
      <c r="C2495" t="s">
        <v>13</v>
      </c>
      <c r="D2495" t="s">
        <v>24</v>
      </c>
      <c r="E2495" t="s">
        <v>25</v>
      </c>
      <c r="F2495">
        <v>50</v>
      </c>
      <c r="G2495">
        <v>62.2</v>
      </c>
      <c r="H2495" t="s">
        <v>48</v>
      </c>
      <c r="I2495" t="s">
        <v>49</v>
      </c>
    </row>
    <row r="2496" spans="1:9" x14ac:dyDescent="0.35">
      <c r="A2496" s="1">
        <v>45375</v>
      </c>
      <c r="B2496" t="s">
        <v>12</v>
      </c>
      <c r="C2496" t="s">
        <v>13</v>
      </c>
      <c r="D2496" t="s">
        <v>26</v>
      </c>
      <c r="E2496" t="s">
        <v>27</v>
      </c>
      <c r="F2496">
        <v>38</v>
      </c>
      <c r="G2496">
        <v>40.799999999999997</v>
      </c>
      <c r="H2496" t="s">
        <v>46</v>
      </c>
      <c r="I2496" t="s">
        <v>47</v>
      </c>
    </row>
    <row r="2497" spans="1:9" x14ac:dyDescent="0.35">
      <c r="A2497" s="1">
        <v>45375</v>
      </c>
      <c r="B2497" t="s">
        <v>12</v>
      </c>
      <c r="C2497" t="s">
        <v>13</v>
      </c>
      <c r="D2497" t="s">
        <v>28</v>
      </c>
      <c r="E2497" t="s">
        <v>29</v>
      </c>
      <c r="F2497">
        <v>32</v>
      </c>
      <c r="G2497">
        <v>34.200000000000003</v>
      </c>
      <c r="H2497" t="s">
        <v>46</v>
      </c>
      <c r="I2497" t="s">
        <v>47</v>
      </c>
    </row>
    <row r="2498" spans="1:9" x14ac:dyDescent="0.35">
      <c r="A2498" s="1">
        <v>45375</v>
      </c>
      <c r="B2498" t="s">
        <v>30</v>
      </c>
      <c r="C2498" t="s">
        <v>31</v>
      </c>
      <c r="D2498" t="s">
        <v>15</v>
      </c>
      <c r="E2498" t="s">
        <v>16</v>
      </c>
      <c r="F2498">
        <v>34</v>
      </c>
      <c r="G2498">
        <v>46.3</v>
      </c>
      <c r="H2498" t="s">
        <v>48</v>
      </c>
      <c r="I2498" t="s">
        <v>49</v>
      </c>
    </row>
    <row r="2499" spans="1:9" x14ac:dyDescent="0.35">
      <c r="A2499" s="1">
        <v>45375</v>
      </c>
      <c r="B2499" t="s">
        <v>30</v>
      </c>
      <c r="C2499" t="s">
        <v>31</v>
      </c>
      <c r="D2499" t="s">
        <v>18</v>
      </c>
      <c r="E2499" t="s">
        <v>19</v>
      </c>
      <c r="F2499">
        <v>38</v>
      </c>
      <c r="G2499">
        <v>40.299999999999997</v>
      </c>
      <c r="H2499" t="s">
        <v>46</v>
      </c>
      <c r="I2499" t="s">
        <v>47</v>
      </c>
    </row>
    <row r="2500" spans="1:9" x14ac:dyDescent="0.35">
      <c r="A2500" s="1">
        <v>45375</v>
      </c>
      <c r="B2500" t="s">
        <v>30</v>
      </c>
      <c r="C2500" t="s">
        <v>31</v>
      </c>
      <c r="D2500" t="s">
        <v>21</v>
      </c>
      <c r="E2500" t="s">
        <v>22</v>
      </c>
      <c r="F2500">
        <v>32</v>
      </c>
      <c r="G2500">
        <v>31.3</v>
      </c>
      <c r="H2500" t="s">
        <v>46</v>
      </c>
      <c r="I2500" t="s">
        <v>47</v>
      </c>
    </row>
    <row r="2501" spans="1:9" x14ac:dyDescent="0.35">
      <c r="A2501" s="1">
        <v>45375</v>
      </c>
      <c r="B2501" t="s">
        <v>30</v>
      </c>
      <c r="C2501" t="s">
        <v>31</v>
      </c>
      <c r="D2501" t="s">
        <v>24</v>
      </c>
      <c r="E2501" t="s">
        <v>25</v>
      </c>
      <c r="F2501">
        <v>50</v>
      </c>
      <c r="G2501">
        <v>62.1</v>
      </c>
      <c r="H2501" t="s">
        <v>48</v>
      </c>
      <c r="I2501" t="s">
        <v>49</v>
      </c>
    </row>
    <row r="2502" spans="1:9" x14ac:dyDescent="0.35">
      <c r="A2502" s="1">
        <v>45375</v>
      </c>
      <c r="B2502" t="s">
        <v>30</v>
      </c>
      <c r="C2502" t="s">
        <v>31</v>
      </c>
      <c r="D2502" t="s">
        <v>26</v>
      </c>
      <c r="E2502" t="s">
        <v>27</v>
      </c>
      <c r="F2502">
        <v>38</v>
      </c>
      <c r="G2502">
        <v>40.299999999999997</v>
      </c>
      <c r="H2502" t="s">
        <v>46</v>
      </c>
      <c r="I2502" t="s">
        <v>47</v>
      </c>
    </row>
    <row r="2503" spans="1:9" x14ac:dyDescent="0.35">
      <c r="A2503" s="1">
        <v>45375</v>
      </c>
      <c r="B2503" t="s">
        <v>30</v>
      </c>
      <c r="C2503" t="s">
        <v>31</v>
      </c>
      <c r="D2503" t="s">
        <v>28</v>
      </c>
      <c r="E2503" t="s">
        <v>29</v>
      </c>
      <c r="F2503">
        <v>32</v>
      </c>
      <c r="G2503">
        <v>32.9</v>
      </c>
      <c r="H2503" t="s">
        <v>46</v>
      </c>
      <c r="I2503" t="s">
        <v>47</v>
      </c>
    </row>
    <row r="2504" spans="1:9" x14ac:dyDescent="0.35">
      <c r="A2504" s="1">
        <v>45375</v>
      </c>
      <c r="B2504" t="s">
        <v>33</v>
      </c>
      <c r="C2504" t="s">
        <v>34</v>
      </c>
      <c r="D2504" t="s">
        <v>15</v>
      </c>
      <c r="E2504" t="s">
        <v>16</v>
      </c>
      <c r="F2504">
        <v>34</v>
      </c>
      <c r="G2504">
        <v>35.200000000000003</v>
      </c>
      <c r="H2504" t="s">
        <v>46</v>
      </c>
      <c r="I2504" t="s">
        <v>47</v>
      </c>
    </row>
    <row r="2505" spans="1:9" x14ac:dyDescent="0.35">
      <c r="A2505" s="1">
        <v>45375</v>
      </c>
      <c r="B2505" t="s">
        <v>33</v>
      </c>
      <c r="C2505" t="s">
        <v>34</v>
      </c>
      <c r="D2505" t="s">
        <v>18</v>
      </c>
      <c r="E2505" t="s">
        <v>19</v>
      </c>
      <c r="F2505">
        <v>38</v>
      </c>
      <c r="G2505">
        <v>39.200000000000003</v>
      </c>
      <c r="H2505" t="s">
        <v>46</v>
      </c>
      <c r="I2505" t="s">
        <v>47</v>
      </c>
    </row>
    <row r="2506" spans="1:9" x14ac:dyDescent="0.35">
      <c r="A2506" s="1">
        <v>45375</v>
      </c>
      <c r="B2506" t="s">
        <v>33</v>
      </c>
      <c r="C2506" t="s">
        <v>34</v>
      </c>
      <c r="D2506" t="s">
        <v>21</v>
      </c>
      <c r="E2506" t="s">
        <v>22</v>
      </c>
      <c r="F2506">
        <v>32</v>
      </c>
      <c r="G2506">
        <v>38.4</v>
      </c>
      <c r="H2506" t="s">
        <v>48</v>
      </c>
      <c r="I2506" t="s">
        <v>50</v>
      </c>
    </row>
    <row r="2507" spans="1:9" x14ac:dyDescent="0.35">
      <c r="A2507" s="1">
        <v>45375</v>
      </c>
      <c r="B2507" t="s">
        <v>33</v>
      </c>
      <c r="C2507" t="s">
        <v>34</v>
      </c>
      <c r="D2507" t="s">
        <v>24</v>
      </c>
      <c r="E2507" t="s">
        <v>25</v>
      </c>
      <c r="F2507">
        <v>50</v>
      </c>
      <c r="G2507">
        <v>49.4</v>
      </c>
      <c r="H2507" t="s">
        <v>46</v>
      </c>
      <c r="I2507" t="s">
        <v>47</v>
      </c>
    </row>
    <row r="2508" spans="1:9" x14ac:dyDescent="0.35">
      <c r="A2508" s="1">
        <v>45375</v>
      </c>
      <c r="B2508" t="s">
        <v>33</v>
      </c>
      <c r="C2508" t="s">
        <v>34</v>
      </c>
      <c r="D2508" t="s">
        <v>26</v>
      </c>
      <c r="E2508" t="s">
        <v>27</v>
      </c>
      <c r="F2508">
        <v>38</v>
      </c>
      <c r="G2508">
        <v>38.700000000000003</v>
      </c>
      <c r="H2508" t="s">
        <v>46</v>
      </c>
      <c r="I2508" t="s">
        <v>47</v>
      </c>
    </row>
    <row r="2509" spans="1:9" x14ac:dyDescent="0.35">
      <c r="A2509" s="1">
        <v>45375</v>
      </c>
      <c r="B2509" t="s">
        <v>33</v>
      </c>
      <c r="C2509" t="s">
        <v>34</v>
      </c>
      <c r="D2509" t="s">
        <v>28</v>
      </c>
      <c r="E2509" t="s">
        <v>29</v>
      </c>
      <c r="F2509">
        <v>32</v>
      </c>
      <c r="G2509">
        <v>39.799999999999997</v>
      </c>
      <c r="H2509" t="s">
        <v>48</v>
      </c>
      <c r="I2509" t="s">
        <v>50</v>
      </c>
    </row>
    <row r="2510" spans="1:9" x14ac:dyDescent="0.35">
      <c r="A2510" s="1">
        <v>45375</v>
      </c>
      <c r="B2510" t="s">
        <v>36</v>
      </c>
      <c r="C2510" t="s">
        <v>37</v>
      </c>
      <c r="D2510" t="s">
        <v>15</v>
      </c>
      <c r="E2510" t="s">
        <v>16</v>
      </c>
      <c r="F2510">
        <v>34</v>
      </c>
      <c r="G2510">
        <v>34.5</v>
      </c>
      <c r="H2510" t="s">
        <v>46</v>
      </c>
      <c r="I2510" t="s">
        <v>47</v>
      </c>
    </row>
    <row r="2511" spans="1:9" x14ac:dyDescent="0.35">
      <c r="A2511" s="1">
        <v>45375</v>
      </c>
      <c r="B2511" t="s">
        <v>36</v>
      </c>
      <c r="C2511" t="s">
        <v>37</v>
      </c>
      <c r="D2511" t="s">
        <v>18</v>
      </c>
      <c r="E2511" t="s">
        <v>19</v>
      </c>
      <c r="F2511">
        <v>38</v>
      </c>
      <c r="G2511">
        <v>38.1</v>
      </c>
      <c r="H2511" t="s">
        <v>46</v>
      </c>
      <c r="I2511" t="s">
        <v>47</v>
      </c>
    </row>
    <row r="2512" spans="1:9" x14ac:dyDescent="0.35">
      <c r="A2512" s="1">
        <v>45375</v>
      </c>
      <c r="B2512" t="s">
        <v>36</v>
      </c>
      <c r="C2512" t="s">
        <v>37</v>
      </c>
      <c r="D2512" t="s">
        <v>21</v>
      </c>
      <c r="E2512" t="s">
        <v>22</v>
      </c>
      <c r="F2512">
        <v>32</v>
      </c>
      <c r="G2512">
        <v>33.700000000000003</v>
      </c>
      <c r="H2512" t="s">
        <v>46</v>
      </c>
      <c r="I2512" t="s">
        <v>47</v>
      </c>
    </row>
    <row r="2513" spans="1:9" x14ac:dyDescent="0.35">
      <c r="A2513" s="1">
        <v>45375</v>
      </c>
      <c r="B2513" t="s">
        <v>36</v>
      </c>
      <c r="C2513" t="s">
        <v>37</v>
      </c>
      <c r="D2513" t="s">
        <v>24</v>
      </c>
      <c r="E2513" t="s">
        <v>25</v>
      </c>
      <c r="F2513">
        <v>50</v>
      </c>
      <c r="G2513">
        <v>51.9</v>
      </c>
      <c r="H2513" t="s">
        <v>46</v>
      </c>
      <c r="I2513" t="s">
        <v>47</v>
      </c>
    </row>
    <row r="2514" spans="1:9" x14ac:dyDescent="0.35">
      <c r="A2514" s="1">
        <v>45375</v>
      </c>
      <c r="B2514" t="s">
        <v>36</v>
      </c>
      <c r="C2514" t="s">
        <v>37</v>
      </c>
      <c r="D2514" t="s">
        <v>26</v>
      </c>
      <c r="E2514" t="s">
        <v>27</v>
      </c>
      <c r="F2514">
        <v>38</v>
      </c>
      <c r="G2514">
        <v>39</v>
      </c>
      <c r="H2514" t="s">
        <v>46</v>
      </c>
      <c r="I2514" t="s">
        <v>47</v>
      </c>
    </row>
    <row r="2515" spans="1:9" x14ac:dyDescent="0.35">
      <c r="A2515" s="1">
        <v>45375</v>
      </c>
      <c r="B2515" t="s">
        <v>36</v>
      </c>
      <c r="C2515" t="s">
        <v>37</v>
      </c>
      <c r="D2515" t="s">
        <v>28</v>
      </c>
      <c r="E2515" t="s">
        <v>29</v>
      </c>
      <c r="F2515">
        <v>32</v>
      </c>
      <c r="G2515">
        <v>31.9</v>
      </c>
      <c r="H2515" t="s">
        <v>46</v>
      </c>
      <c r="I2515" t="s">
        <v>47</v>
      </c>
    </row>
    <row r="2516" spans="1:9" x14ac:dyDescent="0.35">
      <c r="A2516" s="1">
        <v>45375</v>
      </c>
      <c r="B2516" t="s">
        <v>39</v>
      </c>
      <c r="C2516" t="s">
        <v>40</v>
      </c>
      <c r="D2516" t="s">
        <v>15</v>
      </c>
      <c r="E2516" t="s">
        <v>16</v>
      </c>
      <c r="F2516">
        <v>34</v>
      </c>
      <c r="G2516">
        <v>34.1</v>
      </c>
      <c r="H2516" t="s">
        <v>46</v>
      </c>
      <c r="I2516" t="s">
        <v>47</v>
      </c>
    </row>
    <row r="2517" spans="1:9" x14ac:dyDescent="0.35">
      <c r="A2517" s="1">
        <v>45375</v>
      </c>
      <c r="B2517" t="s">
        <v>39</v>
      </c>
      <c r="C2517" t="s">
        <v>40</v>
      </c>
      <c r="D2517" t="s">
        <v>18</v>
      </c>
      <c r="E2517" t="s">
        <v>19</v>
      </c>
      <c r="F2517">
        <v>38</v>
      </c>
      <c r="G2517">
        <v>46.7</v>
      </c>
      <c r="H2517" t="s">
        <v>48</v>
      </c>
      <c r="I2517" t="s">
        <v>50</v>
      </c>
    </row>
    <row r="2518" spans="1:9" x14ac:dyDescent="0.35">
      <c r="A2518" s="1">
        <v>45375</v>
      </c>
      <c r="B2518" t="s">
        <v>39</v>
      </c>
      <c r="C2518" t="s">
        <v>40</v>
      </c>
      <c r="D2518" t="s">
        <v>21</v>
      </c>
      <c r="E2518" t="s">
        <v>22</v>
      </c>
      <c r="F2518">
        <v>32</v>
      </c>
      <c r="G2518">
        <v>34.700000000000003</v>
      </c>
      <c r="H2518" t="s">
        <v>46</v>
      </c>
      <c r="I2518" t="s">
        <v>47</v>
      </c>
    </row>
    <row r="2519" spans="1:9" x14ac:dyDescent="0.35">
      <c r="A2519" s="1">
        <v>45375</v>
      </c>
      <c r="B2519" t="s">
        <v>39</v>
      </c>
      <c r="C2519" t="s">
        <v>40</v>
      </c>
      <c r="D2519" t="s">
        <v>24</v>
      </c>
      <c r="E2519" t="s">
        <v>25</v>
      </c>
      <c r="F2519">
        <v>50</v>
      </c>
      <c r="G2519">
        <v>56.3</v>
      </c>
      <c r="H2519" t="s">
        <v>48</v>
      </c>
      <c r="I2519" t="s">
        <v>50</v>
      </c>
    </row>
    <row r="2520" spans="1:9" x14ac:dyDescent="0.35">
      <c r="A2520" s="1">
        <v>45375</v>
      </c>
      <c r="B2520" t="s">
        <v>39</v>
      </c>
      <c r="C2520" t="s">
        <v>40</v>
      </c>
      <c r="D2520" t="s">
        <v>26</v>
      </c>
      <c r="E2520" t="s">
        <v>27</v>
      </c>
      <c r="F2520">
        <v>38</v>
      </c>
      <c r="G2520">
        <v>47.4</v>
      </c>
      <c r="H2520" t="s">
        <v>48</v>
      </c>
      <c r="I2520" t="s">
        <v>50</v>
      </c>
    </row>
    <row r="2521" spans="1:9" x14ac:dyDescent="0.35">
      <c r="A2521" s="1">
        <v>45375</v>
      </c>
      <c r="B2521" t="s">
        <v>39</v>
      </c>
      <c r="C2521" t="s">
        <v>40</v>
      </c>
      <c r="D2521" t="s">
        <v>28</v>
      </c>
      <c r="E2521" t="s">
        <v>29</v>
      </c>
      <c r="F2521">
        <v>32</v>
      </c>
      <c r="G2521">
        <v>31.7</v>
      </c>
      <c r="H2521" t="s">
        <v>46</v>
      </c>
      <c r="I2521" t="s">
        <v>47</v>
      </c>
    </row>
    <row r="2522" spans="1:9" x14ac:dyDescent="0.35">
      <c r="A2522" s="1">
        <v>45376</v>
      </c>
      <c r="B2522" t="s">
        <v>12</v>
      </c>
      <c r="C2522" t="s">
        <v>13</v>
      </c>
      <c r="D2522" t="s">
        <v>15</v>
      </c>
      <c r="E2522" t="s">
        <v>16</v>
      </c>
      <c r="F2522">
        <v>34</v>
      </c>
      <c r="G2522">
        <v>36.6</v>
      </c>
      <c r="H2522" t="s">
        <v>46</v>
      </c>
      <c r="I2522" t="s">
        <v>47</v>
      </c>
    </row>
    <row r="2523" spans="1:9" x14ac:dyDescent="0.35">
      <c r="A2523" s="1">
        <v>45376</v>
      </c>
      <c r="B2523" t="s">
        <v>12</v>
      </c>
      <c r="C2523" t="s">
        <v>13</v>
      </c>
      <c r="D2523" t="s">
        <v>18</v>
      </c>
      <c r="E2523" t="s">
        <v>19</v>
      </c>
      <c r="F2523">
        <v>38</v>
      </c>
      <c r="G2523">
        <v>39.5</v>
      </c>
      <c r="H2523" t="s">
        <v>46</v>
      </c>
      <c r="I2523" t="s">
        <v>47</v>
      </c>
    </row>
    <row r="2524" spans="1:9" x14ac:dyDescent="0.35">
      <c r="A2524" s="1">
        <v>45376</v>
      </c>
      <c r="B2524" t="s">
        <v>12</v>
      </c>
      <c r="C2524" t="s">
        <v>13</v>
      </c>
      <c r="D2524" t="s">
        <v>21</v>
      </c>
      <c r="E2524" t="s">
        <v>22</v>
      </c>
      <c r="F2524">
        <v>32</v>
      </c>
      <c r="G2524">
        <v>34.5</v>
      </c>
      <c r="H2524" t="s">
        <v>46</v>
      </c>
      <c r="I2524" t="s">
        <v>47</v>
      </c>
    </row>
    <row r="2525" spans="1:9" x14ac:dyDescent="0.35">
      <c r="A2525" s="1">
        <v>45376</v>
      </c>
      <c r="B2525" t="s">
        <v>12</v>
      </c>
      <c r="C2525" t="s">
        <v>13</v>
      </c>
      <c r="D2525" t="s">
        <v>24</v>
      </c>
      <c r="E2525" t="s">
        <v>25</v>
      </c>
      <c r="F2525">
        <v>50</v>
      </c>
      <c r="G2525">
        <v>51</v>
      </c>
      <c r="H2525" t="s">
        <v>46</v>
      </c>
      <c r="I2525" t="s">
        <v>47</v>
      </c>
    </row>
    <row r="2526" spans="1:9" x14ac:dyDescent="0.35">
      <c r="A2526" s="1">
        <v>45376</v>
      </c>
      <c r="B2526" t="s">
        <v>12</v>
      </c>
      <c r="C2526" t="s">
        <v>13</v>
      </c>
      <c r="D2526" t="s">
        <v>26</v>
      </c>
      <c r="E2526" t="s">
        <v>27</v>
      </c>
      <c r="F2526">
        <v>38</v>
      </c>
      <c r="G2526">
        <v>38.1</v>
      </c>
      <c r="H2526" t="s">
        <v>46</v>
      </c>
      <c r="I2526" t="s">
        <v>47</v>
      </c>
    </row>
    <row r="2527" spans="1:9" x14ac:dyDescent="0.35">
      <c r="A2527" s="1">
        <v>45376</v>
      </c>
      <c r="B2527" t="s">
        <v>12</v>
      </c>
      <c r="C2527" t="s">
        <v>13</v>
      </c>
      <c r="D2527" t="s">
        <v>28</v>
      </c>
      <c r="E2527" t="s">
        <v>29</v>
      </c>
      <c r="F2527">
        <v>32</v>
      </c>
      <c r="G2527">
        <v>34.200000000000003</v>
      </c>
      <c r="H2527" t="s">
        <v>46</v>
      </c>
      <c r="I2527" t="s">
        <v>47</v>
      </c>
    </row>
    <row r="2528" spans="1:9" x14ac:dyDescent="0.35">
      <c r="A2528" s="1">
        <v>45376</v>
      </c>
      <c r="B2528" t="s">
        <v>30</v>
      </c>
      <c r="C2528" t="s">
        <v>31</v>
      </c>
      <c r="D2528" t="s">
        <v>15</v>
      </c>
      <c r="E2528" t="s">
        <v>16</v>
      </c>
      <c r="F2528">
        <v>34</v>
      </c>
      <c r="G2528">
        <v>36.4</v>
      </c>
      <c r="H2528" t="s">
        <v>46</v>
      </c>
      <c r="I2528" t="s">
        <v>47</v>
      </c>
    </row>
    <row r="2529" spans="1:9" x14ac:dyDescent="0.35">
      <c r="A2529" s="1">
        <v>45376</v>
      </c>
      <c r="B2529" t="s">
        <v>30</v>
      </c>
      <c r="C2529" t="s">
        <v>31</v>
      </c>
      <c r="D2529" t="s">
        <v>18</v>
      </c>
      <c r="E2529" t="s">
        <v>19</v>
      </c>
      <c r="F2529">
        <v>38</v>
      </c>
      <c r="G2529">
        <v>40.1</v>
      </c>
      <c r="H2529" t="s">
        <v>46</v>
      </c>
      <c r="I2529" t="s">
        <v>47</v>
      </c>
    </row>
    <row r="2530" spans="1:9" x14ac:dyDescent="0.35">
      <c r="A2530" s="1">
        <v>45376</v>
      </c>
      <c r="B2530" t="s">
        <v>30</v>
      </c>
      <c r="C2530" t="s">
        <v>31</v>
      </c>
      <c r="D2530" t="s">
        <v>21</v>
      </c>
      <c r="E2530" t="s">
        <v>22</v>
      </c>
      <c r="F2530">
        <v>32</v>
      </c>
      <c r="G2530">
        <v>39.200000000000003</v>
      </c>
      <c r="H2530" t="s">
        <v>48</v>
      </c>
      <c r="I2530" t="s">
        <v>50</v>
      </c>
    </row>
    <row r="2531" spans="1:9" x14ac:dyDescent="0.35">
      <c r="A2531" s="1">
        <v>45376</v>
      </c>
      <c r="B2531" t="s">
        <v>30</v>
      </c>
      <c r="C2531" t="s">
        <v>31</v>
      </c>
      <c r="D2531" t="s">
        <v>24</v>
      </c>
      <c r="E2531" t="s">
        <v>25</v>
      </c>
      <c r="F2531">
        <v>50</v>
      </c>
      <c r="G2531">
        <v>52.2</v>
      </c>
      <c r="H2531" t="s">
        <v>46</v>
      </c>
      <c r="I2531" t="s">
        <v>47</v>
      </c>
    </row>
    <row r="2532" spans="1:9" x14ac:dyDescent="0.35">
      <c r="A2532" s="1">
        <v>45376</v>
      </c>
      <c r="B2532" t="s">
        <v>30</v>
      </c>
      <c r="C2532" t="s">
        <v>31</v>
      </c>
      <c r="D2532" t="s">
        <v>26</v>
      </c>
      <c r="E2532" t="s">
        <v>27</v>
      </c>
      <c r="F2532">
        <v>38</v>
      </c>
      <c r="G2532">
        <v>40.299999999999997</v>
      </c>
      <c r="H2532" t="s">
        <v>46</v>
      </c>
      <c r="I2532" t="s">
        <v>47</v>
      </c>
    </row>
    <row r="2533" spans="1:9" x14ac:dyDescent="0.35">
      <c r="A2533" s="1">
        <v>45376</v>
      </c>
      <c r="B2533" t="s">
        <v>30</v>
      </c>
      <c r="C2533" t="s">
        <v>31</v>
      </c>
      <c r="D2533" t="s">
        <v>28</v>
      </c>
      <c r="E2533" t="s">
        <v>29</v>
      </c>
      <c r="F2533">
        <v>32</v>
      </c>
      <c r="G2533">
        <v>41.4</v>
      </c>
      <c r="H2533" t="s">
        <v>48</v>
      </c>
      <c r="I2533" t="s">
        <v>50</v>
      </c>
    </row>
    <row r="2534" spans="1:9" x14ac:dyDescent="0.35">
      <c r="A2534" s="1">
        <v>45376</v>
      </c>
      <c r="B2534" t="s">
        <v>33</v>
      </c>
      <c r="C2534" t="s">
        <v>34</v>
      </c>
      <c r="D2534" t="s">
        <v>15</v>
      </c>
      <c r="E2534" t="s">
        <v>16</v>
      </c>
      <c r="F2534">
        <v>34</v>
      </c>
      <c r="G2534">
        <v>33.6</v>
      </c>
      <c r="H2534" t="s">
        <v>46</v>
      </c>
      <c r="I2534" t="s">
        <v>47</v>
      </c>
    </row>
    <row r="2535" spans="1:9" x14ac:dyDescent="0.35">
      <c r="A2535" s="1">
        <v>45376</v>
      </c>
      <c r="B2535" t="s">
        <v>33</v>
      </c>
      <c r="C2535" t="s">
        <v>34</v>
      </c>
      <c r="D2535" t="s">
        <v>18</v>
      </c>
      <c r="E2535" t="s">
        <v>19</v>
      </c>
      <c r="F2535">
        <v>38</v>
      </c>
      <c r="G2535">
        <v>37.5</v>
      </c>
      <c r="H2535" t="s">
        <v>46</v>
      </c>
      <c r="I2535" t="s">
        <v>47</v>
      </c>
    </row>
    <row r="2536" spans="1:9" x14ac:dyDescent="0.35">
      <c r="A2536" s="1">
        <v>45376</v>
      </c>
      <c r="B2536" t="s">
        <v>33</v>
      </c>
      <c r="C2536" t="s">
        <v>34</v>
      </c>
      <c r="D2536" t="s">
        <v>21</v>
      </c>
      <c r="E2536" t="s">
        <v>22</v>
      </c>
      <c r="F2536">
        <v>32</v>
      </c>
      <c r="G2536">
        <v>32.4</v>
      </c>
      <c r="H2536" t="s">
        <v>46</v>
      </c>
      <c r="I2536" t="s">
        <v>47</v>
      </c>
    </row>
    <row r="2537" spans="1:9" x14ac:dyDescent="0.35">
      <c r="A2537" s="1">
        <v>45376</v>
      </c>
      <c r="B2537" t="s">
        <v>33</v>
      </c>
      <c r="C2537" t="s">
        <v>34</v>
      </c>
      <c r="D2537" t="s">
        <v>24</v>
      </c>
      <c r="E2537" t="s">
        <v>25</v>
      </c>
      <c r="F2537">
        <v>50</v>
      </c>
      <c r="G2537">
        <v>50.9</v>
      </c>
      <c r="H2537" t="s">
        <v>46</v>
      </c>
      <c r="I2537" t="s">
        <v>47</v>
      </c>
    </row>
    <row r="2538" spans="1:9" x14ac:dyDescent="0.35">
      <c r="A2538" s="1">
        <v>45376</v>
      </c>
      <c r="B2538" t="s">
        <v>33</v>
      </c>
      <c r="C2538" t="s">
        <v>34</v>
      </c>
      <c r="D2538" t="s">
        <v>26</v>
      </c>
      <c r="E2538" t="s">
        <v>27</v>
      </c>
      <c r="F2538">
        <v>38</v>
      </c>
      <c r="G2538">
        <v>39.4</v>
      </c>
      <c r="H2538" t="s">
        <v>46</v>
      </c>
      <c r="I2538" t="s">
        <v>47</v>
      </c>
    </row>
    <row r="2539" spans="1:9" x14ac:dyDescent="0.35">
      <c r="A2539" s="1">
        <v>45376</v>
      </c>
      <c r="B2539" t="s">
        <v>33</v>
      </c>
      <c r="C2539" t="s">
        <v>34</v>
      </c>
      <c r="D2539" t="s">
        <v>28</v>
      </c>
      <c r="E2539" t="s">
        <v>29</v>
      </c>
      <c r="F2539">
        <v>32</v>
      </c>
      <c r="G2539">
        <v>31.6</v>
      </c>
      <c r="H2539" t="s">
        <v>46</v>
      </c>
      <c r="I2539" t="s">
        <v>47</v>
      </c>
    </row>
    <row r="2540" spans="1:9" x14ac:dyDescent="0.35">
      <c r="A2540" s="1">
        <v>45376</v>
      </c>
      <c r="B2540" t="s">
        <v>36</v>
      </c>
      <c r="C2540" t="s">
        <v>37</v>
      </c>
      <c r="D2540" t="s">
        <v>15</v>
      </c>
      <c r="E2540" t="s">
        <v>16</v>
      </c>
      <c r="F2540">
        <v>34</v>
      </c>
      <c r="G2540">
        <v>36.700000000000003</v>
      </c>
      <c r="H2540" t="s">
        <v>46</v>
      </c>
      <c r="I2540" t="s">
        <v>47</v>
      </c>
    </row>
    <row r="2541" spans="1:9" x14ac:dyDescent="0.35">
      <c r="A2541" s="1">
        <v>45376</v>
      </c>
      <c r="B2541" t="s">
        <v>36</v>
      </c>
      <c r="C2541" t="s">
        <v>37</v>
      </c>
      <c r="D2541" t="s">
        <v>18</v>
      </c>
      <c r="E2541" t="s">
        <v>19</v>
      </c>
      <c r="F2541">
        <v>38</v>
      </c>
      <c r="G2541">
        <v>39.200000000000003</v>
      </c>
      <c r="H2541" t="s">
        <v>46</v>
      </c>
      <c r="I2541" t="s">
        <v>47</v>
      </c>
    </row>
    <row r="2542" spans="1:9" x14ac:dyDescent="0.35">
      <c r="A2542" s="1">
        <v>45376</v>
      </c>
      <c r="B2542" t="s">
        <v>36</v>
      </c>
      <c r="C2542" t="s">
        <v>37</v>
      </c>
      <c r="D2542" t="s">
        <v>21</v>
      </c>
      <c r="E2542" t="s">
        <v>22</v>
      </c>
      <c r="F2542">
        <v>32</v>
      </c>
      <c r="G2542">
        <v>33</v>
      </c>
      <c r="H2542" t="s">
        <v>46</v>
      </c>
      <c r="I2542" t="s">
        <v>47</v>
      </c>
    </row>
    <row r="2543" spans="1:9" x14ac:dyDescent="0.35">
      <c r="A2543" s="1">
        <v>45376</v>
      </c>
      <c r="B2543" t="s">
        <v>36</v>
      </c>
      <c r="C2543" t="s">
        <v>37</v>
      </c>
      <c r="D2543" t="s">
        <v>24</v>
      </c>
      <c r="E2543" t="s">
        <v>25</v>
      </c>
      <c r="F2543">
        <v>50</v>
      </c>
      <c r="G2543">
        <v>49.9</v>
      </c>
      <c r="H2543" t="s">
        <v>46</v>
      </c>
      <c r="I2543" t="s">
        <v>47</v>
      </c>
    </row>
    <row r="2544" spans="1:9" x14ac:dyDescent="0.35">
      <c r="A2544" s="1">
        <v>45376</v>
      </c>
      <c r="B2544" t="s">
        <v>36</v>
      </c>
      <c r="C2544" t="s">
        <v>37</v>
      </c>
      <c r="D2544" t="s">
        <v>26</v>
      </c>
      <c r="E2544" t="s">
        <v>27</v>
      </c>
      <c r="F2544">
        <v>38</v>
      </c>
      <c r="G2544">
        <v>49.7</v>
      </c>
      <c r="H2544" t="s">
        <v>48</v>
      </c>
      <c r="I2544" t="s">
        <v>49</v>
      </c>
    </row>
    <row r="2545" spans="1:9" x14ac:dyDescent="0.35">
      <c r="A2545" s="1">
        <v>45376</v>
      </c>
      <c r="B2545" t="s">
        <v>36</v>
      </c>
      <c r="C2545" t="s">
        <v>37</v>
      </c>
      <c r="D2545" t="s">
        <v>28</v>
      </c>
      <c r="E2545" t="s">
        <v>29</v>
      </c>
      <c r="F2545">
        <v>32</v>
      </c>
      <c r="G2545">
        <v>34.1</v>
      </c>
      <c r="H2545" t="s">
        <v>46</v>
      </c>
      <c r="I2545" t="s">
        <v>47</v>
      </c>
    </row>
    <row r="2546" spans="1:9" x14ac:dyDescent="0.35">
      <c r="A2546" s="1">
        <v>45376</v>
      </c>
      <c r="B2546" t="s">
        <v>39</v>
      </c>
      <c r="C2546" t="s">
        <v>40</v>
      </c>
      <c r="D2546" t="s">
        <v>15</v>
      </c>
      <c r="E2546" t="s">
        <v>16</v>
      </c>
      <c r="F2546">
        <v>34</v>
      </c>
      <c r="G2546">
        <v>33.9</v>
      </c>
      <c r="H2546" t="s">
        <v>46</v>
      </c>
      <c r="I2546" t="s">
        <v>47</v>
      </c>
    </row>
    <row r="2547" spans="1:9" x14ac:dyDescent="0.35">
      <c r="A2547" s="1">
        <v>45376</v>
      </c>
      <c r="B2547" t="s">
        <v>39</v>
      </c>
      <c r="C2547" t="s">
        <v>40</v>
      </c>
      <c r="D2547" t="s">
        <v>18</v>
      </c>
      <c r="E2547" t="s">
        <v>19</v>
      </c>
      <c r="F2547">
        <v>38</v>
      </c>
      <c r="G2547">
        <v>46.9</v>
      </c>
      <c r="H2547" t="s">
        <v>48</v>
      </c>
      <c r="I2547" t="s">
        <v>50</v>
      </c>
    </row>
    <row r="2548" spans="1:9" x14ac:dyDescent="0.35">
      <c r="A2548" s="1">
        <v>45376</v>
      </c>
      <c r="B2548" t="s">
        <v>39</v>
      </c>
      <c r="C2548" t="s">
        <v>40</v>
      </c>
      <c r="D2548" t="s">
        <v>21</v>
      </c>
      <c r="E2548" t="s">
        <v>22</v>
      </c>
      <c r="F2548">
        <v>32</v>
      </c>
      <c r="G2548">
        <v>34.4</v>
      </c>
      <c r="H2548" t="s">
        <v>46</v>
      </c>
      <c r="I2548" t="s">
        <v>47</v>
      </c>
    </row>
    <row r="2549" spans="1:9" x14ac:dyDescent="0.35">
      <c r="A2549" s="1">
        <v>45376</v>
      </c>
      <c r="B2549" t="s">
        <v>39</v>
      </c>
      <c r="C2549" t="s">
        <v>40</v>
      </c>
      <c r="D2549" t="s">
        <v>24</v>
      </c>
      <c r="E2549" t="s">
        <v>25</v>
      </c>
      <c r="F2549">
        <v>50</v>
      </c>
      <c r="G2549">
        <v>50.9</v>
      </c>
      <c r="H2549" t="s">
        <v>46</v>
      </c>
      <c r="I2549" t="s">
        <v>47</v>
      </c>
    </row>
    <row r="2550" spans="1:9" x14ac:dyDescent="0.35">
      <c r="A2550" s="1">
        <v>45376</v>
      </c>
      <c r="B2550" t="s">
        <v>39</v>
      </c>
      <c r="C2550" t="s">
        <v>40</v>
      </c>
      <c r="D2550" t="s">
        <v>26</v>
      </c>
      <c r="E2550" t="s">
        <v>27</v>
      </c>
      <c r="F2550">
        <v>38</v>
      </c>
      <c r="G2550">
        <v>44.9</v>
      </c>
      <c r="H2550" t="s">
        <v>48</v>
      </c>
      <c r="I2550" t="s">
        <v>50</v>
      </c>
    </row>
    <row r="2551" spans="1:9" x14ac:dyDescent="0.35">
      <c r="A2551" s="1">
        <v>45376</v>
      </c>
      <c r="B2551" t="s">
        <v>39</v>
      </c>
      <c r="C2551" t="s">
        <v>40</v>
      </c>
      <c r="D2551" t="s">
        <v>28</v>
      </c>
      <c r="E2551" t="s">
        <v>29</v>
      </c>
      <c r="F2551">
        <v>32</v>
      </c>
      <c r="G2551">
        <v>32.4</v>
      </c>
      <c r="H2551" t="s">
        <v>46</v>
      </c>
      <c r="I2551" t="s">
        <v>47</v>
      </c>
    </row>
    <row r="2552" spans="1:9" x14ac:dyDescent="0.35">
      <c r="A2552" s="1">
        <v>45377</v>
      </c>
      <c r="B2552" t="s">
        <v>12</v>
      </c>
      <c r="C2552" t="s">
        <v>13</v>
      </c>
      <c r="D2552" t="s">
        <v>15</v>
      </c>
      <c r="E2552" t="s">
        <v>16</v>
      </c>
      <c r="F2552">
        <v>34</v>
      </c>
      <c r="G2552">
        <v>36.1</v>
      </c>
      <c r="H2552" t="s">
        <v>46</v>
      </c>
      <c r="I2552" t="s">
        <v>47</v>
      </c>
    </row>
    <row r="2553" spans="1:9" x14ac:dyDescent="0.35">
      <c r="A2553" s="1">
        <v>45377</v>
      </c>
      <c r="B2553" t="s">
        <v>12</v>
      </c>
      <c r="C2553" t="s">
        <v>13</v>
      </c>
      <c r="D2553" t="s">
        <v>18</v>
      </c>
      <c r="E2553" t="s">
        <v>19</v>
      </c>
      <c r="F2553">
        <v>38</v>
      </c>
      <c r="G2553">
        <v>47.7</v>
      </c>
      <c r="H2553" t="s">
        <v>48</v>
      </c>
      <c r="I2553" t="s">
        <v>50</v>
      </c>
    </row>
    <row r="2554" spans="1:9" x14ac:dyDescent="0.35">
      <c r="A2554" s="1">
        <v>45377</v>
      </c>
      <c r="B2554" t="s">
        <v>12</v>
      </c>
      <c r="C2554" t="s">
        <v>13</v>
      </c>
      <c r="D2554" t="s">
        <v>21</v>
      </c>
      <c r="E2554" t="s">
        <v>22</v>
      </c>
      <c r="F2554">
        <v>32</v>
      </c>
      <c r="G2554">
        <v>33.200000000000003</v>
      </c>
      <c r="H2554" t="s">
        <v>46</v>
      </c>
      <c r="I2554" t="s">
        <v>47</v>
      </c>
    </row>
    <row r="2555" spans="1:9" x14ac:dyDescent="0.35">
      <c r="A2555" s="1">
        <v>45377</v>
      </c>
      <c r="B2555" t="s">
        <v>12</v>
      </c>
      <c r="C2555" t="s">
        <v>13</v>
      </c>
      <c r="D2555" t="s">
        <v>24</v>
      </c>
      <c r="E2555" t="s">
        <v>25</v>
      </c>
      <c r="F2555">
        <v>50</v>
      </c>
      <c r="G2555">
        <v>50.7</v>
      </c>
      <c r="H2555" t="s">
        <v>46</v>
      </c>
      <c r="I2555" t="s">
        <v>47</v>
      </c>
    </row>
    <row r="2556" spans="1:9" x14ac:dyDescent="0.35">
      <c r="A2556" s="1">
        <v>45377</v>
      </c>
      <c r="B2556" t="s">
        <v>12</v>
      </c>
      <c r="C2556" t="s">
        <v>13</v>
      </c>
      <c r="D2556" t="s">
        <v>26</v>
      </c>
      <c r="E2556" t="s">
        <v>27</v>
      </c>
      <c r="F2556">
        <v>38</v>
      </c>
      <c r="G2556">
        <v>37.9</v>
      </c>
      <c r="H2556" t="s">
        <v>46</v>
      </c>
      <c r="I2556" t="s">
        <v>47</v>
      </c>
    </row>
    <row r="2557" spans="1:9" x14ac:dyDescent="0.35">
      <c r="A2557" s="1">
        <v>45377</v>
      </c>
      <c r="B2557" t="s">
        <v>12</v>
      </c>
      <c r="C2557" t="s">
        <v>13</v>
      </c>
      <c r="D2557" t="s">
        <v>28</v>
      </c>
      <c r="E2557" t="s">
        <v>29</v>
      </c>
      <c r="F2557">
        <v>32</v>
      </c>
      <c r="G2557">
        <v>31.5</v>
      </c>
      <c r="H2557" t="s">
        <v>46</v>
      </c>
      <c r="I2557" t="s">
        <v>47</v>
      </c>
    </row>
    <row r="2558" spans="1:9" x14ac:dyDescent="0.35">
      <c r="A2558" s="1">
        <v>45377</v>
      </c>
      <c r="B2558" t="s">
        <v>30</v>
      </c>
      <c r="C2558" t="s">
        <v>31</v>
      </c>
      <c r="D2558" t="s">
        <v>15</v>
      </c>
      <c r="E2558" t="s">
        <v>16</v>
      </c>
      <c r="F2558">
        <v>34</v>
      </c>
      <c r="G2558">
        <v>33.6</v>
      </c>
      <c r="H2558" t="s">
        <v>46</v>
      </c>
      <c r="I2558" t="s">
        <v>47</v>
      </c>
    </row>
    <row r="2559" spans="1:9" x14ac:dyDescent="0.35">
      <c r="A2559" s="1">
        <v>45377</v>
      </c>
      <c r="B2559" t="s">
        <v>30</v>
      </c>
      <c r="C2559" t="s">
        <v>31</v>
      </c>
      <c r="D2559" t="s">
        <v>18</v>
      </c>
      <c r="E2559" t="s">
        <v>19</v>
      </c>
      <c r="F2559">
        <v>38</v>
      </c>
      <c r="G2559">
        <v>39.799999999999997</v>
      </c>
      <c r="H2559" t="s">
        <v>46</v>
      </c>
      <c r="I2559" t="s">
        <v>47</v>
      </c>
    </row>
    <row r="2560" spans="1:9" x14ac:dyDescent="0.35">
      <c r="A2560" s="1">
        <v>45377</v>
      </c>
      <c r="B2560" t="s">
        <v>30</v>
      </c>
      <c r="C2560" t="s">
        <v>31</v>
      </c>
      <c r="D2560" t="s">
        <v>21</v>
      </c>
      <c r="E2560" t="s">
        <v>22</v>
      </c>
      <c r="F2560">
        <v>32</v>
      </c>
      <c r="G2560">
        <v>31.2</v>
      </c>
      <c r="H2560" t="s">
        <v>46</v>
      </c>
      <c r="I2560" t="s">
        <v>47</v>
      </c>
    </row>
    <row r="2561" spans="1:9" x14ac:dyDescent="0.35">
      <c r="A2561" s="1">
        <v>45377</v>
      </c>
      <c r="B2561" t="s">
        <v>30</v>
      </c>
      <c r="C2561" t="s">
        <v>31</v>
      </c>
      <c r="D2561" t="s">
        <v>24</v>
      </c>
      <c r="E2561" t="s">
        <v>25</v>
      </c>
      <c r="F2561">
        <v>50</v>
      </c>
      <c r="G2561">
        <v>60.7</v>
      </c>
      <c r="H2561" t="s">
        <v>48</v>
      </c>
      <c r="I2561" t="s">
        <v>49</v>
      </c>
    </row>
    <row r="2562" spans="1:9" x14ac:dyDescent="0.35">
      <c r="A2562" s="1">
        <v>45377</v>
      </c>
      <c r="B2562" t="s">
        <v>30</v>
      </c>
      <c r="C2562" t="s">
        <v>31</v>
      </c>
      <c r="D2562" t="s">
        <v>26</v>
      </c>
      <c r="E2562" t="s">
        <v>27</v>
      </c>
      <c r="F2562">
        <v>38</v>
      </c>
      <c r="G2562">
        <v>39.4</v>
      </c>
      <c r="H2562" t="s">
        <v>46</v>
      </c>
      <c r="I2562" t="s">
        <v>47</v>
      </c>
    </row>
    <row r="2563" spans="1:9" x14ac:dyDescent="0.35">
      <c r="A2563" s="1">
        <v>45377</v>
      </c>
      <c r="B2563" t="s">
        <v>30</v>
      </c>
      <c r="C2563" t="s">
        <v>31</v>
      </c>
      <c r="D2563" t="s">
        <v>28</v>
      </c>
      <c r="E2563" t="s">
        <v>29</v>
      </c>
      <c r="F2563">
        <v>32</v>
      </c>
      <c r="G2563">
        <v>39.200000000000003</v>
      </c>
      <c r="H2563" t="s">
        <v>48</v>
      </c>
      <c r="I2563" t="s">
        <v>50</v>
      </c>
    </row>
    <row r="2564" spans="1:9" x14ac:dyDescent="0.35">
      <c r="A2564" s="1">
        <v>45377</v>
      </c>
      <c r="B2564" t="s">
        <v>33</v>
      </c>
      <c r="C2564" t="s">
        <v>34</v>
      </c>
      <c r="D2564" t="s">
        <v>15</v>
      </c>
      <c r="E2564" t="s">
        <v>16</v>
      </c>
      <c r="F2564">
        <v>34</v>
      </c>
      <c r="G2564">
        <v>42</v>
      </c>
      <c r="H2564" t="s">
        <v>48</v>
      </c>
      <c r="I2564" t="s">
        <v>50</v>
      </c>
    </row>
    <row r="2565" spans="1:9" x14ac:dyDescent="0.35">
      <c r="A2565" s="1">
        <v>45377</v>
      </c>
      <c r="B2565" t="s">
        <v>33</v>
      </c>
      <c r="C2565" t="s">
        <v>34</v>
      </c>
      <c r="D2565" t="s">
        <v>18</v>
      </c>
      <c r="E2565" t="s">
        <v>19</v>
      </c>
      <c r="F2565">
        <v>38</v>
      </c>
      <c r="G2565">
        <v>50.6</v>
      </c>
      <c r="H2565" t="s">
        <v>48</v>
      </c>
      <c r="I2565" t="s">
        <v>49</v>
      </c>
    </row>
    <row r="2566" spans="1:9" x14ac:dyDescent="0.35">
      <c r="A2566" s="1">
        <v>45377</v>
      </c>
      <c r="B2566" t="s">
        <v>33</v>
      </c>
      <c r="C2566" t="s">
        <v>34</v>
      </c>
      <c r="D2566" t="s">
        <v>21</v>
      </c>
      <c r="E2566" t="s">
        <v>22</v>
      </c>
      <c r="F2566">
        <v>32</v>
      </c>
      <c r="G2566">
        <v>34.1</v>
      </c>
      <c r="H2566" t="s">
        <v>46</v>
      </c>
      <c r="I2566" t="s">
        <v>47</v>
      </c>
    </row>
    <row r="2567" spans="1:9" x14ac:dyDescent="0.35">
      <c r="A2567" s="1">
        <v>45377</v>
      </c>
      <c r="B2567" t="s">
        <v>33</v>
      </c>
      <c r="C2567" t="s">
        <v>34</v>
      </c>
      <c r="D2567" t="s">
        <v>24</v>
      </c>
      <c r="E2567" t="s">
        <v>25</v>
      </c>
      <c r="F2567">
        <v>50</v>
      </c>
      <c r="G2567">
        <v>49.6</v>
      </c>
      <c r="H2567" t="s">
        <v>46</v>
      </c>
      <c r="I2567" t="s">
        <v>47</v>
      </c>
    </row>
    <row r="2568" spans="1:9" x14ac:dyDescent="0.35">
      <c r="A2568" s="1">
        <v>45377</v>
      </c>
      <c r="B2568" t="s">
        <v>33</v>
      </c>
      <c r="C2568" t="s">
        <v>34</v>
      </c>
      <c r="D2568" t="s">
        <v>26</v>
      </c>
      <c r="E2568" t="s">
        <v>27</v>
      </c>
      <c r="F2568">
        <v>38</v>
      </c>
      <c r="G2568">
        <v>40.799999999999997</v>
      </c>
      <c r="H2568" t="s">
        <v>46</v>
      </c>
      <c r="I2568" t="s">
        <v>47</v>
      </c>
    </row>
    <row r="2569" spans="1:9" x14ac:dyDescent="0.35">
      <c r="A2569" s="1">
        <v>45377</v>
      </c>
      <c r="B2569" t="s">
        <v>33</v>
      </c>
      <c r="C2569" t="s">
        <v>34</v>
      </c>
      <c r="D2569" t="s">
        <v>28</v>
      </c>
      <c r="E2569" t="s">
        <v>29</v>
      </c>
      <c r="F2569">
        <v>32</v>
      </c>
      <c r="G2569">
        <v>33.9</v>
      </c>
      <c r="H2569" t="s">
        <v>46</v>
      </c>
      <c r="I2569" t="s">
        <v>47</v>
      </c>
    </row>
    <row r="2570" spans="1:9" x14ac:dyDescent="0.35">
      <c r="A2570" s="1">
        <v>45377</v>
      </c>
      <c r="B2570" t="s">
        <v>36</v>
      </c>
      <c r="C2570" t="s">
        <v>37</v>
      </c>
      <c r="D2570" t="s">
        <v>15</v>
      </c>
      <c r="E2570" t="s">
        <v>16</v>
      </c>
      <c r="F2570">
        <v>34</v>
      </c>
      <c r="G2570">
        <v>35.6</v>
      </c>
      <c r="H2570" t="s">
        <v>46</v>
      </c>
      <c r="I2570" t="s">
        <v>47</v>
      </c>
    </row>
    <row r="2571" spans="1:9" x14ac:dyDescent="0.35">
      <c r="A2571" s="1">
        <v>45377</v>
      </c>
      <c r="B2571" t="s">
        <v>36</v>
      </c>
      <c r="C2571" t="s">
        <v>37</v>
      </c>
      <c r="D2571" t="s">
        <v>18</v>
      </c>
      <c r="E2571" t="s">
        <v>19</v>
      </c>
      <c r="F2571">
        <v>38</v>
      </c>
      <c r="G2571">
        <v>44.9</v>
      </c>
      <c r="H2571" t="s">
        <v>48</v>
      </c>
      <c r="I2571" t="s">
        <v>50</v>
      </c>
    </row>
    <row r="2572" spans="1:9" x14ac:dyDescent="0.35">
      <c r="A2572" s="1">
        <v>45377</v>
      </c>
      <c r="B2572" t="s">
        <v>36</v>
      </c>
      <c r="C2572" t="s">
        <v>37</v>
      </c>
      <c r="D2572" t="s">
        <v>21</v>
      </c>
      <c r="E2572" t="s">
        <v>22</v>
      </c>
      <c r="F2572">
        <v>32</v>
      </c>
      <c r="G2572">
        <v>43.1</v>
      </c>
      <c r="H2572" t="s">
        <v>48</v>
      </c>
      <c r="I2572" t="s">
        <v>49</v>
      </c>
    </row>
    <row r="2573" spans="1:9" x14ac:dyDescent="0.35">
      <c r="A2573" s="1">
        <v>45377</v>
      </c>
      <c r="B2573" t="s">
        <v>36</v>
      </c>
      <c r="C2573" t="s">
        <v>37</v>
      </c>
      <c r="D2573" t="s">
        <v>24</v>
      </c>
      <c r="E2573" t="s">
        <v>25</v>
      </c>
      <c r="F2573">
        <v>50</v>
      </c>
      <c r="G2573">
        <v>49.7</v>
      </c>
      <c r="H2573" t="s">
        <v>46</v>
      </c>
      <c r="I2573" t="s">
        <v>47</v>
      </c>
    </row>
    <row r="2574" spans="1:9" x14ac:dyDescent="0.35">
      <c r="A2574" s="1">
        <v>45377</v>
      </c>
      <c r="B2574" t="s">
        <v>36</v>
      </c>
      <c r="C2574" t="s">
        <v>37</v>
      </c>
      <c r="D2574" t="s">
        <v>26</v>
      </c>
      <c r="E2574" t="s">
        <v>27</v>
      </c>
      <c r="F2574">
        <v>38</v>
      </c>
      <c r="G2574">
        <v>47.2</v>
      </c>
      <c r="H2574" t="s">
        <v>48</v>
      </c>
      <c r="I2574" t="s">
        <v>50</v>
      </c>
    </row>
    <row r="2575" spans="1:9" x14ac:dyDescent="0.35">
      <c r="A2575" s="1">
        <v>45377</v>
      </c>
      <c r="B2575" t="s">
        <v>36</v>
      </c>
      <c r="C2575" t="s">
        <v>37</v>
      </c>
      <c r="D2575" t="s">
        <v>28</v>
      </c>
      <c r="E2575" t="s">
        <v>29</v>
      </c>
      <c r="F2575">
        <v>32</v>
      </c>
      <c r="G2575">
        <v>34.799999999999997</v>
      </c>
      <c r="H2575" t="s">
        <v>46</v>
      </c>
      <c r="I2575" t="s">
        <v>47</v>
      </c>
    </row>
    <row r="2576" spans="1:9" x14ac:dyDescent="0.35">
      <c r="A2576" s="1">
        <v>45377</v>
      </c>
      <c r="B2576" t="s">
        <v>39</v>
      </c>
      <c r="C2576" t="s">
        <v>40</v>
      </c>
      <c r="D2576" t="s">
        <v>15</v>
      </c>
      <c r="E2576" t="s">
        <v>16</v>
      </c>
      <c r="F2576">
        <v>34</v>
      </c>
      <c r="G2576">
        <v>35.799999999999997</v>
      </c>
      <c r="H2576" t="s">
        <v>46</v>
      </c>
      <c r="I2576" t="s">
        <v>47</v>
      </c>
    </row>
    <row r="2577" spans="1:9" x14ac:dyDescent="0.35">
      <c r="A2577" s="1">
        <v>45377</v>
      </c>
      <c r="B2577" t="s">
        <v>39</v>
      </c>
      <c r="C2577" t="s">
        <v>40</v>
      </c>
      <c r="D2577" t="s">
        <v>18</v>
      </c>
      <c r="E2577" t="s">
        <v>19</v>
      </c>
      <c r="F2577">
        <v>38</v>
      </c>
      <c r="G2577">
        <v>39.299999999999997</v>
      </c>
      <c r="H2577" t="s">
        <v>46</v>
      </c>
      <c r="I2577" t="s">
        <v>47</v>
      </c>
    </row>
    <row r="2578" spans="1:9" x14ac:dyDescent="0.35">
      <c r="A2578" s="1">
        <v>45377</v>
      </c>
      <c r="B2578" t="s">
        <v>39</v>
      </c>
      <c r="C2578" t="s">
        <v>40</v>
      </c>
      <c r="D2578" t="s">
        <v>21</v>
      </c>
      <c r="E2578" t="s">
        <v>22</v>
      </c>
      <c r="F2578">
        <v>32</v>
      </c>
      <c r="G2578">
        <v>31.9</v>
      </c>
      <c r="H2578" t="s">
        <v>46</v>
      </c>
      <c r="I2578" t="s">
        <v>47</v>
      </c>
    </row>
    <row r="2579" spans="1:9" x14ac:dyDescent="0.35">
      <c r="A2579" s="1">
        <v>45377</v>
      </c>
      <c r="B2579" t="s">
        <v>39</v>
      </c>
      <c r="C2579" t="s">
        <v>40</v>
      </c>
      <c r="D2579" t="s">
        <v>24</v>
      </c>
      <c r="E2579" t="s">
        <v>25</v>
      </c>
      <c r="F2579">
        <v>50</v>
      </c>
      <c r="G2579">
        <v>50.1</v>
      </c>
      <c r="H2579" t="s">
        <v>46</v>
      </c>
      <c r="I2579" t="s">
        <v>47</v>
      </c>
    </row>
    <row r="2580" spans="1:9" x14ac:dyDescent="0.35">
      <c r="A2580" s="1">
        <v>45377</v>
      </c>
      <c r="B2580" t="s">
        <v>39</v>
      </c>
      <c r="C2580" t="s">
        <v>40</v>
      </c>
      <c r="D2580" t="s">
        <v>26</v>
      </c>
      <c r="E2580" t="s">
        <v>27</v>
      </c>
      <c r="F2580">
        <v>38</v>
      </c>
      <c r="G2580">
        <v>47</v>
      </c>
      <c r="H2580" t="s">
        <v>48</v>
      </c>
      <c r="I2580" t="s">
        <v>50</v>
      </c>
    </row>
    <row r="2581" spans="1:9" x14ac:dyDescent="0.35">
      <c r="A2581" s="1">
        <v>45377</v>
      </c>
      <c r="B2581" t="s">
        <v>39</v>
      </c>
      <c r="C2581" t="s">
        <v>40</v>
      </c>
      <c r="D2581" t="s">
        <v>28</v>
      </c>
      <c r="E2581" t="s">
        <v>29</v>
      </c>
      <c r="F2581">
        <v>32</v>
      </c>
      <c r="G2581">
        <v>34</v>
      </c>
      <c r="H2581" t="s">
        <v>46</v>
      </c>
      <c r="I2581" t="s">
        <v>47</v>
      </c>
    </row>
    <row r="2582" spans="1:9" x14ac:dyDescent="0.35">
      <c r="A2582" s="1">
        <v>45378</v>
      </c>
      <c r="B2582" t="s">
        <v>12</v>
      </c>
      <c r="C2582" t="s">
        <v>13</v>
      </c>
      <c r="D2582" t="s">
        <v>15</v>
      </c>
      <c r="E2582" t="s">
        <v>16</v>
      </c>
      <c r="F2582">
        <v>34</v>
      </c>
      <c r="G2582">
        <v>33.200000000000003</v>
      </c>
      <c r="H2582" t="s">
        <v>46</v>
      </c>
      <c r="I2582" t="s">
        <v>47</v>
      </c>
    </row>
    <row r="2583" spans="1:9" x14ac:dyDescent="0.35">
      <c r="A2583" s="1">
        <v>45378</v>
      </c>
      <c r="B2583" t="s">
        <v>12</v>
      </c>
      <c r="C2583" t="s">
        <v>13</v>
      </c>
      <c r="D2583" t="s">
        <v>18</v>
      </c>
      <c r="E2583" t="s">
        <v>19</v>
      </c>
      <c r="F2583">
        <v>38</v>
      </c>
      <c r="G2583">
        <v>40.299999999999997</v>
      </c>
      <c r="H2583" t="s">
        <v>46</v>
      </c>
      <c r="I2583" t="s">
        <v>47</v>
      </c>
    </row>
    <row r="2584" spans="1:9" x14ac:dyDescent="0.35">
      <c r="A2584" s="1">
        <v>45378</v>
      </c>
      <c r="B2584" t="s">
        <v>12</v>
      </c>
      <c r="C2584" t="s">
        <v>13</v>
      </c>
      <c r="D2584" t="s">
        <v>21</v>
      </c>
      <c r="E2584" t="s">
        <v>22</v>
      </c>
      <c r="F2584">
        <v>32</v>
      </c>
      <c r="G2584">
        <v>33.4</v>
      </c>
      <c r="H2584" t="s">
        <v>46</v>
      </c>
      <c r="I2584" t="s">
        <v>47</v>
      </c>
    </row>
    <row r="2585" spans="1:9" x14ac:dyDescent="0.35">
      <c r="A2585" s="1">
        <v>45378</v>
      </c>
      <c r="B2585" t="s">
        <v>12</v>
      </c>
      <c r="C2585" t="s">
        <v>13</v>
      </c>
      <c r="D2585" t="s">
        <v>24</v>
      </c>
      <c r="E2585" t="s">
        <v>25</v>
      </c>
      <c r="F2585">
        <v>50</v>
      </c>
      <c r="G2585">
        <v>61.5</v>
      </c>
      <c r="H2585" t="s">
        <v>48</v>
      </c>
      <c r="I2585" t="s">
        <v>49</v>
      </c>
    </row>
    <row r="2586" spans="1:9" x14ac:dyDescent="0.35">
      <c r="A2586" s="1">
        <v>45378</v>
      </c>
      <c r="B2586" t="s">
        <v>12</v>
      </c>
      <c r="C2586" t="s">
        <v>13</v>
      </c>
      <c r="D2586" t="s">
        <v>26</v>
      </c>
      <c r="E2586" t="s">
        <v>27</v>
      </c>
      <c r="F2586">
        <v>38</v>
      </c>
      <c r="G2586">
        <v>39.6</v>
      </c>
      <c r="H2586" t="s">
        <v>46</v>
      </c>
      <c r="I2586" t="s">
        <v>47</v>
      </c>
    </row>
    <row r="2587" spans="1:9" x14ac:dyDescent="0.35">
      <c r="A2587" s="1">
        <v>45378</v>
      </c>
      <c r="B2587" t="s">
        <v>12</v>
      </c>
      <c r="C2587" t="s">
        <v>13</v>
      </c>
      <c r="D2587" t="s">
        <v>28</v>
      </c>
      <c r="E2587" t="s">
        <v>29</v>
      </c>
      <c r="F2587">
        <v>32</v>
      </c>
      <c r="G2587">
        <v>32.5</v>
      </c>
      <c r="H2587" t="s">
        <v>46</v>
      </c>
      <c r="I2587" t="s">
        <v>47</v>
      </c>
    </row>
    <row r="2588" spans="1:9" x14ac:dyDescent="0.35">
      <c r="A2588" s="1">
        <v>45378</v>
      </c>
      <c r="B2588" t="s">
        <v>30</v>
      </c>
      <c r="C2588" t="s">
        <v>31</v>
      </c>
      <c r="D2588" t="s">
        <v>15</v>
      </c>
      <c r="E2588" t="s">
        <v>16</v>
      </c>
      <c r="F2588">
        <v>34</v>
      </c>
      <c r="G2588">
        <v>43</v>
      </c>
      <c r="H2588" t="s">
        <v>48</v>
      </c>
      <c r="I2588" t="s">
        <v>50</v>
      </c>
    </row>
    <row r="2589" spans="1:9" x14ac:dyDescent="0.35">
      <c r="A2589" s="1">
        <v>45378</v>
      </c>
      <c r="B2589" t="s">
        <v>30</v>
      </c>
      <c r="C2589" t="s">
        <v>31</v>
      </c>
      <c r="D2589" t="s">
        <v>18</v>
      </c>
      <c r="E2589" t="s">
        <v>19</v>
      </c>
      <c r="F2589">
        <v>38</v>
      </c>
      <c r="G2589">
        <v>38.1</v>
      </c>
      <c r="H2589" t="s">
        <v>46</v>
      </c>
      <c r="I2589" t="s">
        <v>47</v>
      </c>
    </row>
    <row r="2590" spans="1:9" x14ac:dyDescent="0.35">
      <c r="A2590" s="1">
        <v>45378</v>
      </c>
      <c r="B2590" t="s">
        <v>30</v>
      </c>
      <c r="C2590" t="s">
        <v>31</v>
      </c>
      <c r="D2590" t="s">
        <v>21</v>
      </c>
      <c r="E2590" t="s">
        <v>22</v>
      </c>
      <c r="F2590">
        <v>32</v>
      </c>
      <c r="G2590">
        <v>40.9</v>
      </c>
      <c r="H2590" t="s">
        <v>48</v>
      </c>
      <c r="I2590" t="s">
        <v>50</v>
      </c>
    </row>
    <row r="2591" spans="1:9" x14ac:dyDescent="0.35">
      <c r="A2591" s="1">
        <v>45378</v>
      </c>
      <c r="B2591" t="s">
        <v>30</v>
      </c>
      <c r="C2591" t="s">
        <v>31</v>
      </c>
      <c r="D2591" t="s">
        <v>24</v>
      </c>
      <c r="E2591" t="s">
        <v>25</v>
      </c>
      <c r="F2591">
        <v>50</v>
      </c>
      <c r="G2591">
        <v>50.3</v>
      </c>
      <c r="H2591" t="s">
        <v>46</v>
      </c>
      <c r="I2591" t="s">
        <v>47</v>
      </c>
    </row>
    <row r="2592" spans="1:9" x14ac:dyDescent="0.35">
      <c r="A2592" s="1">
        <v>45378</v>
      </c>
      <c r="B2592" t="s">
        <v>30</v>
      </c>
      <c r="C2592" t="s">
        <v>31</v>
      </c>
      <c r="D2592" t="s">
        <v>26</v>
      </c>
      <c r="E2592" t="s">
        <v>27</v>
      </c>
      <c r="F2592">
        <v>38</v>
      </c>
      <c r="G2592">
        <v>37.700000000000003</v>
      </c>
      <c r="H2592" t="s">
        <v>46</v>
      </c>
      <c r="I2592" t="s">
        <v>47</v>
      </c>
    </row>
    <row r="2593" spans="1:9" x14ac:dyDescent="0.35">
      <c r="A2593" s="1">
        <v>45378</v>
      </c>
      <c r="B2593" t="s">
        <v>30</v>
      </c>
      <c r="C2593" t="s">
        <v>31</v>
      </c>
      <c r="D2593" t="s">
        <v>28</v>
      </c>
      <c r="E2593" t="s">
        <v>29</v>
      </c>
      <c r="F2593">
        <v>32</v>
      </c>
      <c r="G2593">
        <v>39.700000000000003</v>
      </c>
      <c r="H2593" t="s">
        <v>48</v>
      </c>
      <c r="I2593" t="s">
        <v>50</v>
      </c>
    </row>
    <row r="2594" spans="1:9" x14ac:dyDescent="0.35">
      <c r="A2594" s="1">
        <v>45378</v>
      </c>
      <c r="B2594" t="s">
        <v>33</v>
      </c>
      <c r="C2594" t="s">
        <v>34</v>
      </c>
      <c r="D2594" t="s">
        <v>15</v>
      </c>
      <c r="E2594" t="s">
        <v>16</v>
      </c>
      <c r="F2594">
        <v>34</v>
      </c>
      <c r="G2594">
        <v>47.3</v>
      </c>
      <c r="H2594" t="s">
        <v>48</v>
      </c>
      <c r="I2594" t="s">
        <v>49</v>
      </c>
    </row>
    <row r="2595" spans="1:9" x14ac:dyDescent="0.35">
      <c r="A2595" s="1">
        <v>45378</v>
      </c>
      <c r="B2595" t="s">
        <v>33</v>
      </c>
      <c r="C2595" t="s">
        <v>34</v>
      </c>
      <c r="D2595" t="s">
        <v>18</v>
      </c>
      <c r="E2595" t="s">
        <v>19</v>
      </c>
      <c r="F2595">
        <v>38</v>
      </c>
      <c r="G2595">
        <v>37.799999999999997</v>
      </c>
      <c r="H2595" t="s">
        <v>46</v>
      </c>
      <c r="I2595" t="s">
        <v>47</v>
      </c>
    </row>
    <row r="2596" spans="1:9" x14ac:dyDescent="0.35">
      <c r="A2596" s="1">
        <v>45378</v>
      </c>
      <c r="B2596" t="s">
        <v>33</v>
      </c>
      <c r="C2596" t="s">
        <v>34</v>
      </c>
      <c r="D2596" t="s">
        <v>21</v>
      </c>
      <c r="E2596" t="s">
        <v>22</v>
      </c>
      <c r="F2596">
        <v>32</v>
      </c>
      <c r="G2596">
        <v>32</v>
      </c>
      <c r="H2596" t="s">
        <v>46</v>
      </c>
      <c r="I2596" t="s">
        <v>47</v>
      </c>
    </row>
    <row r="2597" spans="1:9" x14ac:dyDescent="0.35">
      <c r="A2597" s="1">
        <v>45378</v>
      </c>
      <c r="B2597" t="s">
        <v>33</v>
      </c>
      <c r="C2597" t="s">
        <v>34</v>
      </c>
      <c r="D2597" t="s">
        <v>24</v>
      </c>
      <c r="E2597" t="s">
        <v>25</v>
      </c>
      <c r="F2597">
        <v>50</v>
      </c>
      <c r="G2597">
        <v>60.6</v>
      </c>
      <c r="H2597" t="s">
        <v>48</v>
      </c>
      <c r="I2597" t="s">
        <v>49</v>
      </c>
    </row>
    <row r="2598" spans="1:9" x14ac:dyDescent="0.35">
      <c r="A2598" s="1">
        <v>45378</v>
      </c>
      <c r="B2598" t="s">
        <v>33</v>
      </c>
      <c r="C2598" t="s">
        <v>34</v>
      </c>
      <c r="D2598" t="s">
        <v>26</v>
      </c>
      <c r="E2598" t="s">
        <v>27</v>
      </c>
      <c r="F2598">
        <v>38</v>
      </c>
      <c r="G2598">
        <v>51.9</v>
      </c>
      <c r="H2598" t="s">
        <v>48</v>
      </c>
      <c r="I2598" t="s">
        <v>49</v>
      </c>
    </row>
    <row r="2599" spans="1:9" x14ac:dyDescent="0.35">
      <c r="A2599" s="1">
        <v>45378</v>
      </c>
      <c r="B2599" t="s">
        <v>33</v>
      </c>
      <c r="C2599" t="s">
        <v>34</v>
      </c>
      <c r="D2599" t="s">
        <v>28</v>
      </c>
      <c r="E2599" t="s">
        <v>29</v>
      </c>
      <c r="F2599">
        <v>32</v>
      </c>
      <c r="G2599">
        <v>31.2</v>
      </c>
      <c r="H2599" t="s">
        <v>46</v>
      </c>
      <c r="I2599" t="s">
        <v>47</v>
      </c>
    </row>
    <row r="2600" spans="1:9" x14ac:dyDescent="0.35">
      <c r="A2600" s="1">
        <v>45378</v>
      </c>
      <c r="B2600" t="s">
        <v>36</v>
      </c>
      <c r="C2600" t="s">
        <v>37</v>
      </c>
      <c r="D2600" t="s">
        <v>15</v>
      </c>
      <c r="E2600" t="s">
        <v>16</v>
      </c>
      <c r="F2600">
        <v>34</v>
      </c>
      <c r="G2600">
        <v>42.5</v>
      </c>
      <c r="H2600" t="s">
        <v>48</v>
      </c>
      <c r="I2600" t="s">
        <v>50</v>
      </c>
    </row>
    <row r="2601" spans="1:9" x14ac:dyDescent="0.35">
      <c r="A2601" s="1">
        <v>45378</v>
      </c>
      <c r="B2601" t="s">
        <v>36</v>
      </c>
      <c r="C2601" t="s">
        <v>37</v>
      </c>
      <c r="D2601" t="s">
        <v>18</v>
      </c>
      <c r="E2601" t="s">
        <v>19</v>
      </c>
      <c r="F2601">
        <v>38</v>
      </c>
      <c r="G2601">
        <v>40</v>
      </c>
      <c r="H2601" t="s">
        <v>46</v>
      </c>
      <c r="I2601" t="s">
        <v>47</v>
      </c>
    </row>
    <row r="2602" spans="1:9" x14ac:dyDescent="0.35">
      <c r="A2602" s="1">
        <v>45378</v>
      </c>
      <c r="B2602" t="s">
        <v>36</v>
      </c>
      <c r="C2602" t="s">
        <v>37</v>
      </c>
      <c r="D2602" t="s">
        <v>21</v>
      </c>
      <c r="E2602" t="s">
        <v>22</v>
      </c>
      <c r="F2602">
        <v>32</v>
      </c>
      <c r="G2602">
        <v>33</v>
      </c>
      <c r="H2602" t="s">
        <v>46</v>
      </c>
      <c r="I2602" t="s">
        <v>47</v>
      </c>
    </row>
    <row r="2603" spans="1:9" x14ac:dyDescent="0.35">
      <c r="A2603" s="1">
        <v>45378</v>
      </c>
      <c r="B2603" t="s">
        <v>36</v>
      </c>
      <c r="C2603" t="s">
        <v>37</v>
      </c>
      <c r="D2603" t="s">
        <v>24</v>
      </c>
      <c r="E2603" t="s">
        <v>25</v>
      </c>
      <c r="F2603">
        <v>50</v>
      </c>
      <c r="G2603">
        <v>50.6</v>
      </c>
      <c r="H2603" t="s">
        <v>46</v>
      </c>
      <c r="I2603" t="s">
        <v>47</v>
      </c>
    </row>
    <row r="2604" spans="1:9" x14ac:dyDescent="0.35">
      <c r="A2604" s="1">
        <v>45378</v>
      </c>
      <c r="B2604" t="s">
        <v>36</v>
      </c>
      <c r="C2604" t="s">
        <v>37</v>
      </c>
      <c r="D2604" t="s">
        <v>26</v>
      </c>
      <c r="E2604" t="s">
        <v>27</v>
      </c>
      <c r="F2604">
        <v>38</v>
      </c>
      <c r="G2604">
        <v>37.5</v>
      </c>
      <c r="H2604" t="s">
        <v>46</v>
      </c>
      <c r="I2604" t="s">
        <v>47</v>
      </c>
    </row>
    <row r="2605" spans="1:9" x14ac:dyDescent="0.35">
      <c r="A2605" s="1">
        <v>45378</v>
      </c>
      <c r="B2605" t="s">
        <v>36</v>
      </c>
      <c r="C2605" t="s">
        <v>37</v>
      </c>
      <c r="D2605" t="s">
        <v>28</v>
      </c>
      <c r="E2605" t="s">
        <v>29</v>
      </c>
      <c r="F2605">
        <v>32</v>
      </c>
      <c r="G2605">
        <v>32.299999999999997</v>
      </c>
      <c r="H2605" t="s">
        <v>46</v>
      </c>
      <c r="I2605" t="s">
        <v>47</v>
      </c>
    </row>
    <row r="2606" spans="1:9" x14ac:dyDescent="0.35">
      <c r="A2606" s="1">
        <v>45378</v>
      </c>
      <c r="B2606" t="s">
        <v>39</v>
      </c>
      <c r="C2606" t="s">
        <v>40</v>
      </c>
      <c r="D2606" t="s">
        <v>15</v>
      </c>
      <c r="E2606" t="s">
        <v>16</v>
      </c>
      <c r="F2606">
        <v>34</v>
      </c>
      <c r="G2606">
        <v>35</v>
      </c>
      <c r="H2606" t="s">
        <v>46</v>
      </c>
      <c r="I2606" t="s">
        <v>47</v>
      </c>
    </row>
    <row r="2607" spans="1:9" x14ac:dyDescent="0.35">
      <c r="A2607" s="1">
        <v>45378</v>
      </c>
      <c r="B2607" t="s">
        <v>39</v>
      </c>
      <c r="C2607" t="s">
        <v>40</v>
      </c>
      <c r="D2607" t="s">
        <v>18</v>
      </c>
      <c r="E2607" t="s">
        <v>19</v>
      </c>
      <c r="F2607">
        <v>38</v>
      </c>
      <c r="G2607">
        <v>40.1</v>
      </c>
      <c r="H2607" t="s">
        <v>46</v>
      </c>
      <c r="I2607" t="s">
        <v>47</v>
      </c>
    </row>
    <row r="2608" spans="1:9" x14ac:dyDescent="0.35">
      <c r="A2608" s="1">
        <v>45378</v>
      </c>
      <c r="B2608" t="s">
        <v>39</v>
      </c>
      <c r="C2608" t="s">
        <v>40</v>
      </c>
      <c r="D2608" t="s">
        <v>21</v>
      </c>
      <c r="E2608" t="s">
        <v>22</v>
      </c>
      <c r="F2608">
        <v>32</v>
      </c>
      <c r="G2608">
        <v>44.4</v>
      </c>
      <c r="H2608" t="s">
        <v>48</v>
      </c>
      <c r="I2608" t="s">
        <v>49</v>
      </c>
    </row>
    <row r="2609" spans="1:9" x14ac:dyDescent="0.35">
      <c r="A2609" s="1">
        <v>45378</v>
      </c>
      <c r="B2609" t="s">
        <v>39</v>
      </c>
      <c r="C2609" t="s">
        <v>40</v>
      </c>
      <c r="D2609" t="s">
        <v>24</v>
      </c>
      <c r="E2609" t="s">
        <v>25</v>
      </c>
      <c r="F2609">
        <v>50</v>
      </c>
      <c r="G2609">
        <v>52.5</v>
      </c>
      <c r="H2609" t="s">
        <v>46</v>
      </c>
      <c r="I2609" t="s">
        <v>47</v>
      </c>
    </row>
    <row r="2610" spans="1:9" x14ac:dyDescent="0.35">
      <c r="A2610" s="1">
        <v>45378</v>
      </c>
      <c r="B2610" t="s">
        <v>39</v>
      </c>
      <c r="C2610" t="s">
        <v>40</v>
      </c>
      <c r="D2610" t="s">
        <v>26</v>
      </c>
      <c r="E2610" t="s">
        <v>27</v>
      </c>
      <c r="F2610">
        <v>38</v>
      </c>
      <c r="G2610">
        <v>45.3</v>
      </c>
      <c r="H2610" t="s">
        <v>48</v>
      </c>
      <c r="I2610" t="s">
        <v>50</v>
      </c>
    </row>
    <row r="2611" spans="1:9" x14ac:dyDescent="0.35">
      <c r="A2611" s="1">
        <v>45378</v>
      </c>
      <c r="B2611" t="s">
        <v>39</v>
      </c>
      <c r="C2611" t="s">
        <v>40</v>
      </c>
      <c r="D2611" t="s">
        <v>28</v>
      </c>
      <c r="E2611" t="s">
        <v>29</v>
      </c>
      <c r="F2611">
        <v>32</v>
      </c>
      <c r="G2611">
        <v>31.3</v>
      </c>
      <c r="H2611" t="s">
        <v>46</v>
      </c>
      <c r="I2611" t="s">
        <v>47</v>
      </c>
    </row>
    <row r="2612" spans="1:9" x14ac:dyDescent="0.35">
      <c r="A2612" s="1">
        <v>45379</v>
      </c>
      <c r="B2612" t="s">
        <v>12</v>
      </c>
      <c r="C2612" t="s">
        <v>13</v>
      </c>
      <c r="D2612" t="s">
        <v>15</v>
      </c>
      <c r="E2612" t="s">
        <v>16</v>
      </c>
      <c r="F2612">
        <v>34</v>
      </c>
      <c r="G2612">
        <v>36.799999999999997</v>
      </c>
      <c r="H2612" t="s">
        <v>46</v>
      </c>
      <c r="I2612" t="s">
        <v>47</v>
      </c>
    </row>
    <row r="2613" spans="1:9" x14ac:dyDescent="0.35">
      <c r="A2613" s="1">
        <v>45379</v>
      </c>
      <c r="B2613" t="s">
        <v>12</v>
      </c>
      <c r="C2613" t="s">
        <v>13</v>
      </c>
      <c r="D2613" t="s">
        <v>18</v>
      </c>
      <c r="E2613" t="s">
        <v>19</v>
      </c>
      <c r="F2613">
        <v>38</v>
      </c>
      <c r="G2613">
        <v>37.9</v>
      </c>
      <c r="H2613" t="s">
        <v>46</v>
      </c>
      <c r="I2613" t="s">
        <v>47</v>
      </c>
    </row>
    <row r="2614" spans="1:9" x14ac:dyDescent="0.35">
      <c r="A2614" s="1">
        <v>45379</v>
      </c>
      <c r="B2614" t="s">
        <v>12</v>
      </c>
      <c r="C2614" t="s">
        <v>13</v>
      </c>
      <c r="D2614" t="s">
        <v>21</v>
      </c>
      <c r="E2614" t="s">
        <v>22</v>
      </c>
      <c r="F2614">
        <v>32</v>
      </c>
      <c r="G2614">
        <v>31.6</v>
      </c>
      <c r="H2614" t="s">
        <v>46</v>
      </c>
      <c r="I2614" t="s">
        <v>47</v>
      </c>
    </row>
    <row r="2615" spans="1:9" x14ac:dyDescent="0.35">
      <c r="A2615" s="1">
        <v>45379</v>
      </c>
      <c r="B2615" t="s">
        <v>12</v>
      </c>
      <c r="C2615" t="s">
        <v>13</v>
      </c>
      <c r="D2615" t="s">
        <v>24</v>
      </c>
      <c r="E2615" t="s">
        <v>25</v>
      </c>
      <c r="F2615">
        <v>50</v>
      </c>
      <c r="G2615">
        <v>53</v>
      </c>
      <c r="H2615" t="s">
        <v>46</v>
      </c>
      <c r="I2615" t="s">
        <v>47</v>
      </c>
    </row>
    <row r="2616" spans="1:9" x14ac:dyDescent="0.35">
      <c r="A2616" s="1">
        <v>45379</v>
      </c>
      <c r="B2616" t="s">
        <v>12</v>
      </c>
      <c r="C2616" t="s">
        <v>13</v>
      </c>
      <c r="D2616" t="s">
        <v>26</v>
      </c>
      <c r="E2616" t="s">
        <v>27</v>
      </c>
      <c r="F2616">
        <v>38</v>
      </c>
      <c r="G2616">
        <v>41</v>
      </c>
      <c r="H2616" t="s">
        <v>46</v>
      </c>
      <c r="I2616" t="s">
        <v>47</v>
      </c>
    </row>
    <row r="2617" spans="1:9" x14ac:dyDescent="0.35">
      <c r="A2617" s="1">
        <v>45379</v>
      </c>
      <c r="B2617" t="s">
        <v>12</v>
      </c>
      <c r="C2617" t="s">
        <v>13</v>
      </c>
      <c r="D2617" t="s">
        <v>28</v>
      </c>
      <c r="E2617" t="s">
        <v>29</v>
      </c>
      <c r="F2617">
        <v>32</v>
      </c>
      <c r="G2617">
        <v>33.1</v>
      </c>
      <c r="H2617" t="s">
        <v>46</v>
      </c>
      <c r="I2617" t="s">
        <v>47</v>
      </c>
    </row>
    <row r="2618" spans="1:9" x14ac:dyDescent="0.35">
      <c r="A2618" s="1">
        <v>45379</v>
      </c>
      <c r="B2618" t="s">
        <v>30</v>
      </c>
      <c r="C2618" t="s">
        <v>31</v>
      </c>
      <c r="D2618" t="s">
        <v>15</v>
      </c>
      <c r="E2618" t="s">
        <v>16</v>
      </c>
      <c r="F2618">
        <v>34</v>
      </c>
      <c r="G2618">
        <v>34.799999999999997</v>
      </c>
      <c r="H2618" t="s">
        <v>46</v>
      </c>
      <c r="I2618" t="s">
        <v>47</v>
      </c>
    </row>
    <row r="2619" spans="1:9" x14ac:dyDescent="0.35">
      <c r="A2619" s="1">
        <v>45379</v>
      </c>
      <c r="B2619" t="s">
        <v>30</v>
      </c>
      <c r="C2619" t="s">
        <v>31</v>
      </c>
      <c r="D2619" t="s">
        <v>18</v>
      </c>
      <c r="E2619" t="s">
        <v>19</v>
      </c>
      <c r="F2619">
        <v>38</v>
      </c>
      <c r="G2619">
        <v>46.3</v>
      </c>
      <c r="H2619" t="s">
        <v>48</v>
      </c>
      <c r="I2619" t="s">
        <v>50</v>
      </c>
    </row>
    <row r="2620" spans="1:9" x14ac:dyDescent="0.35">
      <c r="A2620" s="1">
        <v>45379</v>
      </c>
      <c r="B2620" t="s">
        <v>30</v>
      </c>
      <c r="C2620" t="s">
        <v>31</v>
      </c>
      <c r="D2620" t="s">
        <v>21</v>
      </c>
      <c r="E2620" t="s">
        <v>22</v>
      </c>
      <c r="F2620">
        <v>32</v>
      </c>
      <c r="G2620">
        <v>34.799999999999997</v>
      </c>
      <c r="H2620" t="s">
        <v>46</v>
      </c>
      <c r="I2620" t="s">
        <v>47</v>
      </c>
    </row>
    <row r="2621" spans="1:9" x14ac:dyDescent="0.35">
      <c r="A2621" s="1">
        <v>45379</v>
      </c>
      <c r="B2621" t="s">
        <v>30</v>
      </c>
      <c r="C2621" t="s">
        <v>31</v>
      </c>
      <c r="D2621" t="s">
        <v>24</v>
      </c>
      <c r="E2621" t="s">
        <v>25</v>
      </c>
      <c r="F2621">
        <v>50</v>
      </c>
      <c r="G2621">
        <v>61.7</v>
      </c>
      <c r="H2621" t="s">
        <v>48</v>
      </c>
      <c r="I2621" t="s">
        <v>49</v>
      </c>
    </row>
    <row r="2622" spans="1:9" x14ac:dyDescent="0.35">
      <c r="A2622" s="1">
        <v>45379</v>
      </c>
      <c r="B2622" t="s">
        <v>30</v>
      </c>
      <c r="C2622" t="s">
        <v>31</v>
      </c>
      <c r="D2622" t="s">
        <v>26</v>
      </c>
      <c r="E2622" t="s">
        <v>27</v>
      </c>
      <c r="F2622">
        <v>38</v>
      </c>
      <c r="G2622">
        <v>38</v>
      </c>
      <c r="H2622" t="s">
        <v>46</v>
      </c>
      <c r="I2622" t="s">
        <v>47</v>
      </c>
    </row>
    <row r="2623" spans="1:9" x14ac:dyDescent="0.35">
      <c r="A2623" s="1">
        <v>45379</v>
      </c>
      <c r="B2623" t="s">
        <v>30</v>
      </c>
      <c r="C2623" t="s">
        <v>31</v>
      </c>
      <c r="D2623" t="s">
        <v>28</v>
      </c>
      <c r="E2623" t="s">
        <v>29</v>
      </c>
      <c r="F2623">
        <v>32</v>
      </c>
      <c r="G2623">
        <v>33.4</v>
      </c>
      <c r="H2623" t="s">
        <v>46</v>
      </c>
      <c r="I2623" t="s">
        <v>47</v>
      </c>
    </row>
    <row r="2624" spans="1:9" x14ac:dyDescent="0.35">
      <c r="A2624" s="1">
        <v>45379</v>
      </c>
      <c r="B2624" t="s">
        <v>33</v>
      </c>
      <c r="C2624" t="s">
        <v>34</v>
      </c>
      <c r="D2624" t="s">
        <v>15</v>
      </c>
      <c r="E2624" t="s">
        <v>16</v>
      </c>
      <c r="F2624">
        <v>34</v>
      </c>
      <c r="G2624">
        <v>35.299999999999997</v>
      </c>
      <c r="H2624" t="s">
        <v>46</v>
      </c>
      <c r="I2624" t="s">
        <v>47</v>
      </c>
    </row>
    <row r="2625" spans="1:9" x14ac:dyDescent="0.35">
      <c r="A2625" s="1">
        <v>45379</v>
      </c>
      <c r="B2625" t="s">
        <v>33</v>
      </c>
      <c r="C2625" t="s">
        <v>34</v>
      </c>
      <c r="D2625" t="s">
        <v>18</v>
      </c>
      <c r="E2625" t="s">
        <v>19</v>
      </c>
      <c r="F2625">
        <v>38</v>
      </c>
      <c r="G2625">
        <v>37.4</v>
      </c>
      <c r="H2625" t="s">
        <v>46</v>
      </c>
      <c r="I2625" t="s">
        <v>47</v>
      </c>
    </row>
    <row r="2626" spans="1:9" x14ac:dyDescent="0.35">
      <c r="A2626" s="1">
        <v>45379</v>
      </c>
      <c r="B2626" t="s">
        <v>33</v>
      </c>
      <c r="C2626" t="s">
        <v>34</v>
      </c>
      <c r="D2626" t="s">
        <v>21</v>
      </c>
      <c r="E2626" t="s">
        <v>22</v>
      </c>
      <c r="F2626">
        <v>32</v>
      </c>
      <c r="G2626">
        <v>44.1</v>
      </c>
      <c r="H2626" t="s">
        <v>48</v>
      </c>
      <c r="I2626" t="s">
        <v>49</v>
      </c>
    </row>
    <row r="2627" spans="1:9" x14ac:dyDescent="0.35">
      <c r="A2627" s="1">
        <v>45379</v>
      </c>
      <c r="B2627" t="s">
        <v>33</v>
      </c>
      <c r="C2627" t="s">
        <v>34</v>
      </c>
      <c r="D2627" t="s">
        <v>24</v>
      </c>
      <c r="E2627" t="s">
        <v>25</v>
      </c>
      <c r="F2627">
        <v>50</v>
      </c>
      <c r="G2627">
        <v>52.5</v>
      </c>
      <c r="H2627" t="s">
        <v>46</v>
      </c>
      <c r="I2627" t="s">
        <v>47</v>
      </c>
    </row>
    <row r="2628" spans="1:9" x14ac:dyDescent="0.35">
      <c r="A2628" s="1">
        <v>45379</v>
      </c>
      <c r="B2628" t="s">
        <v>33</v>
      </c>
      <c r="C2628" t="s">
        <v>34</v>
      </c>
      <c r="D2628" t="s">
        <v>26</v>
      </c>
      <c r="E2628" t="s">
        <v>27</v>
      </c>
      <c r="F2628">
        <v>38</v>
      </c>
      <c r="G2628">
        <v>40.6</v>
      </c>
      <c r="H2628" t="s">
        <v>46</v>
      </c>
      <c r="I2628" t="s">
        <v>47</v>
      </c>
    </row>
    <row r="2629" spans="1:9" x14ac:dyDescent="0.35">
      <c r="A2629" s="1">
        <v>45379</v>
      </c>
      <c r="B2629" t="s">
        <v>33</v>
      </c>
      <c r="C2629" t="s">
        <v>34</v>
      </c>
      <c r="D2629" t="s">
        <v>28</v>
      </c>
      <c r="E2629" t="s">
        <v>29</v>
      </c>
      <c r="F2629">
        <v>32</v>
      </c>
      <c r="G2629">
        <v>32.799999999999997</v>
      </c>
      <c r="H2629" t="s">
        <v>46</v>
      </c>
      <c r="I2629" t="s">
        <v>47</v>
      </c>
    </row>
    <row r="2630" spans="1:9" x14ac:dyDescent="0.35">
      <c r="A2630" s="1">
        <v>45379</v>
      </c>
      <c r="B2630" t="s">
        <v>36</v>
      </c>
      <c r="C2630" t="s">
        <v>37</v>
      </c>
      <c r="D2630" t="s">
        <v>15</v>
      </c>
      <c r="E2630" t="s">
        <v>16</v>
      </c>
      <c r="F2630">
        <v>34</v>
      </c>
      <c r="G2630">
        <v>42.4</v>
      </c>
      <c r="H2630" t="s">
        <v>48</v>
      </c>
      <c r="I2630" t="s">
        <v>50</v>
      </c>
    </row>
    <row r="2631" spans="1:9" x14ac:dyDescent="0.35">
      <c r="A2631" s="1">
        <v>45379</v>
      </c>
      <c r="B2631" t="s">
        <v>36</v>
      </c>
      <c r="C2631" t="s">
        <v>37</v>
      </c>
      <c r="D2631" t="s">
        <v>18</v>
      </c>
      <c r="E2631" t="s">
        <v>19</v>
      </c>
      <c r="F2631">
        <v>38</v>
      </c>
      <c r="G2631">
        <v>48.6</v>
      </c>
      <c r="H2631" t="s">
        <v>48</v>
      </c>
      <c r="I2631" t="s">
        <v>49</v>
      </c>
    </row>
    <row r="2632" spans="1:9" x14ac:dyDescent="0.35">
      <c r="A2632" s="1">
        <v>45379</v>
      </c>
      <c r="B2632" t="s">
        <v>36</v>
      </c>
      <c r="C2632" t="s">
        <v>37</v>
      </c>
      <c r="D2632" t="s">
        <v>21</v>
      </c>
      <c r="E2632" t="s">
        <v>22</v>
      </c>
      <c r="F2632">
        <v>32</v>
      </c>
      <c r="G2632">
        <v>31.3</v>
      </c>
      <c r="H2632" t="s">
        <v>46</v>
      </c>
      <c r="I2632" t="s">
        <v>47</v>
      </c>
    </row>
    <row r="2633" spans="1:9" x14ac:dyDescent="0.35">
      <c r="A2633" s="1">
        <v>45379</v>
      </c>
      <c r="B2633" t="s">
        <v>36</v>
      </c>
      <c r="C2633" t="s">
        <v>37</v>
      </c>
      <c r="D2633" t="s">
        <v>24</v>
      </c>
      <c r="E2633" t="s">
        <v>25</v>
      </c>
      <c r="F2633">
        <v>50</v>
      </c>
      <c r="G2633">
        <v>50.8</v>
      </c>
      <c r="H2633" t="s">
        <v>46</v>
      </c>
      <c r="I2633" t="s">
        <v>47</v>
      </c>
    </row>
    <row r="2634" spans="1:9" x14ac:dyDescent="0.35">
      <c r="A2634" s="1">
        <v>45379</v>
      </c>
      <c r="B2634" t="s">
        <v>36</v>
      </c>
      <c r="C2634" t="s">
        <v>37</v>
      </c>
      <c r="D2634" t="s">
        <v>26</v>
      </c>
      <c r="E2634" t="s">
        <v>27</v>
      </c>
      <c r="F2634">
        <v>38</v>
      </c>
      <c r="G2634">
        <v>40.9</v>
      </c>
      <c r="H2634" t="s">
        <v>46</v>
      </c>
      <c r="I2634" t="s">
        <v>47</v>
      </c>
    </row>
    <row r="2635" spans="1:9" x14ac:dyDescent="0.35">
      <c r="A2635" s="1">
        <v>45379</v>
      </c>
      <c r="B2635" t="s">
        <v>36</v>
      </c>
      <c r="C2635" t="s">
        <v>37</v>
      </c>
      <c r="D2635" t="s">
        <v>28</v>
      </c>
      <c r="E2635" t="s">
        <v>29</v>
      </c>
      <c r="F2635">
        <v>32</v>
      </c>
      <c r="G2635">
        <v>32.799999999999997</v>
      </c>
      <c r="H2635" t="s">
        <v>46</v>
      </c>
      <c r="I2635" t="s">
        <v>47</v>
      </c>
    </row>
    <row r="2636" spans="1:9" x14ac:dyDescent="0.35">
      <c r="A2636" s="1">
        <v>45379</v>
      </c>
      <c r="B2636" t="s">
        <v>39</v>
      </c>
      <c r="C2636" t="s">
        <v>40</v>
      </c>
      <c r="D2636" t="s">
        <v>15</v>
      </c>
      <c r="E2636" t="s">
        <v>16</v>
      </c>
      <c r="F2636">
        <v>34</v>
      </c>
      <c r="G2636">
        <v>36.799999999999997</v>
      </c>
      <c r="H2636" t="s">
        <v>46</v>
      </c>
      <c r="I2636" t="s">
        <v>47</v>
      </c>
    </row>
    <row r="2637" spans="1:9" x14ac:dyDescent="0.35">
      <c r="A2637" s="1">
        <v>45379</v>
      </c>
      <c r="B2637" t="s">
        <v>39</v>
      </c>
      <c r="C2637" t="s">
        <v>40</v>
      </c>
      <c r="D2637" t="s">
        <v>18</v>
      </c>
      <c r="E2637" t="s">
        <v>19</v>
      </c>
      <c r="F2637">
        <v>38</v>
      </c>
      <c r="G2637">
        <v>39</v>
      </c>
      <c r="H2637" t="s">
        <v>46</v>
      </c>
      <c r="I2637" t="s">
        <v>47</v>
      </c>
    </row>
    <row r="2638" spans="1:9" x14ac:dyDescent="0.35">
      <c r="A2638" s="1">
        <v>45379</v>
      </c>
      <c r="B2638" t="s">
        <v>39</v>
      </c>
      <c r="C2638" t="s">
        <v>40</v>
      </c>
      <c r="D2638" t="s">
        <v>21</v>
      </c>
      <c r="E2638" t="s">
        <v>22</v>
      </c>
      <c r="F2638">
        <v>32</v>
      </c>
      <c r="G2638">
        <v>32.1</v>
      </c>
      <c r="H2638" t="s">
        <v>46</v>
      </c>
      <c r="I2638" t="s">
        <v>47</v>
      </c>
    </row>
    <row r="2639" spans="1:9" x14ac:dyDescent="0.35">
      <c r="A2639" s="1">
        <v>45379</v>
      </c>
      <c r="B2639" t="s">
        <v>39</v>
      </c>
      <c r="C2639" t="s">
        <v>40</v>
      </c>
      <c r="D2639" t="s">
        <v>24</v>
      </c>
      <c r="E2639" t="s">
        <v>25</v>
      </c>
      <c r="F2639">
        <v>50</v>
      </c>
      <c r="G2639">
        <v>51.5</v>
      </c>
      <c r="H2639" t="s">
        <v>46</v>
      </c>
      <c r="I2639" t="s">
        <v>47</v>
      </c>
    </row>
    <row r="2640" spans="1:9" x14ac:dyDescent="0.35">
      <c r="A2640" s="1">
        <v>45379</v>
      </c>
      <c r="B2640" t="s">
        <v>39</v>
      </c>
      <c r="C2640" t="s">
        <v>40</v>
      </c>
      <c r="D2640" t="s">
        <v>26</v>
      </c>
      <c r="E2640" t="s">
        <v>27</v>
      </c>
      <c r="F2640">
        <v>38</v>
      </c>
      <c r="G2640">
        <v>38.799999999999997</v>
      </c>
      <c r="H2640" t="s">
        <v>46</v>
      </c>
      <c r="I2640" t="s">
        <v>47</v>
      </c>
    </row>
    <row r="2641" spans="1:9" x14ac:dyDescent="0.35">
      <c r="A2641" s="1">
        <v>45379</v>
      </c>
      <c r="B2641" t="s">
        <v>39</v>
      </c>
      <c r="C2641" t="s">
        <v>40</v>
      </c>
      <c r="D2641" t="s">
        <v>28</v>
      </c>
      <c r="E2641" t="s">
        <v>29</v>
      </c>
      <c r="F2641">
        <v>32</v>
      </c>
      <c r="G2641">
        <v>33.5</v>
      </c>
      <c r="H2641" t="s">
        <v>46</v>
      </c>
      <c r="I2641" t="s">
        <v>47</v>
      </c>
    </row>
    <row r="2642" spans="1:9" x14ac:dyDescent="0.35">
      <c r="A2642" s="1">
        <v>45380</v>
      </c>
      <c r="B2642" t="s">
        <v>12</v>
      </c>
      <c r="C2642" t="s">
        <v>13</v>
      </c>
      <c r="D2642" t="s">
        <v>15</v>
      </c>
      <c r="E2642" t="s">
        <v>16</v>
      </c>
      <c r="F2642">
        <v>34</v>
      </c>
      <c r="G2642">
        <v>33.299999999999997</v>
      </c>
      <c r="H2642" t="s">
        <v>46</v>
      </c>
      <c r="I2642" t="s">
        <v>47</v>
      </c>
    </row>
    <row r="2643" spans="1:9" x14ac:dyDescent="0.35">
      <c r="A2643" s="1">
        <v>45380</v>
      </c>
      <c r="B2643" t="s">
        <v>12</v>
      </c>
      <c r="C2643" t="s">
        <v>13</v>
      </c>
      <c r="D2643" t="s">
        <v>18</v>
      </c>
      <c r="E2643" t="s">
        <v>19</v>
      </c>
      <c r="F2643">
        <v>38</v>
      </c>
      <c r="G2643">
        <v>38.799999999999997</v>
      </c>
      <c r="H2643" t="s">
        <v>46</v>
      </c>
      <c r="I2643" t="s">
        <v>47</v>
      </c>
    </row>
    <row r="2644" spans="1:9" x14ac:dyDescent="0.35">
      <c r="A2644" s="1">
        <v>45380</v>
      </c>
      <c r="B2644" t="s">
        <v>12</v>
      </c>
      <c r="C2644" t="s">
        <v>13</v>
      </c>
      <c r="D2644" t="s">
        <v>21</v>
      </c>
      <c r="E2644" t="s">
        <v>22</v>
      </c>
      <c r="F2644">
        <v>32</v>
      </c>
      <c r="G2644">
        <v>35</v>
      </c>
      <c r="H2644" t="s">
        <v>46</v>
      </c>
      <c r="I2644" t="s">
        <v>47</v>
      </c>
    </row>
    <row r="2645" spans="1:9" x14ac:dyDescent="0.35">
      <c r="A2645" s="1">
        <v>45380</v>
      </c>
      <c r="B2645" t="s">
        <v>12</v>
      </c>
      <c r="C2645" t="s">
        <v>13</v>
      </c>
      <c r="D2645" t="s">
        <v>24</v>
      </c>
      <c r="E2645" t="s">
        <v>25</v>
      </c>
      <c r="F2645">
        <v>50</v>
      </c>
      <c r="G2645">
        <v>63.8</v>
      </c>
      <c r="H2645" t="s">
        <v>48</v>
      </c>
      <c r="I2645" t="s">
        <v>49</v>
      </c>
    </row>
    <row r="2646" spans="1:9" x14ac:dyDescent="0.35">
      <c r="A2646" s="1">
        <v>45380</v>
      </c>
      <c r="B2646" t="s">
        <v>12</v>
      </c>
      <c r="C2646" t="s">
        <v>13</v>
      </c>
      <c r="D2646" t="s">
        <v>26</v>
      </c>
      <c r="E2646" t="s">
        <v>27</v>
      </c>
      <c r="F2646">
        <v>38</v>
      </c>
      <c r="G2646">
        <v>50.3</v>
      </c>
      <c r="H2646" t="s">
        <v>48</v>
      </c>
      <c r="I2646" t="s">
        <v>49</v>
      </c>
    </row>
    <row r="2647" spans="1:9" x14ac:dyDescent="0.35">
      <c r="A2647" s="1">
        <v>45380</v>
      </c>
      <c r="B2647" t="s">
        <v>12</v>
      </c>
      <c r="C2647" t="s">
        <v>13</v>
      </c>
      <c r="D2647" t="s">
        <v>28</v>
      </c>
      <c r="E2647" t="s">
        <v>29</v>
      </c>
      <c r="F2647">
        <v>32</v>
      </c>
      <c r="G2647">
        <v>33.200000000000003</v>
      </c>
      <c r="H2647" t="s">
        <v>46</v>
      </c>
      <c r="I2647" t="s">
        <v>47</v>
      </c>
    </row>
    <row r="2648" spans="1:9" x14ac:dyDescent="0.35">
      <c r="A2648" s="1">
        <v>45380</v>
      </c>
      <c r="B2648" t="s">
        <v>30</v>
      </c>
      <c r="C2648" t="s">
        <v>31</v>
      </c>
      <c r="D2648" t="s">
        <v>15</v>
      </c>
      <c r="E2648" t="s">
        <v>16</v>
      </c>
      <c r="F2648">
        <v>34</v>
      </c>
      <c r="G2648">
        <v>40.799999999999997</v>
      </c>
      <c r="H2648" t="s">
        <v>48</v>
      </c>
      <c r="I2648" t="s">
        <v>50</v>
      </c>
    </row>
    <row r="2649" spans="1:9" x14ac:dyDescent="0.35">
      <c r="A2649" s="1">
        <v>45380</v>
      </c>
      <c r="B2649" t="s">
        <v>30</v>
      </c>
      <c r="C2649" t="s">
        <v>31</v>
      </c>
      <c r="D2649" t="s">
        <v>18</v>
      </c>
      <c r="E2649" t="s">
        <v>19</v>
      </c>
      <c r="F2649">
        <v>38</v>
      </c>
      <c r="G2649">
        <v>39.299999999999997</v>
      </c>
      <c r="H2649" t="s">
        <v>46</v>
      </c>
      <c r="I2649" t="s">
        <v>47</v>
      </c>
    </row>
    <row r="2650" spans="1:9" x14ac:dyDescent="0.35">
      <c r="A2650" s="1">
        <v>45380</v>
      </c>
      <c r="B2650" t="s">
        <v>30</v>
      </c>
      <c r="C2650" t="s">
        <v>31</v>
      </c>
      <c r="D2650" t="s">
        <v>21</v>
      </c>
      <c r="E2650" t="s">
        <v>22</v>
      </c>
      <c r="F2650">
        <v>32</v>
      </c>
      <c r="G2650">
        <v>31.9</v>
      </c>
      <c r="H2650" t="s">
        <v>46</v>
      </c>
      <c r="I2650" t="s">
        <v>47</v>
      </c>
    </row>
    <row r="2651" spans="1:9" x14ac:dyDescent="0.35">
      <c r="A2651" s="1">
        <v>45380</v>
      </c>
      <c r="B2651" t="s">
        <v>30</v>
      </c>
      <c r="C2651" t="s">
        <v>31</v>
      </c>
      <c r="D2651" t="s">
        <v>24</v>
      </c>
      <c r="E2651" t="s">
        <v>25</v>
      </c>
      <c r="F2651">
        <v>50</v>
      </c>
      <c r="G2651">
        <v>51.7</v>
      </c>
      <c r="H2651" t="s">
        <v>46</v>
      </c>
      <c r="I2651" t="s">
        <v>47</v>
      </c>
    </row>
    <row r="2652" spans="1:9" x14ac:dyDescent="0.35">
      <c r="A2652" s="1">
        <v>45380</v>
      </c>
      <c r="B2652" t="s">
        <v>30</v>
      </c>
      <c r="C2652" t="s">
        <v>31</v>
      </c>
      <c r="D2652" t="s">
        <v>26</v>
      </c>
      <c r="E2652" t="s">
        <v>27</v>
      </c>
      <c r="F2652">
        <v>38</v>
      </c>
      <c r="G2652">
        <v>38.9</v>
      </c>
      <c r="H2652" t="s">
        <v>46</v>
      </c>
      <c r="I2652" t="s">
        <v>47</v>
      </c>
    </row>
    <row r="2653" spans="1:9" x14ac:dyDescent="0.35">
      <c r="A2653" s="1">
        <v>45380</v>
      </c>
      <c r="B2653" t="s">
        <v>30</v>
      </c>
      <c r="C2653" t="s">
        <v>31</v>
      </c>
      <c r="D2653" t="s">
        <v>28</v>
      </c>
      <c r="E2653" t="s">
        <v>29</v>
      </c>
      <c r="F2653">
        <v>32</v>
      </c>
      <c r="G2653">
        <v>34.299999999999997</v>
      </c>
      <c r="H2653" t="s">
        <v>46</v>
      </c>
      <c r="I2653" t="s">
        <v>47</v>
      </c>
    </row>
    <row r="2654" spans="1:9" x14ac:dyDescent="0.35">
      <c r="A2654" s="1">
        <v>45380</v>
      </c>
      <c r="B2654" t="s">
        <v>33</v>
      </c>
      <c r="C2654" t="s">
        <v>34</v>
      </c>
      <c r="D2654" t="s">
        <v>15</v>
      </c>
      <c r="E2654" t="s">
        <v>16</v>
      </c>
      <c r="F2654">
        <v>34</v>
      </c>
      <c r="G2654">
        <v>41.4</v>
      </c>
      <c r="H2654" t="s">
        <v>48</v>
      </c>
      <c r="I2654" t="s">
        <v>50</v>
      </c>
    </row>
    <row r="2655" spans="1:9" x14ac:dyDescent="0.35">
      <c r="A2655" s="1">
        <v>45380</v>
      </c>
      <c r="B2655" t="s">
        <v>33</v>
      </c>
      <c r="C2655" t="s">
        <v>34</v>
      </c>
      <c r="D2655" t="s">
        <v>18</v>
      </c>
      <c r="E2655" t="s">
        <v>19</v>
      </c>
      <c r="F2655">
        <v>38</v>
      </c>
      <c r="G2655">
        <v>51.7</v>
      </c>
      <c r="H2655" t="s">
        <v>48</v>
      </c>
      <c r="I2655" t="s">
        <v>49</v>
      </c>
    </row>
    <row r="2656" spans="1:9" x14ac:dyDescent="0.35">
      <c r="A2656" s="1">
        <v>45380</v>
      </c>
      <c r="B2656" t="s">
        <v>33</v>
      </c>
      <c r="C2656" t="s">
        <v>34</v>
      </c>
      <c r="D2656" t="s">
        <v>21</v>
      </c>
      <c r="E2656" t="s">
        <v>22</v>
      </c>
      <c r="F2656">
        <v>32</v>
      </c>
      <c r="G2656">
        <v>32.700000000000003</v>
      </c>
      <c r="H2656" t="s">
        <v>46</v>
      </c>
      <c r="I2656" t="s">
        <v>47</v>
      </c>
    </row>
    <row r="2657" spans="1:9" x14ac:dyDescent="0.35">
      <c r="A2657" s="1">
        <v>45380</v>
      </c>
      <c r="B2657" t="s">
        <v>33</v>
      </c>
      <c r="C2657" t="s">
        <v>34</v>
      </c>
      <c r="D2657" t="s">
        <v>24</v>
      </c>
      <c r="E2657" t="s">
        <v>25</v>
      </c>
      <c r="F2657">
        <v>50</v>
      </c>
      <c r="G2657">
        <v>49.3</v>
      </c>
      <c r="H2657" t="s">
        <v>46</v>
      </c>
      <c r="I2657" t="s">
        <v>47</v>
      </c>
    </row>
    <row r="2658" spans="1:9" x14ac:dyDescent="0.35">
      <c r="A2658" s="1">
        <v>45380</v>
      </c>
      <c r="B2658" t="s">
        <v>33</v>
      </c>
      <c r="C2658" t="s">
        <v>34</v>
      </c>
      <c r="D2658" t="s">
        <v>26</v>
      </c>
      <c r="E2658" t="s">
        <v>27</v>
      </c>
      <c r="F2658">
        <v>38</v>
      </c>
      <c r="G2658">
        <v>39.4</v>
      </c>
      <c r="H2658" t="s">
        <v>46</v>
      </c>
      <c r="I2658" t="s">
        <v>47</v>
      </c>
    </row>
    <row r="2659" spans="1:9" x14ac:dyDescent="0.35">
      <c r="A2659" s="1">
        <v>45380</v>
      </c>
      <c r="B2659" t="s">
        <v>33</v>
      </c>
      <c r="C2659" t="s">
        <v>34</v>
      </c>
      <c r="D2659" t="s">
        <v>28</v>
      </c>
      <c r="E2659" t="s">
        <v>29</v>
      </c>
      <c r="F2659">
        <v>32</v>
      </c>
      <c r="G2659">
        <v>34</v>
      </c>
      <c r="H2659" t="s">
        <v>46</v>
      </c>
      <c r="I2659" t="s">
        <v>47</v>
      </c>
    </row>
    <row r="2660" spans="1:9" x14ac:dyDescent="0.35">
      <c r="A2660" s="1">
        <v>45380</v>
      </c>
      <c r="B2660" t="s">
        <v>36</v>
      </c>
      <c r="C2660" t="s">
        <v>37</v>
      </c>
      <c r="D2660" t="s">
        <v>15</v>
      </c>
      <c r="E2660" t="s">
        <v>16</v>
      </c>
      <c r="F2660">
        <v>34</v>
      </c>
      <c r="G2660">
        <v>43.6</v>
      </c>
      <c r="H2660" t="s">
        <v>48</v>
      </c>
      <c r="I2660" t="s">
        <v>50</v>
      </c>
    </row>
    <row r="2661" spans="1:9" x14ac:dyDescent="0.35">
      <c r="A2661" s="1">
        <v>45380</v>
      </c>
      <c r="B2661" t="s">
        <v>36</v>
      </c>
      <c r="C2661" t="s">
        <v>37</v>
      </c>
      <c r="D2661" t="s">
        <v>18</v>
      </c>
      <c r="E2661" t="s">
        <v>19</v>
      </c>
      <c r="F2661">
        <v>38</v>
      </c>
      <c r="G2661">
        <v>40.799999999999997</v>
      </c>
      <c r="H2661" t="s">
        <v>46</v>
      </c>
      <c r="I2661" t="s">
        <v>47</v>
      </c>
    </row>
    <row r="2662" spans="1:9" x14ac:dyDescent="0.35">
      <c r="A2662" s="1">
        <v>45380</v>
      </c>
      <c r="B2662" t="s">
        <v>36</v>
      </c>
      <c r="C2662" t="s">
        <v>37</v>
      </c>
      <c r="D2662" t="s">
        <v>21</v>
      </c>
      <c r="E2662" t="s">
        <v>22</v>
      </c>
      <c r="F2662">
        <v>32</v>
      </c>
      <c r="G2662">
        <v>39.700000000000003</v>
      </c>
      <c r="H2662" t="s">
        <v>48</v>
      </c>
      <c r="I2662" t="s">
        <v>50</v>
      </c>
    </row>
    <row r="2663" spans="1:9" x14ac:dyDescent="0.35">
      <c r="A2663" s="1">
        <v>45380</v>
      </c>
      <c r="B2663" t="s">
        <v>36</v>
      </c>
      <c r="C2663" t="s">
        <v>37</v>
      </c>
      <c r="D2663" t="s">
        <v>24</v>
      </c>
      <c r="E2663" t="s">
        <v>25</v>
      </c>
      <c r="F2663">
        <v>50</v>
      </c>
      <c r="G2663">
        <v>53</v>
      </c>
      <c r="H2663" t="s">
        <v>46</v>
      </c>
      <c r="I2663" t="s">
        <v>47</v>
      </c>
    </row>
    <row r="2664" spans="1:9" x14ac:dyDescent="0.35">
      <c r="A2664" s="1">
        <v>45380</v>
      </c>
      <c r="B2664" t="s">
        <v>36</v>
      </c>
      <c r="C2664" t="s">
        <v>37</v>
      </c>
      <c r="D2664" t="s">
        <v>26</v>
      </c>
      <c r="E2664" t="s">
        <v>27</v>
      </c>
      <c r="F2664">
        <v>38</v>
      </c>
      <c r="G2664">
        <v>37.200000000000003</v>
      </c>
      <c r="H2664" t="s">
        <v>46</v>
      </c>
      <c r="I2664" t="s">
        <v>47</v>
      </c>
    </row>
    <row r="2665" spans="1:9" x14ac:dyDescent="0.35">
      <c r="A2665" s="1">
        <v>45380</v>
      </c>
      <c r="B2665" t="s">
        <v>36</v>
      </c>
      <c r="C2665" t="s">
        <v>37</v>
      </c>
      <c r="D2665" t="s">
        <v>28</v>
      </c>
      <c r="E2665" t="s">
        <v>29</v>
      </c>
      <c r="F2665">
        <v>32</v>
      </c>
      <c r="G2665">
        <v>34.200000000000003</v>
      </c>
      <c r="H2665" t="s">
        <v>46</v>
      </c>
      <c r="I2665" t="s">
        <v>47</v>
      </c>
    </row>
    <row r="2666" spans="1:9" x14ac:dyDescent="0.35">
      <c r="A2666" s="1">
        <v>45380</v>
      </c>
      <c r="B2666" t="s">
        <v>39</v>
      </c>
      <c r="C2666" t="s">
        <v>40</v>
      </c>
      <c r="D2666" t="s">
        <v>15</v>
      </c>
      <c r="E2666" t="s">
        <v>16</v>
      </c>
      <c r="F2666">
        <v>34</v>
      </c>
      <c r="G2666">
        <v>33.9</v>
      </c>
      <c r="H2666" t="s">
        <v>46</v>
      </c>
      <c r="I2666" t="s">
        <v>47</v>
      </c>
    </row>
    <row r="2667" spans="1:9" x14ac:dyDescent="0.35">
      <c r="A2667" s="1">
        <v>45380</v>
      </c>
      <c r="B2667" t="s">
        <v>39</v>
      </c>
      <c r="C2667" t="s">
        <v>40</v>
      </c>
      <c r="D2667" t="s">
        <v>18</v>
      </c>
      <c r="E2667" t="s">
        <v>19</v>
      </c>
      <c r="F2667">
        <v>38</v>
      </c>
      <c r="G2667">
        <v>37.1</v>
      </c>
      <c r="H2667" t="s">
        <v>46</v>
      </c>
      <c r="I2667" t="s">
        <v>47</v>
      </c>
    </row>
    <row r="2668" spans="1:9" x14ac:dyDescent="0.35">
      <c r="A2668" s="1">
        <v>45380</v>
      </c>
      <c r="B2668" t="s">
        <v>39</v>
      </c>
      <c r="C2668" t="s">
        <v>40</v>
      </c>
      <c r="D2668" t="s">
        <v>21</v>
      </c>
      <c r="E2668" t="s">
        <v>22</v>
      </c>
      <c r="F2668">
        <v>32</v>
      </c>
      <c r="G2668">
        <v>32.700000000000003</v>
      </c>
      <c r="H2668" t="s">
        <v>46</v>
      </c>
      <c r="I2668" t="s">
        <v>47</v>
      </c>
    </row>
    <row r="2669" spans="1:9" x14ac:dyDescent="0.35">
      <c r="A2669" s="1">
        <v>45380</v>
      </c>
      <c r="B2669" t="s">
        <v>39</v>
      </c>
      <c r="C2669" t="s">
        <v>40</v>
      </c>
      <c r="D2669" t="s">
        <v>24</v>
      </c>
      <c r="E2669" t="s">
        <v>25</v>
      </c>
      <c r="F2669">
        <v>50</v>
      </c>
      <c r="G2669">
        <v>49.7</v>
      </c>
      <c r="H2669" t="s">
        <v>46</v>
      </c>
      <c r="I2669" t="s">
        <v>47</v>
      </c>
    </row>
    <row r="2670" spans="1:9" x14ac:dyDescent="0.35">
      <c r="A2670" s="1">
        <v>45380</v>
      </c>
      <c r="B2670" t="s">
        <v>39</v>
      </c>
      <c r="C2670" t="s">
        <v>40</v>
      </c>
      <c r="D2670" t="s">
        <v>26</v>
      </c>
      <c r="E2670" t="s">
        <v>27</v>
      </c>
      <c r="F2670">
        <v>38</v>
      </c>
      <c r="G2670">
        <v>46.2</v>
      </c>
      <c r="H2670" t="s">
        <v>48</v>
      </c>
      <c r="I2670" t="s">
        <v>50</v>
      </c>
    </row>
    <row r="2671" spans="1:9" x14ac:dyDescent="0.35">
      <c r="A2671" s="1">
        <v>45380</v>
      </c>
      <c r="B2671" t="s">
        <v>39</v>
      </c>
      <c r="C2671" t="s">
        <v>40</v>
      </c>
      <c r="D2671" t="s">
        <v>28</v>
      </c>
      <c r="E2671" t="s">
        <v>29</v>
      </c>
      <c r="F2671">
        <v>32</v>
      </c>
      <c r="G2671">
        <v>45</v>
      </c>
      <c r="H2671" t="s">
        <v>48</v>
      </c>
      <c r="I2671" t="s">
        <v>49</v>
      </c>
    </row>
    <row r="2672" spans="1:9" x14ac:dyDescent="0.35">
      <c r="A2672" s="1">
        <v>45381</v>
      </c>
      <c r="B2672" t="s">
        <v>12</v>
      </c>
      <c r="C2672" t="s">
        <v>13</v>
      </c>
      <c r="D2672" t="s">
        <v>15</v>
      </c>
      <c r="E2672" t="s">
        <v>16</v>
      </c>
      <c r="F2672">
        <v>34</v>
      </c>
      <c r="G2672">
        <v>34.700000000000003</v>
      </c>
      <c r="H2672" t="s">
        <v>46</v>
      </c>
      <c r="I2672" t="s">
        <v>47</v>
      </c>
    </row>
    <row r="2673" spans="1:9" x14ac:dyDescent="0.35">
      <c r="A2673" s="1">
        <v>45381</v>
      </c>
      <c r="B2673" t="s">
        <v>12</v>
      </c>
      <c r="C2673" t="s">
        <v>13</v>
      </c>
      <c r="D2673" t="s">
        <v>18</v>
      </c>
      <c r="E2673" t="s">
        <v>19</v>
      </c>
      <c r="F2673">
        <v>38</v>
      </c>
      <c r="G2673">
        <v>40.6</v>
      </c>
      <c r="H2673" t="s">
        <v>46</v>
      </c>
      <c r="I2673" t="s">
        <v>47</v>
      </c>
    </row>
    <row r="2674" spans="1:9" x14ac:dyDescent="0.35">
      <c r="A2674" s="1">
        <v>45381</v>
      </c>
      <c r="B2674" t="s">
        <v>12</v>
      </c>
      <c r="C2674" t="s">
        <v>13</v>
      </c>
      <c r="D2674" t="s">
        <v>21</v>
      </c>
      <c r="E2674" t="s">
        <v>22</v>
      </c>
      <c r="F2674">
        <v>32</v>
      </c>
      <c r="G2674">
        <v>31.2</v>
      </c>
      <c r="H2674" t="s">
        <v>46</v>
      </c>
      <c r="I2674" t="s">
        <v>47</v>
      </c>
    </row>
    <row r="2675" spans="1:9" x14ac:dyDescent="0.35">
      <c r="A2675" s="1">
        <v>45381</v>
      </c>
      <c r="B2675" t="s">
        <v>12</v>
      </c>
      <c r="C2675" t="s">
        <v>13</v>
      </c>
      <c r="D2675" t="s">
        <v>24</v>
      </c>
      <c r="E2675" t="s">
        <v>25</v>
      </c>
      <c r="F2675">
        <v>50</v>
      </c>
      <c r="G2675">
        <v>50.7</v>
      </c>
      <c r="H2675" t="s">
        <v>46</v>
      </c>
      <c r="I2675" t="s">
        <v>47</v>
      </c>
    </row>
    <row r="2676" spans="1:9" x14ac:dyDescent="0.35">
      <c r="A2676" s="1">
        <v>45381</v>
      </c>
      <c r="B2676" t="s">
        <v>12</v>
      </c>
      <c r="C2676" t="s">
        <v>13</v>
      </c>
      <c r="D2676" t="s">
        <v>26</v>
      </c>
      <c r="E2676" t="s">
        <v>27</v>
      </c>
      <c r="F2676">
        <v>38</v>
      </c>
      <c r="G2676">
        <v>38.200000000000003</v>
      </c>
      <c r="H2676" t="s">
        <v>46</v>
      </c>
      <c r="I2676" t="s">
        <v>47</v>
      </c>
    </row>
    <row r="2677" spans="1:9" x14ac:dyDescent="0.35">
      <c r="A2677" s="1">
        <v>45381</v>
      </c>
      <c r="B2677" t="s">
        <v>12</v>
      </c>
      <c r="C2677" t="s">
        <v>13</v>
      </c>
      <c r="D2677" t="s">
        <v>28</v>
      </c>
      <c r="E2677" t="s">
        <v>29</v>
      </c>
      <c r="F2677">
        <v>32</v>
      </c>
      <c r="G2677">
        <v>34.799999999999997</v>
      </c>
      <c r="H2677" t="s">
        <v>46</v>
      </c>
      <c r="I2677" t="s">
        <v>47</v>
      </c>
    </row>
    <row r="2678" spans="1:9" x14ac:dyDescent="0.35">
      <c r="A2678" s="1">
        <v>45381</v>
      </c>
      <c r="B2678" t="s">
        <v>30</v>
      </c>
      <c r="C2678" t="s">
        <v>31</v>
      </c>
      <c r="D2678" t="s">
        <v>15</v>
      </c>
      <c r="E2678" t="s">
        <v>16</v>
      </c>
      <c r="F2678">
        <v>34</v>
      </c>
      <c r="G2678">
        <v>35.1</v>
      </c>
      <c r="H2678" t="s">
        <v>46</v>
      </c>
      <c r="I2678" t="s">
        <v>47</v>
      </c>
    </row>
    <row r="2679" spans="1:9" x14ac:dyDescent="0.35">
      <c r="A2679" s="1">
        <v>45381</v>
      </c>
      <c r="B2679" t="s">
        <v>30</v>
      </c>
      <c r="C2679" t="s">
        <v>31</v>
      </c>
      <c r="D2679" t="s">
        <v>18</v>
      </c>
      <c r="E2679" t="s">
        <v>19</v>
      </c>
      <c r="F2679">
        <v>38</v>
      </c>
      <c r="G2679">
        <v>40.9</v>
      </c>
      <c r="H2679" t="s">
        <v>46</v>
      </c>
      <c r="I2679" t="s">
        <v>47</v>
      </c>
    </row>
    <row r="2680" spans="1:9" x14ac:dyDescent="0.35">
      <c r="A2680" s="1">
        <v>45381</v>
      </c>
      <c r="B2680" t="s">
        <v>30</v>
      </c>
      <c r="C2680" t="s">
        <v>31</v>
      </c>
      <c r="D2680" t="s">
        <v>21</v>
      </c>
      <c r="E2680" t="s">
        <v>22</v>
      </c>
      <c r="F2680">
        <v>32</v>
      </c>
      <c r="G2680">
        <v>34.700000000000003</v>
      </c>
      <c r="H2680" t="s">
        <v>46</v>
      </c>
      <c r="I2680" t="s">
        <v>47</v>
      </c>
    </row>
    <row r="2681" spans="1:9" x14ac:dyDescent="0.35">
      <c r="A2681" s="1">
        <v>45381</v>
      </c>
      <c r="B2681" t="s">
        <v>30</v>
      </c>
      <c r="C2681" t="s">
        <v>31</v>
      </c>
      <c r="D2681" t="s">
        <v>24</v>
      </c>
      <c r="E2681" t="s">
        <v>25</v>
      </c>
      <c r="F2681">
        <v>50</v>
      </c>
      <c r="G2681">
        <v>52.3</v>
      </c>
      <c r="H2681" t="s">
        <v>46</v>
      </c>
      <c r="I2681" t="s">
        <v>47</v>
      </c>
    </row>
    <row r="2682" spans="1:9" x14ac:dyDescent="0.35">
      <c r="A2682" s="1">
        <v>45381</v>
      </c>
      <c r="B2682" t="s">
        <v>30</v>
      </c>
      <c r="C2682" t="s">
        <v>31</v>
      </c>
      <c r="D2682" t="s">
        <v>26</v>
      </c>
      <c r="E2682" t="s">
        <v>27</v>
      </c>
      <c r="F2682">
        <v>38</v>
      </c>
      <c r="G2682">
        <v>40.6</v>
      </c>
      <c r="H2682" t="s">
        <v>46</v>
      </c>
      <c r="I2682" t="s">
        <v>47</v>
      </c>
    </row>
    <row r="2683" spans="1:9" x14ac:dyDescent="0.35">
      <c r="A2683" s="1">
        <v>45381</v>
      </c>
      <c r="B2683" t="s">
        <v>30</v>
      </c>
      <c r="C2683" t="s">
        <v>31</v>
      </c>
      <c r="D2683" t="s">
        <v>28</v>
      </c>
      <c r="E2683" t="s">
        <v>29</v>
      </c>
      <c r="F2683">
        <v>32</v>
      </c>
      <c r="G2683">
        <v>33.9</v>
      </c>
      <c r="H2683" t="s">
        <v>46</v>
      </c>
      <c r="I2683" t="s">
        <v>47</v>
      </c>
    </row>
    <row r="2684" spans="1:9" x14ac:dyDescent="0.35">
      <c r="A2684" s="1">
        <v>45381</v>
      </c>
      <c r="B2684" t="s">
        <v>33</v>
      </c>
      <c r="C2684" t="s">
        <v>34</v>
      </c>
      <c r="D2684" t="s">
        <v>15</v>
      </c>
      <c r="E2684" t="s">
        <v>16</v>
      </c>
      <c r="F2684">
        <v>34</v>
      </c>
      <c r="G2684">
        <v>33.6</v>
      </c>
      <c r="H2684" t="s">
        <v>46</v>
      </c>
      <c r="I2684" t="s">
        <v>47</v>
      </c>
    </row>
    <row r="2685" spans="1:9" x14ac:dyDescent="0.35">
      <c r="A2685" s="1">
        <v>45381</v>
      </c>
      <c r="B2685" t="s">
        <v>33</v>
      </c>
      <c r="C2685" t="s">
        <v>34</v>
      </c>
      <c r="D2685" t="s">
        <v>18</v>
      </c>
      <c r="E2685" t="s">
        <v>19</v>
      </c>
      <c r="F2685">
        <v>38</v>
      </c>
      <c r="G2685">
        <v>40.299999999999997</v>
      </c>
      <c r="H2685" t="s">
        <v>46</v>
      </c>
      <c r="I2685" t="s">
        <v>47</v>
      </c>
    </row>
    <row r="2686" spans="1:9" x14ac:dyDescent="0.35">
      <c r="A2686" s="1">
        <v>45381</v>
      </c>
      <c r="B2686" t="s">
        <v>33</v>
      </c>
      <c r="C2686" t="s">
        <v>34</v>
      </c>
      <c r="D2686" t="s">
        <v>21</v>
      </c>
      <c r="E2686" t="s">
        <v>22</v>
      </c>
      <c r="F2686">
        <v>32</v>
      </c>
      <c r="G2686">
        <v>34.299999999999997</v>
      </c>
      <c r="H2686" t="s">
        <v>46</v>
      </c>
      <c r="I2686" t="s">
        <v>47</v>
      </c>
    </row>
    <row r="2687" spans="1:9" x14ac:dyDescent="0.35">
      <c r="A2687" s="1">
        <v>45381</v>
      </c>
      <c r="B2687" t="s">
        <v>33</v>
      </c>
      <c r="C2687" t="s">
        <v>34</v>
      </c>
      <c r="D2687" t="s">
        <v>24</v>
      </c>
      <c r="E2687" t="s">
        <v>25</v>
      </c>
      <c r="F2687">
        <v>50</v>
      </c>
      <c r="G2687">
        <v>49.1</v>
      </c>
      <c r="H2687" t="s">
        <v>46</v>
      </c>
      <c r="I2687" t="s">
        <v>47</v>
      </c>
    </row>
    <row r="2688" spans="1:9" x14ac:dyDescent="0.35">
      <c r="A2688" s="1">
        <v>45381</v>
      </c>
      <c r="B2688" t="s">
        <v>33</v>
      </c>
      <c r="C2688" t="s">
        <v>34</v>
      </c>
      <c r="D2688" t="s">
        <v>26</v>
      </c>
      <c r="E2688" t="s">
        <v>27</v>
      </c>
      <c r="F2688">
        <v>38</v>
      </c>
      <c r="G2688">
        <v>40.700000000000003</v>
      </c>
      <c r="H2688" t="s">
        <v>46</v>
      </c>
      <c r="I2688" t="s">
        <v>47</v>
      </c>
    </row>
    <row r="2689" spans="1:9" x14ac:dyDescent="0.35">
      <c r="A2689" s="1">
        <v>45381</v>
      </c>
      <c r="B2689" t="s">
        <v>33</v>
      </c>
      <c r="C2689" t="s">
        <v>34</v>
      </c>
      <c r="D2689" t="s">
        <v>28</v>
      </c>
      <c r="E2689" t="s">
        <v>29</v>
      </c>
      <c r="F2689">
        <v>32</v>
      </c>
      <c r="G2689">
        <v>32.299999999999997</v>
      </c>
      <c r="H2689" t="s">
        <v>46</v>
      </c>
      <c r="I2689" t="s">
        <v>47</v>
      </c>
    </row>
    <row r="2690" spans="1:9" x14ac:dyDescent="0.35">
      <c r="A2690" s="1">
        <v>45381</v>
      </c>
      <c r="B2690" t="s">
        <v>36</v>
      </c>
      <c r="C2690" t="s">
        <v>37</v>
      </c>
      <c r="D2690" t="s">
        <v>15</v>
      </c>
      <c r="E2690" t="s">
        <v>16</v>
      </c>
      <c r="F2690">
        <v>34</v>
      </c>
      <c r="G2690">
        <v>35.700000000000003</v>
      </c>
      <c r="H2690" t="s">
        <v>46</v>
      </c>
      <c r="I2690" t="s">
        <v>47</v>
      </c>
    </row>
    <row r="2691" spans="1:9" x14ac:dyDescent="0.35">
      <c r="A2691" s="1">
        <v>45381</v>
      </c>
      <c r="B2691" t="s">
        <v>36</v>
      </c>
      <c r="C2691" t="s">
        <v>37</v>
      </c>
      <c r="D2691" t="s">
        <v>18</v>
      </c>
      <c r="E2691" t="s">
        <v>19</v>
      </c>
      <c r="F2691">
        <v>38</v>
      </c>
      <c r="G2691">
        <v>39.9</v>
      </c>
      <c r="H2691" t="s">
        <v>46</v>
      </c>
      <c r="I2691" t="s">
        <v>47</v>
      </c>
    </row>
    <row r="2692" spans="1:9" x14ac:dyDescent="0.35">
      <c r="A2692" s="1">
        <v>45381</v>
      </c>
      <c r="B2692" t="s">
        <v>36</v>
      </c>
      <c r="C2692" t="s">
        <v>37</v>
      </c>
      <c r="D2692" t="s">
        <v>21</v>
      </c>
      <c r="E2692" t="s">
        <v>22</v>
      </c>
      <c r="F2692">
        <v>32</v>
      </c>
      <c r="G2692">
        <v>34.799999999999997</v>
      </c>
      <c r="H2692" t="s">
        <v>46</v>
      </c>
      <c r="I2692" t="s">
        <v>47</v>
      </c>
    </row>
    <row r="2693" spans="1:9" x14ac:dyDescent="0.35">
      <c r="A2693" s="1">
        <v>45381</v>
      </c>
      <c r="B2693" t="s">
        <v>36</v>
      </c>
      <c r="C2693" t="s">
        <v>37</v>
      </c>
      <c r="D2693" t="s">
        <v>24</v>
      </c>
      <c r="E2693" t="s">
        <v>25</v>
      </c>
      <c r="F2693">
        <v>50</v>
      </c>
      <c r="G2693">
        <v>51.5</v>
      </c>
      <c r="H2693" t="s">
        <v>46</v>
      </c>
      <c r="I2693" t="s">
        <v>47</v>
      </c>
    </row>
    <row r="2694" spans="1:9" x14ac:dyDescent="0.35">
      <c r="A2694" s="1">
        <v>45381</v>
      </c>
      <c r="B2694" t="s">
        <v>36</v>
      </c>
      <c r="C2694" t="s">
        <v>37</v>
      </c>
      <c r="D2694" t="s">
        <v>26</v>
      </c>
      <c r="E2694" t="s">
        <v>27</v>
      </c>
      <c r="F2694">
        <v>38</v>
      </c>
      <c r="G2694">
        <v>39.299999999999997</v>
      </c>
      <c r="H2694" t="s">
        <v>46</v>
      </c>
      <c r="I2694" t="s">
        <v>47</v>
      </c>
    </row>
    <row r="2695" spans="1:9" x14ac:dyDescent="0.35">
      <c r="A2695" s="1">
        <v>45381</v>
      </c>
      <c r="B2695" t="s">
        <v>36</v>
      </c>
      <c r="C2695" t="s">
        <v>37</v>
      </c>
      <c r="D2695" t="s">
        <v>28</v>
      </c>
      <c r="E2695" t="s">
        <v>29</v>
      </c>
      <c r="F2695">
        <v>32</v>
      </c>
      <c r="G2695">
        <v>44</v>
      </c>
      <c r="H2695" t="s">
        <v>48</v>
      </c>
      <c r="I2695" t="s">
        <v>49</v>
      </c>
    </row>
    <row r="2696" spans="1:9" x14ac:dyDescent="0.35">
      <c r="A2696" s="1">
        <v>45381</v>
      </c>
      <c r="B2696" t="s">
        <v>39</v>
      </c>
      <c r="C2696" t="s">
        <v>40</v>
      </c>
      <c r="D2696" t="s">
        <v>15</v>
      </c>
      <c r="E2696" t="s">
        <v>16</v>
      </c>
      <c r="F2696">
        <v>34</v>
      </c>
      <c r="G2696">
        <v>35.799999999999997</v>
      </c>
      <c r="H2696" t="s">
        <v>46</v>
      </c>
      <c r="I2696" t="s">
        <v>47</v>
      </c>
    </row>
    <row r="2697" spans="1:9" x14ac:dyDescent="0.35">
      <c r="A2697" s="1">
        <v>45381</v>
      </c>
      <c r="B2697" t="s">
        <v>39</v>
      </c>
      <c r="C2697" t="s">
        <v>40</v>
      </c>
      <c r="D2697" t="s">
        <v>18</v>
      </c>
      <c r="E2697" t="s">
        <v>19</v>
      </c>
      <c r="F2697">
        <v>38</v>
      </c>
      <c r="G2697">
        <v>39.4</v>
      </c>
      <c r="H2697" t="s">
        <v>46</v>
      </c>
      <c r="I2697" t="s">
        <v>47</v>
      </c>
    </row>
    <row r="2698" spans="1:9" x14ac:dyDescent="0.35">
      <c r="A2698" s="1">
        <v>45381</v>
      </c>
      <c r="B2698" t="s">
        <v>39</v>
      </c>
      <c r="C2698" t="s">
        <v>40</v>
      </c>
      <c r="D2698" t="s">
        <v>21</v>
      </c>
      <c r="E2698" t="s">
        <v>22</v>
      </c>
      <c r="F2698">
        <v>32</v>
      </c>
      <c r="G2698">
        <v>31.8</v>
      </c>
      <c r="H2698" t="s">
        <v>46</v>
      </c>
      <c r="I2698" t="s">
        <v>47</v>
      </c>
    </row>
    <row r="2699" spans="1:9" x14ac:dyDescent="0.35">
      <c r="A2699" s="1">
        <v>45381</v>
      </c>
      <c r="B2699" t="s">
        <v>39</v>
      </c>
      <c r="C2699" t="s">
        <v>40</v>
      </c>
      <c r="D2699" t="s">
        <v>24</v>
      </c>
      <c r="E2699" t="s">
        <v>25</v>
      </c>
      <c r="F2699">
        <v>50</v>
      </c>
      <c r="G2699">
        <v>51.7</v>
      </c>
      <c r="H2699" t="s">
        <v>46</v>
      </c>
      <c r="I2699" t="s">
        <v>47</v>
      </c>
    </row>
    <row r="2700" spans="1:9" x14ac:dyDescent="0.35">
      <c r="A2700" s="1">
        <v>45381</v>
      </c>
      <c r="B2700" t="s">
        <v>39</v>
      </c>
      <c r="C2700" t="s">
        <v>40</v>
      </c>
      <c r="D2700" t="s">
        <v>26</v>
      </c>
      <c r="E2700" t="s">
        <v>27</v>
      </c>
      <c r="F2700">
        <v>38</v>
      </c>
      <c r="G2700">
        <v>38.5</v>
      </c>
      <c r="H2700" t="s">
        <v>46</v>
      </c>
      <c r="I2700" t="s">
        <v>47</v>
      </c>
    </row>
    <row r="2701" spans="1:9" x14ac:dyDescent="0.35">
      <c r="A2701" s="1">
        <v>45381</v>
      </c>
      <c r="B2701" t="s">
        <v>39</v>
      </c>
      <c r="C2701" t="s">
        <v>40</v>
      </c>
      <c r="D2701" t="s">
        <v>28</v>
      </c>
      <c r="E2701" t="s">
        <v>29</v>
      </c>
      <c r="F2701">
        <v>32</v>
      </c>
      <c r="G2701">
        <v>32.200000000000003</v>
      </c>
      <c r="H2701" t="s">
        <v>46</v>
      </c>
      <c r="I2701" t="s">
        <v>47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02E6A-DE07-4011-9D97-D5A9CF33BF77}">
  <dimension ref="A3:K57"/>
  <sheetViews>
    <sheetView topLeftCell="A41" workbookViewId="0">
      <selection activeCell="F62" sqref="F62"/>
    </sheetView>
  </sheetViews>
  <sheetFormatPr defaultRowHeight="14.5" x14ac:dyDescent="0.35"/>
  <cols>
    <col min="1" max="1" width="14.81640625" bestFit="1" customWidth="1"/>
    <col min="2" max="2" width="16.1796875" bestFit="1" customWidth="1"/>
    <col min="3" max="3" width="8.1796875" bestFit="1" customWidth="1"/>
    <col min="4" max="4" width="4.81640625" bestFit="1" customWidth="1"/>
    <col min="5" max="5" width="10.7265625" bestFit="1" customWidth="1"/>
    <col min="6" max="6" width="18.26953125" bestFit="1" customWidth="1"/>
    <col min="7" max="7" width="18.36328125" bestFit="1" customWidth="1"/>
    <col min="8" max="8" width="18.26953125" bestFit="1" customWidth="1"/>
    <col min="9" max="9" width="18.36328125" bestFit="1" customWidth="1"/>
    <col min="10" max="10" width="22.81640625" bestFit="1" customWidth="1"/>
    <col min="11" max="11" width="22.90625" bestFit="1" customWidth="1"/>
  </cols>
  <sheetData>
    <row r="3" spans="1:11" x14ac:dyDescent="0.35">
      <c r="B3" s="2" t="s">
        <v>64</v>
      </c>
    </row>
    <row r="4" spans="1:11" x14ac:dyDescent="0.35">
      <c r="B4" t="s">
        <v>14</v>
      </c>
      <c r="D4" t="s">
        <v>35</v>
      </c>
      <c r="F4" t="s">
        <v>32</v>
      </c>
      <c r="H4" t="s">
        <v>38</v>
      </c>
      <c r="J4" t="s">
        <v>66</v>
      </c>
      <c r="K4" t="s">
        <v>67</v>
      </c>
    </row>
    <row r="5" spans="1:11" x14ac:dyDescent="0.35">
      <c r="A5" s="2" t="s">
        <v>62</v>
      </c>
      <c r="B5" t="s">
        <v>65</v>
      </c>
      <c r="C5" t="s">
        <v>68</v>
      </c>
      <c r="D5" t="s">
        <v>65</v>
      </c>
      <c r="E5" t="s">
        <v>68</v>
      </c>
      <c r="F5" t="s">
        <v>65</v>
      </c>
      <c r="G5" t="s">
        <v>68</v>
      </c>
      <c r="H5" t="s">
        <v>65</v>
      </c>
      <c r="I5" t="s">
        <v>68</v>
      </c>
    </row>
    <row r="6" spans="1:11" x14ac:dyDescent="0.35">
      <c r="A6" s="3" t="s">
        <v>27</v>
      </c>
      <c r="B6">
        <v>1519</v>
      </c>
      <c r="C6" s="4">
        <v>6.2250000000000005</v>
      </c>
      <c r="D6">
        <v>741</v>
      </c>
      <c r="E6">
        <v>6.2807692307692315</v>
      </c>
      <c r="F6">
        <v>806</v>
      </c>
      <c r="G6">
        <v>5.773076923076923</v>
      </c>
      <c r="H6">
        <v>823</v>
      </c>
      <c r="I6">
        <v>6.5730769230769219</v>
      </c>
      <c r="J6">
        <v>3889</v>
      </c>
      <c r="K6">
        <v>6.2153846153846164</v>
      </c>
    </row>
    <row r="7" spans="1:11" x14ac:dyDescent="0.35">
      <c r="A7" s="3" t="s">
        <v>29</v>
      </c>
      <c r="B7">
        <v>1664</v>
      </c>
      <c r="C7" s="5">
        <v>6.0692307692307672</v>
      </c>
      <c r="D7">
        <v>917</v>
      </c>
      <c r="E7">
        <v>6.5307692307692315</v>
      </c>
      <c r="F7">
        <v>817</v>
      </c>
      <c r="G7">
        <v>6.5807692307692314</v>
      </c>
      <c r="H7">
        <v>825</v>
      </c>
      <c r="I7">
        <v>6.1499999999999995</v>
      </c>
      <c r="J7">
        <v>4223</v>
      </c>
      <c r="K7">
        <v>6.280000000000002</v>
      </c>
    </row>
    <row r="8" spans="1:11" x14ac:dyDescent="0.35">
      <c r="A8" s="3" t="s">
        <v>22</v>
      </c>
      <c r="B8">
        <v>1583</v>
      </c>
      <c r="C8" s="5">
        <v>5.9846153846153847</v>
      </c>
      <c r="D8">
        <v>757</v>
      </c>
      <c r="E8">
        <v>6.0230769230769239</v>
      </c>
      <c r="F8">
        <v>821</v>
      </c>
      <c r="G8">
        <v>6.0038461538461529</v>
      </c>
      <c r="H8">
        <v>883</v>
      </c>
      <c r="I8">
        <v>6.6115384615384603</v>
      </c>
      <c r="J8">
        <v>4044</v>
      </c>
      <c r="K8">
        <v>6.1215384615384618</v>
      </c>
    </row>
    <row r="9" spans="1:11" x14ac:dyDescent="0.35">
      <c r="A9" s="3" t="s">
        <v>16</v>
      </c>
      <c r="B9">
        <v>1724</v>
      </c>
      <c r="C9" s="5">
        <v>6.1846153846153831</v>
      </c>
      <c r="D9">
        <v>810</v>
      </c>
      <c r="E9">
        <v>5.8115384615384613</v>
      </c>
      <c r="F9">
        <v>820</v>
      </c>
      <c r="G9">
        <v>5.9230769230769216</v>
      </c>
      <c r="H9">
        <v>687</v>
      </c>
      <c r="I9">
        <v>5.6230769230769226</v>
      </c>
      <c r="J9">
        <v>4041</v>
      </c>
      <c r="K9">
        <v>5.9453846153846115</v>
      </c>
    </row>
    <row r="10" spans="1:11" x14ac:dyDescent="0.35">
      <c r="A10" s="3" t="s">
        <v>25</v>
      </c>
      <c r="B10">
        <v>1687</v>
      </c>
      <c r="C10" s="5">
        <v>6.4211538461538487</v>
      </c>
      <c r="D10">
        <v>834</v>
      </c>
      <c r="E10">
        <v>6.3346153846153852</v>
      </c>
      <c r="F10">
        <v>1009</v>
      </c>
      <c r="G10">
        <v>7.2076923076923078</v>
      </c>
      <c r="H10">
        <v>970</v>
      </c>
      <c r="I10">
        <v>6.6461538461538465</v>
      </c>
      <c r="J10">
        <v>4500</v>
      </c>
      <c r="K10">
        <v>6.6061538461538465</v>
      </c>
    </row>
    <row r="11" spans="1:11" x14ac:dyDescent="0.35">
      <c r="A11" s="3" t="s">
        <v>19</v>
      </c>
      <c r="B11">
        <v>1911</v>
      </c>
      <c r="C11" s="5">
        <v>6.9403846153846152</v>
      </c>
      <c r="D11">
        <v>704</v>
      </c>
      <c r="E11">
        <v>5.5038461538461538</v>
      </c>
      <c r="F11">
        <v>728</v>
      </c>
      <c r="G11">
        <v>5.7153846153846155</v>
      </c>
      <c r="H11">
        <v>888</v>
      </c>
      <c r="I11">
        <v>6.1769230769230781</v>
      </c>
      <c r="J11">
        <v>4231</v>
      </c>
      <c r="K11">
        <v>6.2553846153846164</v>
      </c>
    </row>
    <row r="12" spans="1:11" x14ac:dyDescent="0.35">
      <c r="A12" s="3" t="s">
        <v>63</v>
      </c>
      <c r="B12">
        <v>10088</v>
      </c>
      <c r="C12" s="5">
        <v>6.3041666666666663</v>
      </c>
      <c r="D12">
        <v>4763</v>
      </c>
      <c r="E12">
        <v>6.0807692307692323</v>
      </c>
      <c r="F12">
        <v>5001</v>
      </c>
      <c r="G12">
        <v>6.2006410256410236</v>
      </c>
      <c r="H12">
        <v>5076</v>
      </c>
      <c r="I12">
        <v>6.2967948717948721</v>
      </c>
      <c r="J12">
        <v>24928</v>
      </c>
      <c r="K12">
        <v>6.2373076923076924</v>
      </c>
    </row>
    <row r="17" spans="1:3" x14ac:dyDescent="0.35">
      <c r="A17" s="2" t="s">
        <v>62</v>
      </c>
      <c r="B17" t="s">
        <v>65</v>
      </c>
      <c r="C17" t="s">
        <v>69</v>
      </c>
    </row>
    <row r="18" spans="1:3" x14ac:dyDescent="0.35">
      <c r="A18" s="6">
        <v>45292</v>
      </c>
      <c r="B18">
        <v>916</v>
      </c>
      <c r="C18">
        <v>68721.25</v>
      </c>
    </row>
    <row r="19" spans="1:3" x14ac:dyDescent="0.35">
      <c r="A19" s="6">
        <v>45299</v>
      </c>
      <c r="B19">
        <v>962</v>
      </c>
      <c r="C19">
        <v>60254.399999999987</v>
      </c>
    </row>
    <row r="20" spans="1:3" x14ac:dyDescent="0.35">
      <c r="A20" s="6">
        <v>45306</v>
      </c>
      <c r="B20">
        <v>950</v>
      </c>
      <c r="C20">
        <v>64352.290000000015</v>
      </c>
    </row>
    <row r="21" spans="1:3" x14ac:dyDescent="0.35">
      <c r="A21" s="6">
        <v>45313</v>
      </c>
      <c r="B21">
        <v>957</v>
      </c>
      <c r="C21">
        <v>65627.91</v>
      </c>
    </row>
    <row r="22" spans="1:3" x14ac:dyDescent="0.35">
      <c r="A22" s="6">
        <v>45320</v>
      </c>
      <c r="B22">
        <v>835</v>
      </c>
      <c r="C22">
        <v>62912.390000000014</v>
      </c>
    </row>
    <row r="23" spans="1:3" x14ac:dyDescent="0.35">
      <c r="A23" s="6">
        <v>45327</v>
      </c>
      <c r="B23">
        <v>915</v>
      </c>
      <c r="C23">
        <v>71504.08</v>
      </c>
    </row>
    <row r="24" spans="1:3" x14ac:dyDescent="0.35">
      <c r="A24" s="6">
        <v>45334</v>
      </c>
      <c r="B24">
        <v>891</v>
      </c>
      <c r="C24">
        <v>73427.899999999994</v>
      </c>
    </row>
    <row r="25" spans="1:3" x14ac:dyDescent="0.35">
      <c r="A25" s="6">
        <v>45341</v>
      </c>
      <c r="B25">
        <v>958</v>
      </c>
      <c r="C25">
        <v>64088.39</v>
      </c>
    </row>
    <row r="26" spans="1:3" x14ac:dyDescent="0.35">
      <c r="A26" s="6">
        <v>45348</v>
      </c>
      <c r="B26">
        <v>944</v>
      </c>
      <c r="C26">
        <v>66169.23000000001</v>
      </c>
    </row>
    <row r="27" spans="1:3" x14ac:dyDescent="0.35">
      <c r="A27" s="6">
        <v>45355</v>
      </c>
      <c r="B27">
        <v>907</v>
      </c>
      <c r="C27">
        <v>67702.089999999982</v>
      </c>
    </row>
    <row r="28" spans="1:3" x14ac:dyDescent="0.35">
      <c r="A28" s="6">
        <v>45362</v>
      </c>
      <c r="B28">
        <v>1081</v>
      </c>
      <c r="C28">
        <v>67914.210000000006</v>
      </c>
    </row>
    <row r="29" spans="1:3" x14ac:dyDescent="0.35">
      <c r="A29" s="6">
        <v>45369</v>
      </c>
      <c r="B29">
        <v>1068</v>
      </c>
      <c r="C29">
        <v>65691.7</v>
      </c>
    </row>
    <row r="30" spans="1:3" x14ac:dyDescent="0.35">
      <c r="A30" s="6">
        <v>45376</v>
      </c>
      <c r="B30">
        <v>997</v>
      </c>
      <c r="C30">
        <v>61261.570000000007</v>
      </c>
    </row>
    <row r="31" spans="1:3" x14ac:dyDescent="0.35">
      <c r="A31" s="6">
        <v>45383</v>
      </c>
      <c r="B31">
        <v>1024</v>
      </c>
      <c r="C31">
        <v>60245.69</v>
      </c>
    </row>
    <row r="32" spans="1:3" x14ac:dyDescent="0.35">
      <c r="A32" s="6">
        <v>45390</v>
      </c>
      <c r="B32">
        <v>959</v>
      </c>
      <c r="C32">
        <v>63703.299999999996</v>
      </c>
    </row>
    <row r="33" spans="1:3" x14ac:dyDescent="0.35">
      <c r="A33" s="6">
        <v>45397</v>
      </c>
      <c r="B33">
        <v>957</v>
      </c>
      <c r="C33">
        <v>62316.81</v>
      </c>
    </row>
    <row r="34" spans="1:3" x14ac:dyDescent="0.35">
      <c r="A34" s="6">
        <v>45404</v>
      </c>
      <c r="B34">
        <v>1001</v>
      </c>
      <c r="C34">
        <v>67406.030000000013</v>
      </c>
    </row>
    <row r="35" spans="1:3" x14ac:dyDescent="0.35">
      <c r="A35" s="6">
        <v>45411</v>
      </c>
      <c r="B35">
        <v>1045</v>
      </c>
      <c r="C35">
        <v>67479.520000000004</v>
      </c>
    </row>
    <row r="36" spans="1:3" x14ac:dyDescent="0.35">
      <c r="A36" s="6">
        <v>45418</v>
      </c>
      <c r="B36">
        <v>955</v>
      </c>
      <c r="C36">
        <v>60237.4</v>
      </c>
    </row>
    <row r="37" spans="1:3" x14ac:dyDescent="0.35">
      <c r="A37" s="6">
        <v>45425</v>
      </c>
      <c r="B37">
        <v>1041</v>
      </c>
      <c r="C37">
        <v>62662.800000000017</v>
      </c>
    </row>
    <row r="38" spans="1:3" x14ac:dyDescent="0.35">
      <c r="A38" s="6">
        <v>45432</v>
      </c>
      <c r="B38">
        <v>835</v>
      </c>
      <c r="C38">
        <v>59278.73</v>
      </c>
    </row>
    <row r="39" spans="1:3" x14ac:dyDescent="0.35">
      <c r="A39" s="6">
        <v>45439</v>
      </c>
      <c r="B39">
        <v>866</v>
      </c>
      <c r="C39">
        <v>74199.189999999988</v>
      </c>
    </row>
    <row r="40" spans="1:3" x14ac:dyDescent="0.35">
      <c r="A40" s="6">
        <v>45446</v>
      </c>
      <c r="B40">
        <v>961</v>
      </c>
      <c r="C40">
        <v>63672.989999999991</v>
      </c>
    </row>
    <row r="41" spans="1:3" x14ac:dyDescent="0.35">
      <c r="A41" s="6">
        <v>45453</v>
      </c>
      <c r="B41">
        <v>910</v>
      </c>
      <c r="C41">
        <v>64437.249999999993</v>
      </c>
    </row>
    <row r="42" spans="1:3" x14ac:dyDescent="0.35">
      <c r="A42" s="6">
        <v>45460</v>
      </c>
      <c r="B42">
        <v>1041</v>
      </c>
      <c r="C42">
        <v>73314.149999999994</v>
      </c>
    </row>
    <row r="43" spans="1:3" x14ac:dyDescent="0.35">
      <c r="A43" s="6">
        <v>45467</v>
      </c>
      <c r="B43">
        <v>952</v>
      </c>
      <c r="C43">
        <v>71070.739999999991</v>
      </c>
    </row>
    <row r="44" spans="1:3" x14ac:dyDescent="0.35">
      <c r="A44" s="3" t="s">
        <v>63</v>
      </c>
      <c r="B44">
        <v>24928</v>
      </c>
      <c r="C44">
        <v>1709652.0099999998</v>
      </c>
    </row>
    <row r="49" spans="1:5" x14ac:dyDescent="0.35">
      <c r="A49" s="2" t="s">
        <v>70</v>
      </c>
      <c r="B49" s="2" t="s">
        <v>64</v>
      </c>
    </row>
    <row r="50" spans="1:5" x14ac:dyDescent="0.35">
      <c r="A50" s="2" t="s">
        <v>62</v>
      </c>
      <c r="B50" t="s">
        <v>49</v>
      </c>
      <c r="C50" t="s">
        <v>50</v>
      </c>
      <c r="D50" t="s">
        <v>47</v>
      </c>
      <c r="E50" t="s">
        <v>63</v>
      </c>
    </row>
    <row r="51" spans="1:5" x14ac:dyDescent="0.35">
      <c r="A51" s="3" t="s">
        <v>27</v>
      </c>
      <c r="B51">
        <v>47</v>
      </c>
      <c r="C51">
        <v>41</v>
      </c>
      <c r="D51">
        <v>362</v>
      </c>
      <c r="E51">
        <v>450</v>
      </c>
    </row>
    <row r="52" spans="1:5" x14ac:dyDescent="0.35">
      <c r="A52" s="3" t="s">
        <v>29</v>
      </c>
      <c r="B52">
        <v>34</v>
      </c>
      <c r="C52">
        <v>47</v>
      </c>
      <c r="D52">
        <v>369</v>
      </c>
      <c r="E52">
        <v>450</v>
      </c>
    </row>
    <row r="53" spans="1:5" x14ac:dyDescent="0.35">
      <c r="A53" s="3" t="s">
        <v>22</v>
      </c>
      <c r="B53">
        <v>41</v>
      </c>
      <c r="C53">
        <v>41</v>
      </c>
      <c r="D53">
        <v>368</v>
      </c>
      <c r="E53">
        <v>450</v>
      </c>
    </row>
    <row r="54" spans="1:5" x14ac:dyDescent="0.35">
      <c r="A54" s="3" t="s">
        <v>16</v>
      </c>
      <c r="B54">
        <v>41</v>
      </c>
      <c r="C54">
        <v>50</v>
      </c>
      <c r="D54">
        <v>359</v>
      </c>
      <c r="E54">
        <v>450</v>
      </c>
    </row>
    <row r="55" spans="1:5" x14ac:dyDescent="0.35">
      <c r="A55" s="3" t="s">
        <v>25</v>
      </c>
      <c r="B55">
        <v>50</v>
      </c>
      <c r="C55">
        <v>32</v>
      </c>
      <c r="D55">
        <v>368</v>
      </c>
      <c r="E55">
        <v>450</v>
      </c>
    </row>
    <row r="56" spans="1:5" x14ac:dyDescent="0.35">
      <c r="A56" s="3" t="s">
        <v>19</v>
      </c>
      <c r="B56">
        <v>31</v>
      </c>
      <c r="C56">
        <v>42</v>
      </c>
      <c r="D56">
        <v>377</v>
      </c>
      <c r="E56">
        <v>450</v>
      </c>
    </row>
    <row r="57" spans="1:5" x14ac:dyDescent="0.35">
      <c r="A57" s="3" t="s">
        <v>63</v>
      </c>
      <c r="B57">
        <v>244</v>
      </c>
      <c r="C57">
        <v>253</v>
      </c>
      <c r="D57">
        <v>2203</v>
      </c>
      <c r="E57">
        <v>2700</v>
      </c>
    </row>
  </sheetData>
  <conditionalFormatting sqref="A4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51:B56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pivot="1" sqref="C51:C56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pivot="1" sqref="D51:D5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4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397DF-A94B-4F22-947C-E5125C7636EE}">
  <dimension ref="A1:L781"/>
  <sheetViews>
    <sheetView topLeftCell="A2" workbookViewId="0">
      <selection activeCell="F17" sqref="F17"/>
    </sheetView>
  </sheetViews>
  <sheetFormatPr defaultRowHeight="14.5" x14ac:dyDescent="0.35"/>
  <cols>
    <col min="1" max="1" width="9.08984375" bestFit="1" customWidth="1"/>
    <col min="2" max="2" width="14.36328125" bestFit="1" customWidth="1"/>
    <col min="3" max="3" width="18.1796875" bestFit="1" customWidth="1"/>
    <col min="4" max="4" width="9.26953125" bestFit="1" customWidth="1"/>
    <col min="5" max="5" width="12.08984375" bestFit="1" customWidth="1"/>
    <col min="6" max="6" width="15.26953125" bestFit="1" customWidth="1"/>
    <col min="7" max="7" width="10.1796875" bestFit="1" customWidth="1"/>
    <col min="8" max="8" width="14.6328125" bestFit="1" customWidth="1"/>
    <col min="9" max="9" width="11.7265625" bestFit="1" customWidth="1"/>
    <col min="10" max="10" width="14.1796875" bestFit="1" customWidth="1"/>
    <col min="11" max="11" width="11.54296875" bestFit="1" customWidth="1"/>
    <col min="12" max="12" width="13.7265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s="1">
        <v>45292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314</v>
      </c>
      <c r="I2">
        <v>206</v>
      </c>
      <c r="J2">
        <v>16</v>
      </c>
      <c r="K2">
        <v>5.0999999999999996</v>
      </c>
      <c r="L2">
        <v>1425.28</v>
      </c>
    </row>
    <row r="3" spans="1:12" x14ac:dyDescent="0.35">
      <c r="A3" s="1">
        <v>45292</v>
      </c>
      <c r="B3" t="s">
        <v>12</v>
      </c>
      <c r="C3" t="s">
        <v>13</v>
      </c>
      <c r="D3" t="s">
        <v>14</v>
      </c>
      <c r="E3" t="s">
        <v>18</v>
      </c>
      <c r="F3" t="s">
        <v>19</v>
      </c>
      <c r="G3" t="s">
        <v>20</v>
      </c>
      <c r="H3">
        <v>758</v>
      </c>
      <c r="I3">
        <v>510</v>
      </c>
      <c r="J3">
        <v>37</v>
      </c>
      <c r="K3">
        <v>4.9000000000000004</v>
      </c>
      <c r="L3">
        <v>1944.03</v>
      </c>
    </row>
    <row r="4" spans="1:12" x14ac:dyDescent="0.35">
      <c r="A4" s="1">
        <v>45292</v>
      </c>
      <c r="B4" t="s">
        <v>12</v>
      </c>
      <c r="C4" t="s">
        <v>13</v>
      </c>
      <c r="D4" t="s">
        <v>14</v>
      </c>
      <c r="E4" t="s">
        <v>21</v>
      </c>
      <c r="F4" t="s">
        <v>22</v>
      </c>
      <c r="G4" t="s">
        <v>23</v>
      </c>
      <c r="H4">
        <v>717</v>
      </c>
      <c r="I4">
        <v>582</v>
      </c>
      <c r="J4">
        <v>51</v>
      </c>
      <c r="K4">
        <v>7.1</v>
      </c>
      <c r="L4">
        <v>3904.03</v>
      </c>
    </row>
    <row r="5" spans="1:12" x14ac:dyDescent="0.35">
      <c r="A5" s="1">
        <v>45292</v>
      </c>
      <c r="B5" t="s">
        <v>12</v>
      </c>
      <c r="C5" t="s">
        <v>13</v>
      </c>
      <c r="D5" t="s">
        <v>14</v>
      </c>
      <c r="E5" t="s">
        <v>24</v>
      </c>
      <c r="F5" t="s">
        <v>25</v>
      </c>
      <c r="G5" t="s">
        <v>17</v>
      </c>
      <c r="H5">
        <v>629</v>
      </c>
      <c r="I5">
        <v>446</v>
      </c>
      <c r="J5">
        <v>58</v>
      </c>
      <c r="K5">
        <v>9.1999999999999993</v>
      </c>
      <c r="L5">
        <v>1132.3900000000001</v>
      </c>
    </row>
    <row r="6" spans="1:12" x14ac:dyDescent="0.35">
      <c r="A6" s="1">
        <v>45292</v>
      </c>
      <c r="B6" t="s">
        <v>12</v>
      </c>
      <c r="C6" t="s">
        <v>13</v>
      </c>
      <c r="D6" t="s">
        <v>14</v>
      </c>
      <c r="E6" t="s">
        <v>26</v>
      </c>
      <c r="F6" t="s">
        <v>27</v>
      </c>
      <c r="G6" t="s">
        <v>20</v>
      </c>
      <c r="H6">
        <v>363</v>
      </c>
      <c r="I6">
        <v>304</v>
      </c>
      <c r="J6">
        <v>12</v>
      </c>
      <c r="K6">
        <v>3.3</v>
      </c>
      <c r="L6">
        <v>2505.96</v>
      </c>
    </row>
    <row r="7" spans="1:12" x14ac:dyDescent="0.35">
      <c r="A7" s="1">
        <v>45292</v>
      </c>
      <c r="B7" t="s">
        <v>12</v>
      </c>
      <c r="C7" t="s">
        <v>13</v>
      </c>
      <c r="D7" t="s">
        <v>14</v>
      </c>
      <c r="E7" t="s">
        <v>28</v>
      </c>
      <c r="F7" t="s">
        <v>29</v>
      </c>
      <c r="G7" t="s">
        <v>23</v>
      </c>
      <c r="H7">
        <v>544</v>
      </c>
      <c r="I7">
        <v>368</v>
      </c>
      <c r="J7">
        <v>34</v>
      </c>
      <c r="K7">
        <v>6.2</v>
      </c>
      <c r="L7">
        <v>1679.45</v>
      </c>
    </row>
    <row r="8" spans="1:12" x14ac:dyDescent="0.35">
      <c r="A8" s="1">
        <v>45292</v>
      </c>
      <c r="B8" t="s">
        <v>30</v>
      </c>
      <c r="C8" t="s">
        <v>31</v>
      </c>
      <c r="D8" t="s">
        <v>32</v>
      </c>
      <c r="E8" t="s">
        <v>15</v>
      </c>
      <c r="F8" t="s">
        <v>16</v>
      </c>
      <c r="G8" t="s">
        <v>17</v>
      </c>
      <c r="H8">
        <v>470</v>
      </c>
      <c r="I8">
        <v>407</v>
      </c>
      <c r="J8">
        <v>28</v>
      </c>
      <c r="K8">
        <v>6</v>
      </c>
      <c r="L8">
        <v>3393.85</v>
      </c>
    </row>
    <row r="9" spans="1:12" x14ac:dyDescent="0.35">
      <c r="A9" s="1">
        <v>45292</v>
      </c>
      <c r="B9" t="s">
        <v>30</v>
      </c>
      <c r="C9" t="s">
        <v>31</v>
      </c>
      <c r="D9" t="s">
        <v>32</v>
      </c>
      <c r="E9" t="s">
        <v>18</v>
      </c>
      <c r="F9" t="s">
        <v>19</v>
      </c>
      <c r="G9" t="s">
        <v>20</v>
      </c>
      <c r="H9">
        <v>587</v>
      </c>
      <c r="I9">
        <v>394</v>
      </c>
      <c r="J9">
        <v>42</v>
      </c>
      <c r="K9">
        <v>7.2</v>
      </c>
      <c r="L9">
        <v>3078.21</v>
      </c>
    </row>
    <row r="10" spans="1:12" x14ac:dyDescent="0.35">
      <c r="A10" s="1">
        <v>45292</v>
      </c>
      <c r="B10" t="s">
        <v>30</v>
      </c>
      <c r="C10" t="s">
        <v>31</v>
      </c>
      <c r="D10" t="s">
        <v>32</v>
      </c>
      <c r="E10" t="s">
        <v>21</v>
      </c>
      <c r="F10" t="s">
        <v>22</v>
      </c>
      <c r="G10" t="s">
        <v>23</v>
      </c>
      <c r="H10">
        <v>570</v>
      </c>
      <c r="I10">
        <v>459</v>
      </c>
      <c r="J10">
        <v>25</v>
      </c>
      <c r="K10">
        <v>4.4000000000000004</v>
      </c>
      <c r="L10">
        <v>1775.13</v>
      </c>
    </row>
    <row r="11" spans="1:12" x14ac:dyDescent="0.35">
      <c r="A11" s="1">
        <v>45292</v>
      </c>
      <c r="B11" t="s">
        <v>30</v>
      </c>
      <c r="C11" t="s">
        <v>31</v>
      </c>
      <c r="D11" t="s">
        <v>32</v>
      </c>
      <c r="E11" t="s">
        <v>24</v>
      </c>
      <c r="F11" t="s">
        <v>25</v>
      </c>
      <c r="G11" t="s">
        <v>17</v>
      </c>
      <c r="H11">
        <v>496</v>
      </c>
      <c r="I11">
        <v>454</v>
      </c>
      <c r="J11">
        <v>34</v>
      </c>
      <c r="K11">
        <v>6.9</v>
      </c>
      <c r="L11">
        <v>2170.46</v>
      </c>
    </row>
    <row r="12" spans="1:12" x14ac:dyDescent="0.35">
      <c r="A12" s="1">
        <v>45292</v>
      </c>
      <c r="B12" t="s">
        <v>30</v>
      </c>
      <c r="C12" t="s">
        <v>31</v>
      </c>
      <c r="D12" t="s">
        <v>32</v>
      </c>
      <c r="E12" t="s">
        <v>26</v>
      </c>
      <c r="F12" t="s">
        <v>27</v>
      </c>
      <c r="G12" t="s">
        <v>20</v>
      </c>
      <c r="H12">
        <v>664</v>
      </c>
      <c r="I12">
        <v>545</v>
      </c>
      <c r="J12">
        <v>31</v>
      </c>
      <c r="K12">
        <v>4.7</v>
      </c>
      <c r="L12">
        <v>2047.59</v>
      </c>
    </row>
    <row r="13" spans="1:12" x14ac:dyDescent="0.35">
      <c r="A13" s="1">
        <v>45292</v>
      </c>
      <c r="B13" t="s">
        <v>30</v>
      </c>
      <c r="C13" t="s">
        <v>31</v>
      </c>
      <c r="D13" t="s">
        <v>32</v>
      </c>
      <c r="E13" t="s">
        <v>28</v>
      </c>
      <c r="F13" t="s">
        <v>29</v>
      </c>
      <c r="G13" t="s">
        <v>23</v>
      </c>
      <c r="H13">
        <v>473</v>
      </c>
      <c r="I13">
        <v>397</v>
      </c>
      <c r="J13">
        <v>18</v>
      </c>
      <c r="K13">
        <v>3.8</v>
      </c>
      <c r="L13">
        <v>2505.02</v>
      </c>
    </row>
    <row r="14" spans="1:12" x14ac:dyDescent="0.35">
      <c r="A14" s="1">
        <v>45292</v>
      </c>
      <c r="B14" t="s">
        <v>33</v>
      </c>
      <c r="C14" t="s">
        <v>34</v>
      </c>
      <c r="D14" t="s">
        <v>35</v>
      </c>
      <c r="E14" t="s">
        <v>15</v>
      </c>
      <c r="F14" t="s">
        <v>16</v>
      </c>
      <c r="G14" t="s">
        <v>17</v>
      </c>
      <c r="H14">
        <v>746</v>
      </c>
      <c r="I14">
        <v>631</v>
      </c>
      <c r="J14">
        <v>29</v>
      </c>
      <c r="K14">
        <v>3.9</v>
      </c>
      <c r="L14">
        <v>5323.84</v>
      </c>
    </row>
    <row r="15" spans="1:12" x14ac:dyDescent="0.35">
      <c r="A15" s="1">
        <v>45292</v>
      </c>
      <c r="B15" t="s">
        <v>33</v>
      </c>
      <c r="C15" t="s">
        <v>34</v>
      </c>
      <c r="D15" t="s">
        <v>35</v>
      </c>
      <c r="E15" t="s">
        <v>18</v>
      </c>
      <c r="F15" t="s">
        <v>19</v>
      </c>
      <c r="G15" t="s">
        <v>20</v>
      </c>
      <c r="H15">
        <v>770</v>
      </c>
      <c r="I15">
        <v>546</v>
      </c>
      <c r="J15">
        <v>59</v>
      </c>
      <c r="K15">
        <v>7.7</v>
      </c>
      <c r="L15">
        <v>1548.25</v>
      </c>
    </row>
    <row r="16" spans="1:12" x14ac:dyDescent="0.35">
      <c r="A16" s="1">
        <v>45292</v>
      </c>
      <c r="B16" t="s">
        <v>33</v>
      </c>
      <c r="C16" t="s">
        <v>34</v>
      </c>
      <c r="D16" t="s">
        <v>35</v>
      </c>
      <c r="E16" t="s">
        <v>21</v>
      </c>
      <c r="F16" t="s">
        <v>22</v>
      </c>
      <c r="G16" t="s">
        <v>23</v>
      </c>
      <c r="H16">
        <v>232</v>
      </c>
      <c r="I16">
        <v>201</v>
      </c>
      <c r="J16">
        <v>6</v>
      </c>
      <c r="K16">
        <v>2.6</v>
      </c>
      <c r="L16">
        <v>1603.74</v>
      </c>
    </row>
    <row r="17" spans="1:12" x14ac:dyDescent="0.35">
      <c r="A17" s="1">
        <v>45292</v>
      </c>
      <c r="B17" t="s">
        <v>33</v>
      </c>
      <c r="C17" t="s">
        <v>34</v>
      </c>
      <c r="D17" t="s">
        <v>35</v>
      </c>
      <c r="E17" t="s">
        <v>24</v>
      </c>
      <c r="F17" t="s">
        <v>25</v>
      </c>
      <c r="G17" t="s">
        <v>17</v>
      </c>
      <c r="H17">
        <v>780</v>
      </c>
      <c r="I17">
        <v>691</v>
      </c>
      <c r="J17">
        <v>41</v>
      </c>
      <c r="K17">
        <v>5.3</v>
      </c>
      <c r="L17">
        <v>3367.79</v>
      </c>
    </row>
    <row r="18" spans="1:12" x14ac:dyDescent="0.35">
      <c r="A18" s="1">
        <v>45292</v>
      </c>
      <c r="B18" t="s">
        <v>33</v>
      </c>
      <c r="C18" t="s">
        <v>34</v>
      </c>
      <c r="D18" t="s">
        <v>35</v>
      </c>
      <c r="E18" t="s">
        <v>26</v>
      </c>
      <c r="F18" t="s">
        <v>27</v>
      </c>
      <c r="G18" t="s">
        <v>20</v>
      </c>
      <c r="H18">
        <v>669</v>
      </c>
      <c r="I18">
        <v>460</v>
      </c>
      <c r="J18">
        <v>45</v>
      </c>
      <c r="K18">
        <v>6.7</v>
      </c>
      <c r="L18">
        <v>2637.58</v>
      </c>
    </row>
    <row r="19" spans="1:12" x14ac:dyDescent="0.35">
      <c r="A19" s="1">
        <v>45292</v>
      </c>
      <c r="B19" t="s">
        <v>33</v>
      </c>
      <c r="C19" t="s">
        <v>34</v>
      </c>
      <c r="D19" t="s">
        <v>35</v>
      </c>
      <c r="E19" t="s">
        <v>28</v>
      </c>
      <c r="F19" t="s">
        <v>29</v>
      </c>
      <c r="G19" t="s">
        <v>23</v>
      </c>
      <c r="H19">
        <v>798</v>
      </c>
      <c r="I19">
        <v>611</v>
      </c>
      <c r="J19">
        <v>49</v>
      </c>
      <c r="K19">
        <v>6.1</v>
      </c>
      <c r="L19">
        <v>5183.7</v>
      </c>
    </row>
    <row r="20" spans="1:12" x14ac:dyDescent="0.35">
      <c r="A20" s="1">
        <v>45292</v>
      </c>
      <c r="B20" t="s">
        <v>36</v>
      </c>
      <c r="C20" t="s">
        <v>37</v>
      </c>
      <c r="D20" t="s">
        <v>38</v>
      </c>
      <c r="E20" t="s">
        <v>15</v>
      </c>
      <c r="F20" t="s">
        <v>16</v>
      </c>
      <c r="G20" t="s">
        <v>17</v>
      </c>
      <c r="H20">
        <v>341</v>
      </c>
      <c r="I20">
        <v>268</v>
      </c>
      <c r="J20">
        <v>8</v>
      </c>
      <c r="K20">
        <v>2.2999999999999998</v>
      </c>
      <c r="L20">
        <v>846.32</v>
      </c>
    </row>
    <row r="21" spans="1:12" x14ac:dyDescent="0.35">
      <c r="A21" s="1">
        <v>45292</v>
      </c>
      <c r="B21" t="s">
        <v>36</v>
      </c>
      <c r="C21" t="s">
        <v>37</v>
      </c>
      <c r="D21" t="s">
        <v>38</v>
      </c>
      <c r="E21" t="s">
        <v>18</v>
      </c>
      <c r="F21" t="s">
        <v>19</v>
      </c>
      <c r="G21" t="s">
        <v>20</v>
      </c>
      <c r="H21">
        <v>363</v>
      </c>
      <c r="I21">
        <v>313</v>
      </c>
      <c r="J21">
        <v>10</v>
      </c>
      <c r="K21">
        <v>2.8</v>
      </c>
      <c r="L21">
        <v>1499.18</v>
      </c>
    </row>
    <row r="22" spans="1:12" x14ac:dyDescent="0.35">
      <c r="A22" s="1">
        <v>45292</v>
      </c>
      <c r="B22" t="s">
        <v>36</v>
      </c>
      <c r="C22" t="s">
        <v>37</v>
      </c>
      <c r="D22" t="s">
        <v>38</v>
      </c>
      <c r="E22" t="s">
        <v>21</v>
      </c>
      <c r="F22" t="s">
        <v>22</v>
      </c>
      <c r="G22" t="s">
        <v>23</v>
      </c>
      <c r="H22">
        <v>679</v>
      </c>
      <c r="I22">
        <v>538</v>
      </c>
      <c r="J22">
        <v>66</v>
      </c>
      <c r="K22">
        <v>9.6999999999999993</v>
      </c>
      <c r="L22">
        <v>1382.06</v>
      </c>
    </row>
    <row r="23" spans="1:12" x14ac:dyDescent="0.35">
      <c r="A23" s="1">
        <v>45292</v>
      </c>
      <c r="B23" t="s">
        <v>36</v>
      </c>
      <c r="C23" t="s">
        <v>37</v>
      </c>
      <c r="D23" t="s">
        <v>38</v>
      </c>
      <c r="E23" t="s">
        <v>24</v>
      </c>
      <c r="F23" t="s">
        <v>25</v>
      </c>
      <c r="G23" t="s">
        <v>17</v>
      </c>
      <c r="H23">
        <v>317</v>
      </c>
      <c r="I23">
        <v>264</v>
      </c>
      <c r="J23">
        <v>14</v>
      </c>
      <c r="K23">
        <v>4.4000000000000004</v>
      </c>
      <c r="L23">
        <v>1675.28</v>
      </c>
    </row>
    <row r="24" spans="1:12" x14ac:dyDescent="0.35">
      <c r="A24" s="1">
        <v>45292</v>
      </c>
      <c r="B24" t="s">
        <v>36</v>
      </c>
      <c r="C24" t="s">
        <v>37</v>
      </c>
      <c r="D24" t="s">
        <v>38</v>
      </c>
      <c r="E24" t="s">
        <v>26</v>
      </c>
      <c r="F24" t="s">
        <v>27</v>
      </c>
      <c r="G24" t="s">
        <v>20</v>
      </c>
      <c r="H24">
        <v>314</v>
      </c>
      <c r="I24">
        <v>228</v>
      </c>
      <c r="J24">
        <v>9</v>
      </c>
      <c r="K24">
        <v>2.9</v>
      </c>
      <c r="L24">
        <v>1557.82</v>
      </c>
    </row>
    <row r="25" spans="1:12" x14ac:dyDescent="0.35">
      <c r="A25" s="1">
        <v>45292</v>
      </c>
      <c r="B25" t="s">
        <v>36</v>
      </c>
      <c r="C25" t="s">
        <v>37</v>
      </c>
      <c r="D25" t="s">
        <v>38</v>
      </c>
      <c r="E25" t="s">
        <v>28</v>
      </c>
      <c r="F25" t="s">
        <v>29</v>
      </c>
      <c r="G25" t="s">
        <v>23</v>
      </c>
      <c r="H25">
        <v>469</v>
      </c>
      <c r="I25">
        <v>427</v>
      </c>
      <c r="J25">
        <v>24</v>
      </c>
      <c r="K25">
        <v>5.0999999999999996</v>
      </c>
      <c r="L25">
        <v>1340.12</v>
      </c>
    </row>
    <row r="26" spans="1:12" x14ac:dyDescent="0.35">
      <c r="A26" s="1">
        <v>45292</v>
      </c>
      <c r="B26" t="s">
        <v>39</v>
      </c>
      <c r="C26" t="s">
        <v>40</v>
      </c>
      <c r="D26" t="s">
        <v>14</v>
      </c>
      <c r="E26" t="s">
        <v>15</v>
      </c>
      <c r="F26" t="s">
        <v>16</v>
      </c>
      <c r="G26" t="s">
        <v>17</v>
      </c>
      <c r="H26">
        <v>505</v>
      </c>
      <c r="I26">
        <v>443</v>
      </c>
      <c r="J26">
        <v>18</v>
      </c>
      <c r="K26">
        <v>3.6</v>
      </c>
      <c r="L26">
        <v>2101.36</v>
      </c>
    </row>
    <row r="27" spans="1:12" x14ac:dyDescent="0.35">
      <c r="A27" s="1">
        <v>45292</v>
      </c>
      <c r="B27" t="s">
        <v>39</v>
      </c>
      <c r="C27" t="s">
        <v>40</v>
      </c>
      <c r="D27" t="s">
        <v>14</v>
      </c>
      <c r="E27" t="s">
        <v>18</v>
      </c>
      <c r="F27" t="s">
        <v>19</v>
      </c>
      <c r="G27" t="s">
        <v>20</v>
      </c>
      <c r="H27">
        <v>365</v>
      </c>
      <c r="I27">
        <v>290</v>
      </c>
      <c r="J27">
        <v>26</v>
      </c>
      <c r="K27">
        <v>7.1</v>
      </c>
      <c r="L27">
        <v>726</v>
      </c>
    </row>
    <row r="28" spans="1:12" x14ac:dyDescent="0.35">
      <c r="A28" s="1">
        <v>45292</v>
      </c>
      <c r="B28" t="s">
        <v>39</v>
      </c>
      <c r="C28" t="s">
        <v>40</v>
      </c>
      <c r="D28" t="s">
        <v>14</v>
      </c>
      <c r="E28" t="s">
        <v>21</v>
      </c>
      <c r="F28" t="s">
        <v>22</v>
      </c>
      <c r="G28" t="s">
        <v>23</v>
      </c>
      <c r="H28">
        <v>531</v>
      </c>
      <c r="I28">
        <v>415</v>
      </c>
      <c r="J28">
        <v>21</v>
      </c>
      <c r="K28">
        <v>4</v>
      </c>
      <c r="L28">
        <v>3490.95</v>
      </c>
    </row>
    <row r="29" spans="1:12" x14ac:dyDescent="0.35">
      <c r="A29" s="1">
        <v>45292</v>
      </c>
      <c r="B29" t="s">
        <v>39</v>
      </c>
      <c r="C29" t="s">
        <v>40</v>
      </c>
      <c r="D29" t="s">
        <v>14</v>
      </c>
      <c r="E29" t="s">
        <v>24</v>
      </c>
      <c r="F29" t="s">
        <v>25</v>
      </c>
      <c r="G29" t="s">
        <v>17</v>
      </c>
      <c r="H29">
        <v>514</v>
      </c>
      <c r="I29">
        <v>367</v>
      </c>
      <c r="J29">
        <v>31</v>
      </c>
      <c r="K29">
        <v>6</v>
      </c>
      <c r="L29">
        <v>1090.92</v>
      </c>
    </row>
    <row r="30" spans="1:12" x14ac:dyDescent="0.35">
      <c r="A30" s="1">
        <v>45292</v>
      </c>
      <c r="B30" t="s">
        <v>39</v>
      </c>
      <c r="C30" t="s">
        <v>40</v>
      </c>
      <c r="D30" t="s">
        <v>14</v>
      </c>
      <c r="E30" t="s">
        <v>26</v>
      </c>
      <c r="F30" t="s">
        <v>27</v>
      </c>
      <c r="G30" t="s">
        <v>20</v>
      </c>
      <c r="H30">
        <v>697</v>
      </c>
      <c r="I30">
        <v>606</v>
      </c>
      <c r="J30">
        <v>45</v>
      </c>
      <c r="K30">
        <v>6.5</v>
      </c>
      <c r="L30">
        <v>1972.27</v>
      </c>
    </row>
    <row r="31" spans="1:12" x14ac:dyDescent="0.35">
      <c r="A31" s="1">
        <v>45292</v>
      </c>
      <c r="B31" t="s">
        <v>39</v>
      </c>
      <c r="C31" t="s">
        <v>40</v>
      </c>
      <c r="D31" t="s">
        <v>14</v>
      </c>
      <c r="E31" t="s">
        <v>28</v>
      </c>
      <c r="F31" t="s">
        <v>29</v>
      </c>
      <c r="G31" t="s">
        <v>23</v>
      </c>
      <c r="H31">
        <v>686</v>
      </c>
      <c r="I31">
        <v>621</v>
      </c>
      <c r="J31">
        <v>29</v>
      </c>
      <c r="K31">
        <v>4.2</v>
      </c>
      <c r="L31">
        <v>3812.67</v>
      </c>
    </row>
    <row r="32" spans="1:12" x14ac:dyDescent="0.35">
      <c r="A32" s="1">
        <v>45299</v>
      </c>
      <c r="B32" t="s">
        <v>12</v>
      </c>
      <c r="C32" t="s">
        <v>13</v>
      </c>
      <c r="D32" t="s">
        <v>14</v>
      </c>
      <c r="E32" t="s">
        <v>15</v>
      </c>
      <c r="F32" t="s">
        <v>16</v>
      </c>
      <c r="G32" t="s">
        <v>17</v>
      </c>
      <c r="H32">
        <v>416</v>
      </c>
      <c r="I32">
        <v>374</v>
      </c>
      <c r="J32">
        <v>25</v>
      </c>
      <c r="K32">
        <v>6</v>
      </c>
      <c r="L32">
        <v>2534.86</v>
      </c>
    </row>
    <row r="33" spans="1:12" x14ac:dyDescent="0.35">
      <c r="A33" s="1">
        <v>45299</v>
      </c>
      <c r="B33" t="s">
        <v>12</v>
      </c>
      <c r="C33" t="s">
        <v>13</v>
      </c>
      <c r="D33" t="s">
        <v>14</v>
      </c>
      <c r="E33" t="s">
        <v>18</v>
      </c>
      <c r="F33" t="s">
        <v>19</v>
      </c>
      <c r="G33" t="s">
        <v>20</v>
      </c>
      <c r="H33">
        <v>608</v>
      </c>
      <c r="I33">
        <v>558</v>
      </c>
      <c r="J33">
        <v>27</v>
      </c>
      <c r="K33">
        <v>4.4000000000000004</v>
      </c>
      <c r="L33">
        <v>3127.84</v>
      </c>
    </row>
    <row r="34" spans="1:12" x14ac:dyDescent="0.35">
      <c r="A34" s="1">
        <v>45299</v>
      </c>
      <c r="B34" t="s">
        <v>12</v>
      </c>
      <c r="C34" t="s">
        <v>13</v>
      </c>
      <c r="D34" t="s">
        <v>14</v>
      </c>
      <c r="E34" t="s">
        <v>21</v>
      </c>
      <c r="F34" t="s">
        <v>22</v>
      </c>
      <c r="G34" t="s">
        <v>23</v>
      </c>
      <c r="H34">
        <v>323</v>
      </c>
      <c r="I34">
        <v>231</v>
      </c>
      <c r="J34">
        <v>8</v>
      </c>
      <c r="K34">
        <v>2.5</v>
      </c>
      <c r="L34">
        <v>1345.24</v>
      </c>
    </row>
    <row r="35" spans="1:12" x14ac:dyDescent="0.35">
      <c r="A35" s="1">
        <v>45299</v>
      </c>
      <c r="B35" t="s">
        <v>12</v>
      </c>
      <c r="C35" t="s">
        <v>13</v>
      </c>
      <c r="D35" t="s">
        <v>14</v>
      </c>
      <c r="E35" t="s">
        <v>24</v>
      </c>
      <c r="F35" t="s">
        <v>25</v>
      </c>
      <c r="G35" t="s">
        <v>17</v>
      </c>
      <c r="H35">
        <v>425</v>
      </c>
      <c r="I35">
        <v>277</v>
      </c>
      <c r="J35">
        <v>30</v>
      </c>
      <c r="K35">
        <v>7.1</v>
      </c>
      <c r="L35">
        <v>804.52</v>
      </c>
    </row>
    <row r="36" spans="1:12" x14ac:dyDescent="0.35">
      <c r="A36" s="1">
        <v>45299</v>
      </c>
      <c r="B36" t="s">
        <v>12</v>
      </c>
      <c r="C36" t="s">
        <v>13</v>
      </c>
      <c r="D36" t="s">
        <v>14</v>
      </c>
      <c r="E36" t="s">
        <v>26</v>
      </c>
      <c r="F36" t="s">
        <v>27</v>
      </c>
      <c r="G36" t="s">
        <v>20</v>
      </c>
      <c r="H36">
        <v>232</v>
      </c>
      <c r="I36">
        <v>204</v>
      </c>
      <c r="J36">
        <v>6</v>
      </c>
      <c r="K36">
        <v>2.6</v>
      </c>
      <c r="L36">
        <v>1328.83</v>
      </c>
    </row>
    <row r="37" spans="1:12" x14ac:dyDescent="0.35">
      <c r="A37" s="1">
        <v>45299</v>
      </c>
      <c r="B37" t="s">
        <v>12</v>
      </c>
      <c r="C37" t="s">
        <v>13</v>
      </c>
      <c r="D37" t="s">
        <v>14</v>
      </c>
      <c r="E37" t="s">
        <v>28</v>
      </c>
      <c r="F37" t="s">
        <v>29</v>
      </c>
      <c r="G37" t="s">
        <v>23</v>
      </c>
      <c r="H37">
        <v>419</v>
      </c>
      <c r="I37">
        <v>333</v>
      </c>
      <c r="J37">
        <v>37</v>
      </c>
      <c r="K37">
        <v>8.8000000000000007</v>
      </c>
      <c r="L37">
        <v>1983.77</v>
      </c>
    </row>
    <row r="38" spans="1:12" x14ac:dyDescent="0.35">
      <c r="A38" s="1">
        <v>45299</v>
      </c>
      <c r="B38" t="s">
        <v>30</v>
      </c>
      <c r="C38" t="s">
        <v>31</v>
      </c>
      <c r="D38" t="s">
        <v>32</v>
      </c>
      <c r="E38" t="s">
        <v>15</v>
      </c>
      <c r="F38" t="s">
        <v>16</v>
      </c>
      <c r="G38" t="s">
        <v>17</v>
      </c>
      <c r="H38">
        <v>448</v>
      </c>
      <c r="I38">
        <v>386</v>
      </c>
      <c r="J38">
        <v>20</v>
      </c>
      <c r="K38">
        <v>4.5</v>
      </c>
      <c r="L38">
        <v>1189.49</v>
      </c>
    </row>
    <row r="39" spans="1:12" x14ac:dyDescent="0.35">
      <c r="A39" s="1">
        <v>45299</v>
      </c>
      <c r="B39" t="s">
        <v>30</v>
      </c>
      <c r="C39" t="s">
        <v>31</v>
      </c>
      <c r="D39" t="s">
        <v>32</v>
      </c>
      <c r="E39" t="s">
        <v>18</v>
      </c>
      <c r="F39" t="s">
        <v>19</v>
      </c>
      <c r="G39" t="s">
        <v>20</v>
      </c>
      <c r="H39">
        <v>641</v>
      </c>
      <c r="I39">
        <v>477</v>
      </c>
      <c r="J39">
        <v>52</v>
      </c>
      <c r="K39">
        <v>8.1</v>
      </c>
      <c r="L39">
        <v>1347.54</v>
      </c>
    </row>
    <row r="40" spans="1:12" x14ac:dyDescent="0.35">
      <c r="A40" s="1">
        <v>45299</v>
      </c>
      <c r="B40" t="s">
        <v>30</v>
      </c>
      <c r="C40" t="s">
        <v>31</v>
      </c>
      <c r="D40" t="s">
        <v>32</v>
      </c>
      <c r="E40" t="s">
        <v>21</v>
      </c>
      <c r="F40" t="s">
        <v>22</v>
      </c>
      <c r="G40" t="s">
        <v>23</v>
      </c>
      <c r="H40">
        <v>300</v>
      </c>
      <c r="I40">
        <v>199</v>
      </c>
      <c r="J40">
        <v>32</v>
      </c>
      <c r="K40">
        <v>10.7</v>
      </c>
      <c r="L40">
        <v>627.97</v>
      </c>
    </row>
    <row r="41" spans="1:12" x14ac:dyDescent="0.35">
      <c r="A41" s="1">
        <v>45299</v>
      </c>
      <c r="B41" t="s">
        <v>30</v>
      </c>
      <c r="C41" t="s">
        <v>31</v>
      </c>
      <c r="D41" t="s">
        <v>32</v>
      </c>
      <c r="E41" t="s">
        <v>24</v>
      </c>
      <c r="F41" t="s">
        <v>25</v>
      </c>
      <c r="G41" t="s">
        <v>17</v>
      </c>
      <c r="H41">
        <v>396</v>
      </c>
      <c r="I41">
        <v>277</v>
      </c>
      <c r="J41">
        <v>26</v>
      </c>
      <c r="K41">
        <v>6.6</v>
      </c>
      <c r="L41">
        <v>1155.44</v>
      </c>
    </row>
    <row r="42" spans="1:12" x14ac:dyDescent="0.35">
      <c r="A42" s="1">
        <v>45299</v>
      </c>
      <c r="B42" t="s">
        <v>30</v>
      </c>
      <c r="C42" t="s">
        <v>31</v>
      </c>
      <c r="D42" t="s">
        <v>32</v>
      </c>
      <c r="E42" t="s">
        <v>26</v>
      </c>
      <c r="F42" t="s">
        <v>27</v>
      </c>
      <c r="G42" t="s">
        <v>20</v>
      </c>
      <c r="H42">
        <v>455</v>
      </c>
      <c r="I42">
        <v>403</v>
      </c>
      <c r="J42">
        <v>25</v>
      </c>
      <c r="K42">
        <v>5.5</v>
      </c>
      <c r="L42">
        <v>3077.23</v>
      </c>
    </row>
    <row r="43" spans="1:12" x14ac:dyDescent="0.35">
      <c r="A43" s="1">
        <v>45299</v>
      </c>
      <c r="B43" t="s">
        <v>30</v>
      </c>
      <c r="C43" t="s">
        <v>31</v>
      </c>
      <c r="D43" t="s">
        <v>32</v>
      </c>
      <c r="E43" t="s">
        <v>28</v>
      </c>
      <c r="F43" t="s">
        <v>29</v>
      </c>
      <c r="G43" t="s">
        <v>23</v>
      </c>
      <c r="H43">
        <v>300</v>
      </c>
      <c r="I43">
        <v>199</v>
      </c>
      <c r="J43">
        <v>37</v>
      </c>
      <c r="K43">
        <v>12.3</v>
      </c>
      <c r="L43">
        <v>1654.48</v>
      </c>
    </row>
    <row r="44" spans="1:12" x14ac:dyDescent="0.35">
      <c r="A44" s="1">
        <v>45299</v>
      </c>
      <c r="B44" t="s">
        <v>33</v>
      </c>
      <c r="C44" t="s">
        <v>34</v>
      </c>
      <c r="D44" t="s">
        <v>35</v>
      </c>
      <c r="E44" t="s">
        <v>15</v>
      </c>
      <c r="F44" t="s">
        <v>16</v>
      </c>
      <c r="G44" t="s">
        <v>17</v>
      </c>
      <c r="H44">
        <v>442</v>
      </c>
      <c r="I44">
        <v>307</v>
      </c>
      <c r="J44">
        <v>26</v>
      </c>
      <c r="K44">
        <v>5.9</v>
      </c>
      <c r="L44">
        <v>1506.22</v>
      </c>
    </row>
    <row r="45" spans="1:12" x14ac:dyDescent="0.35">
      <c r="A45" s="1">
        <v>45299</v>
      </c>
      <c r="B45" t="s">
        <v>33</v>
      </c>
      <c r="C45" t="s">
        <v>34</v>
      </c>
      <c r="D45" t="s">
        <v>35</v>
      </c>
      <c r="E45" t="s">
        <v>18</v>
      </c>
      <c r="F45" t="s">
        <v>19</v>
      </c>
      <c r="G45" t="s">
        <v>20</v>
      </c>
      <c r="H45">
        <v>260</v>
      </c>
      <c r="I45">
        <v>180</v>
      </c>
      <c r="J45">
        <v>10</v>
      </c>
      <c r="K45">
        <v>3.8</v>
      </c>
      <c r="L45">
        <v>1450.64</v>
      </c>
    </row>
    <row r="46" spans="1:12" x14ac:dyDescent="0.35">
      <c r="A46" s="1">
        <v>45299</v>
      </c>
      <c r="B46" t="s">
        <v>33</v>
      </c>
      <c r="C46" t="s">
        <v>34</v>
      </c>
      <c r="D46" t="s">
        <v>35</v>
      </c>
      <c r="E46" t="s">
        <v>21</v>
      </c>
      <c r="F46" t="s">
        <v>22</v>
      </c>
      <c r="G46" t="s">
        <v>23</v>
      </c>
      <c r="H46">
        <v>665</v>
      </c>
      <c r="I46">
        <v>483</v>
      </c>
      <c r="J46">
        <v>61</v>
      </c>
      <c r="K46">
        <v>9.1999999999999993</v>
      </c>
      <c r="L46">
        <v>3477.68</v>
      </c>
    </row>
    <row r="47" spans="1:12" x14ac:dyDescent="0.35">
      <c r="A47" s="1">
        <v>45299</v>
      </c>
      <c r="B47" t="s">
        <v>33</v>
      </c>
      <c r="C47" t="s">
        <v>34</v>
      </c>
      <c r="D47" t="s">
        <v>35</v>
      </c>
      <c r="E47" t="s">
        <v>24</v>
      </c>
      <c r="F47" t="s">
        <v>25</v>
      </c>
      <c r="G47" t="s">
        <v>17</v>
      </c>
      <c r="H47">
        <v>698</v>
      </c>
      <c r="I47">
        <v>482</v>
      </c>
      <c r="J47">
        <v>60</v>
      </c>
      <c r="K47">
        <v>8.6</v>
      </c>
      <c r="L47">
        <v>2879.99</v>
      </c>
    </row>
    <row r="48" spans="1:12" x14ac:dyDescent="0.35">
      <c r="A48" s="1">
        <v>45299</v>
      </c>
      <c r="B48" t="s">
        <v>33</v>
      </c>
      <c r="C48" t="s">
        <v>34</v>
      </c>
      <c r="D48" t="s">
        <v>35</v>
      </c>
      <c r="E48" t="s">
        <v>26</v>
      </c>
      <c r="F48" t="s">
        <v>27</v>
      </c>
      <c r="G48" t="s">
        <v>20</v>
      </c>
      <c r="H48">
        <v>755</v>
      </c>
      <c r="I48">
        <v>503</v>
      </c>
      <c r="J48">
        <v>33</v>
      </c>
      <c r="K48">
        <v>4.4000000000000004</v>
      </c>
      <c r="L48">
        <v>2696.45</v>
      </c>
    </row>
    <row r="49" spans="1:12" x14ac:dyDescent="0.35">
      <c r="A49" s="1">
        <v>45299</v>
      </c>
      <c r="B49" t="s">
        <v>33</v>
      </c>
      <c r="C49" t="s">
        <v>34</v>
      </c>
      <c r="D49" t="s">
        <v>35</v>
      </c>
      <c r="E49" t="s">
        <v>28</v>
      </c>
      <c r="F49" t="s">
        <v>29</v>
      </c>
      <c r="G49" t="s">
        <v>23</v>
      </c>
      <c r="H49">
        <v>743</v>
      </c>
      <c r="I49">
        <v>514</v>
      </c>
      <c r="J49">
        <v>59</v>
      </c>
      <c r="K49">
        <v>7.9</v>
      </c>
      <c r="L49">
        <v>1858.08</v>
      </c>
    </row>
    <row r="50" spans="1:12" x14ac:dyDescent="0.35">
      <c r="A50" s="1">
        <v>45299</v>
      </c>
      <c r="B50" t="s">
        <v>36</v>
      </c>
      <c r="C50" t="s">
        <v>37</v>
      </c>
      <c r="D50" t="s">
        <v>38</v>
      </c>
      <c r="E50" t="s">
        <v>15</v>
      </c>
      <c r="F50" t="s">
        <v>16</v>
      </c>
      <c r="G50" t="s">
        <v>17</v>
      </c>
      <c r="H50">
        <v>269</v>
      </c>
      <c r="I50">
        <v>223</v>
      </c>
      <c r="J50">
        <v>8</v>
      </c>
      <c r="K50">
        <v>3</v>
      </c>
      <c r="L50">
        <v>1748.7</v>
      </c>
    </row>
    <row r="51" spans="1:12" x14ac:dyDescent="0.35">
      <c r="A51" s="1">
        <v>45299</v>
      </c>
      <c r="B51" t="s">
        <v>36</v>
      </c>
      <c r="C51" t="s">
        <v>37</v>
      </c>
      <c r="D51" t="s">
        <v>38</v>
      </c>
      <c r="E51" t="s">
        <v>18</v>
      </c>
      <c r="F51" t="s">
        <v>19</v>
      </c>
      <c r="G51" t="s">
        <v>20</v>
      </c>
      <c r="H51">
        <v>452</v>
      </c>
      <c r="I51">
        <v>364</v>
      </c>
      <c r="J51">
        <v>10</v>
      </c>
      <c r="K51">
        <v>2.2000000000000002</v>
      </c>
      <c r="L51">
        <v>2345.6999999999998</v>
      </c>
    </row>
    <row r="52" spans="1:12" x14ac:dyDescent="0.35">
      <c r="A52" s="1">
        <v>45299</v>
      </c>
      <c r="B52" t="s">
        <v>36</v>
      </c>
      <c r="C52" t="s">
        <v>37</v>
      </c>
      <c r="D52" t="s">
        <v>38</v>
      </c>
      <c r="E52" t="s">
        <v>21</v>
      </c>
      <c r="F52" t="s">
        <v>22</v>
      </c>
      <c r="G52" t="s">
        <v>23</v>
      </c>
      <c r="H52">
        <v>778</v>
      </c>
      <c r="I52">
        <v>615</v>
      </c>
      <c r="J52">
        <v>49</v>
      </c>
      <c r="K52">
        <v>6.3</v>
      </c>
      <c r="L52">
        <v>4180.25</v>
      </c>
    </row>
    <row r="53" spans="1:12" x14ac:dyDescent="0.35">
      <c r="A53" s="1">
        <v>45299</v>
      </c>
      <c r="B53" t="s">
        <v>36</v>
      </c>
      <c r="C53" t="s">
        <v>37</v>
      </c>
      <c r="D53" t="s">
        <v>38</v>
      </c>
      <c r="E53" t="s">
        <v>24</v>
      </c>
      <c r="F53" t="s">
        <v>25</v>
      </c>
      <c r="G53" t="s">
        <v>17</v>
      </c>
      <c r="H53">
        <v>444</v>
      </c>
      <c r="I53">
        <v>320</v>
      </c>
      <c r="J53">
        <v>26</v>
      </c>
      <c r="K53">
        <v>5.9</v>
      </c>
      <c r="L53">
        <v>1677.87</v>
      </c>
    </row>
    <row r="54" spans="1:12" x14ac:dyDescent="0.35">
      <c r="A54" s="1">
        <v>45299</v>
      </c>
      <c r="B54" t="s">
        <v>36</v>
      </c>
      <c r="C54" t="s">
        <v>37</v>
      </c>
      <c r="D54" t="s">
        <v>38</v>
      </c>
      <c r="E54" t="s">
        <v>26</v>
      </c>
      <c r="F54" t="s">
        <v>27</v>
      </c>
      <c r="G54" t="s">
        <v>20</v>
      </c>
      <c r="H54">
        <v>274</v>
      </c>
      <c r="I54">
        <v>178</v>
      </c>
      <c r="J54">
        <v>25</v>
      </c>
      <c r="K54">
        <v>9.1</v>
      </c>
      <c r="L54">
        <v>551.78</v>
      </c>
    </row>
    <row r="55" spans="1:12" x14ac:dyDescent="0.35">
      <c r="A55" s="1">
        <v>45299</v>
      </c>
      <c r="B55" t="s">
        <v>36</v>
      </c>
      <c r="C55" t="s">
        <v>37</v>
      </c>
      <c r="D55" t="s">
        <v>38</v>
      </c>
      <c r="E55" t="s">
        <v>28</v>
      </c>
      <c r="F55" t="s">
        <v>29</v>
      </c>
      <c r="G55" t="s">
        <v>23</v>
      </c>
      <c r="H55">
        <v>750</v>
      </c>
      <c r="I55">
        <v>530</v>
      </c>
      <c r="J55">
        <v>61</v>
      </c>
      <c r="K55">
        <v>8.1</v>
      </c>
      <c r="L55">
        <v>4126.1499999999996</v>
      </c>
    </row>
    <row r="56" spans="1:12" x14ac:dyDescent="0.35">
      <c r="A56" s="1">
        <v>45299</v>
      </c>
      <c r="B56" t="s">
        <v>39</v>
      </c>
      <c r="C56" t="s">
        <v>40</v>
      </c>
      <c r="D56" t="s">
        <v>14</v>
      </c>
      <c r="E56" t="s">
        <v>15</v>
      </c>
      <c r="F56" t="s">
        <v>16</v>
      </c>
      <c r="G56" t="s">
        <v>17</v>
      </c>
      <c r="H56">
        <v>450</v>
      </c>
      <c r="I56">
        <v>337</v>
      </c>
      <c r="J56">
        <v>30</v>
      </c>
      <c r="K56">
        <v>6.7</v>
      </c>
      <c r="L56">
        <v>2265.06</v>
      </c>
    </row>
    <row r="57" spans="1:12" x14ac:dyDescent="0.35">
      <c r="A57" s="1">
        <v>45299</v>
      </c>
      <c r="B57" t="s">
        <v>39</v>
      </c>
      <c r="C57" t="s">
        <v>40</v>
      </c>
      <c r="D57" t="s">
        <v>14</v>
      </c>
      <c r="E57" t="s">
        <v>18</v>
      </c>
      <c r="F57" t="s">
        <v>19</v>
      </c>
      <c r="G57" t="s">
        <v>20</v>
      </c>
      <c r="H57">
        <v>741</v>
      </c>
      <c r="I57">
        <v>483</v>
      </c>
      <c r="J57">
        <v>66</v>
      </c>
      <c r="K57">
        <v>8.9</v>
      </c>
      <c r="L57">
        <v>3130</v>
      </c>
    </row>
    <row r="58" spans="1:12" x14ac:dyDescent="0.35">
      <c r="A58" s="1">
        <v>45299</v>
      </c>
      <c r="B58" t="s">
        <v>39</v>
      </c>
      <c r="C58" t="s">
        <v>40</v>
      </c>
      <c r="D58" t="s">
        <v>14</v>
      </c>
      <c r="E58" t="s">
        <v>21</v>
      </c>
      <c r="F58" t="s">
        <v>22</v>
      </c>
      <c r="G58" t="s">
        <v>23</v>
      </c>
      <c r="H58">
        <v>337</v>
      </c>
      <c r="I58">
        <v>243</v>
      </c>
      <c r="J58">
        <v>34</v>
      </c>
      <c r="K58">
        <v>10.1</v>
      </c>
      <c r="L58">
        <v>834.14</v>
      </c>
    </row>
    <row r="59" spans="1:12" x14ac:dyDescent="0.35">
      <c r="A59" s="1">
        <v>45299</v>
      </c>
      <c r="B59" t="s">
        <v>39</v>
      </c>
      <c r="C59" t="s">
        <v>40</v>
      </c>
      <c r="D59" t="s">
        <v>14</v>
      </c>
      <c r="E59" t="s">
        <v>24</v>
      </c>
      <c r="F59" t="s">
        <v>25</v>
      </c>
      <c r="G59" t="s">
        <v>17</v>
      </c>
      <c r="H59">
        <v>488</v>
      </c>
      <c r="I59">
        <v>396</v>
      </c>
      <c r="J59">
        <v>25</v>
      </c>
      <c r="K59">
        <v>5.0999999999999996</v>
      </c>
      <c r="L59">
        <v>2496.9499999999998</v>
      </c>
    </row>
    <row r="60" spans="1:12" x14ac:dyDescent="0.35">
      <c r="A60" s="1">
        <v>45299</v>
      </c>
      <c r="B60" t="s">
        <v>39</v>
      </c>
      <c r="C60" t="s">
        <v>40</v>
      </c>
      <c r="D60" t="s">
        <v>14</v>
      </c>
      <c r="E60" t="s">
        <v>26</v>
      </c>
      <c r="F60" t="s">
        <v>27</v>
      </c>
      <c r="G60" t="s">
        <v>20</v>
      </c>
      <c r="H60">
        <v>470</v>
      </c>
      <c r="I60">
        <v>369</v>
      </c>
      <c r="J60">
        <v>34</v>
      </c>
      <c r="K60">
        <v>7.2</v>
      </c>
      <c r="L60">
        <v>1034.97</v>
      </c>
    </row>
    <row r="61" spans="1:12" x14ac:dyDescent="0.35">
      <c r="A61" s="1">
        <v>45299</v>
      </c>
      <c r="B61" t="s">
        <v>39</v>
      </c>
      <c r="C61" t="s">
        <v>40</v>
      </c>
      <c r="D61" t="s">
        <v>14</v>
      </c>
      <c r="E61" t="s">
        <v>28</v>
      </c>
      <c r="F61" t="s">
        <v>29</v>
      </c>
      <c r="G61" t="s">
        <v>23</v>
      </c>
      <c r="H61">
        <v>633</v>
      </c>
      <c r="I61">
        <v>553</v>
      </c>
      <c r="J61">
        <v>20</v>
      </c>
      <c r="K61">
        <v>3.2</v>
      </c>
      <c r="L61">
        <v>1816.56</v>
      </c>
    </row>
    <row r="62" spans="1:12" x14ac:dyDescent="0.35">
      <c r="A62" s="1">
        <v>45306</v>
      </c>
      <c r="B62" t="s">
        <v>12</v>
      </c>
      <c r="C62" t="s">
        <v>13</v>
      </c>
      <c r="D62" t="s">
        <v>14</v>
      </c>
      <c r="E62" t="s">
        <v>15</v>
      </c>
      <c r="F62" t="s">
        <v>16</v>
      </c>
      <c r="G62" t="s">
        <v>17</v>
      </c>
      <c r="H62">
        <v>468</v>
      </c>
      <c r="I62">
        <v>324</v>
      </c>
      <c r="J62">
        <v>38</v>
      </c>
      <c r="K62">
        <v>8.1</v>
      </c>
      <c r="L62">
        <v>1900.4</v>
      </c>
    </row>
    <row r="63" spans="1:12" x14ac:dyDescent="0.35">
      <c r="A63" s="1">
        <v>45306</v>
      </c>
      <c r="B63" t="s">
        <v>12</v>
      </c>
      <c r="C63" t="s">
        <v>13</v>
      </c>
      <c r="D63" t="s">
        <v>14</v>
      </c>
      <c r="E63" t="s">
        <v>18</v>
      </c>
      <c r="F63" t="s">
        <v>19</v>
      </c>
      <c r="G63" t="s">
        <v>20</v>
      </c>
      <c r="H63">
        <v>314</v>
      </c>
      <c r="I63">
        <v>210</v>
      </c>
      <c r="J63">
        <v>38</v>
      </c>
      <c r="K63">
        <v>12.1</v>
      </c>
      <c r="L63">
        <v>1212.44</v>
      </c>
    </row>
    <row r="64" spans="1:12" x14ac:dyDescent="0.35">
      <c r="A64" s="1">
        <v>45306</v>
      </c>
      <c r="B64" t="s">
        <v>12</v>
      </c>
      <c r="C64" t="s">
        <v>13</v>
      </c>
      <c r="D64" t="s">
        <v>14</v>
      </c>
      <c r="E64" t="s">
        <v>21</v>
      </c>
      <c r="F64" t="s">
        <v>22</v>
      </c>
      <c r="G64" t="s">
        <v>23</v>
      </c>
      <c r="H64">
        <v>578</v>
      </c>
      <c r="I64">
        <v>466</v>
      </c>
      <c r="J64">
        <v>16</v>
      </c>
      <c r="K64">
        <v>2.8</v>
      </c>
      <c r="L64">
        <v>2026.89</v>
      </c>
    </row>
    <row r="65" spans="1:12" x14ac:dyDescent="0.35">
      <c r="A65" s="1">
        <v>45306</v>
      </c>
      <c r="B65" t="s">
        <v>12</v>
      </c>
      <c r="C65" t="s">
        <v>13</v>
      </c>
      <c r="D65" t="s">
        <v>14</v>
      </c>
      <c r="E65" t="s">
        <v>24</v>
      </c>
      <c r="F65" t="s">
        <v>25</v>
      </c>
      <c r="G65" t="s">
        <v>17</v>
      </c>
      <c r="H65">
        <v>240</v>
      </c>
      <c r="I65">
        <v>214</v>
      </c>
      <c r="J65">
        <v>7</v>
      </c>
      <c r="K65">
        <v>2.9</v>
      </c>
      <c r="L65">
        <v>666.99</v>
      </c>
    </row>
    <row r="66" spans="1:12" x14ac:dyDescent="0.35">
      <c r="A66" s="1">
        <v>45306</v>
      </c>
      <c r="B66" t="s">
        <v>12</v>
      </c>
      <c r="C66" t="s">
        <v>13</v>
      </c>
      <c r="D66" t="s">
        <v>14</v>
      </c>
      <c r="E66" t="s">
        <v>26</v>
      </c>
      <c r="F66" t="s">
        <v>27</v>
      </c>
      <c r="G66" t="s">
        <v>20</v>
      </c>
      <c r="H66">
        <v>773</v>
      </c>
      <c r="I66">
        <v>686</v>
      </c>
      <c r="J66">
        <v>41</v>
      </c>
      <c r="K66">
        <v>5.3</v>
      </c>
      <c r="L66">
        <v>2351.14</v>
      </c>
    </row>
    <row r="67" spans="1:12" x14ac:dyDescent="0.35">
      <c r="A67" s="1">
        <v>45306</v>
      </c>
      <c r="B67" t="s">
        <v>12</v>
      </c>
      <c r="C67" t="s">
        <v>13</v>
      </c>
      <c r="D67" t="s">
        <v>14</v>
      </c>
      <c r="E67" t="s">
        <v>28</v>
      </c>
      <c r="F67" t="s">
        <v>29</v>
      </c>
      <c r="G67" t="s">
        <v>23</v>
      </c>
      <c r="H67">
        <v>442</v>
      </c>
      <c r="I67">
        <v>390</v>
      </c>
      <c r="J67">
        <v>33</v>
      </c>
      <c r="K67">
        <v>7.5</v>
      </c>
      <c r="L67">
        <v>3037.51</v>
      </c>
    </row>
    <row r="68" spans="1:12" x14ac:dyDescent="0.35">
      <c r="A68" s="1">
        <v>45306</v>
      </c>
      <c r="B68" t="s">
        <v>30</v>
      </c>
      <c r="C68" t="s">
        <v>31</v>
      </c>
      <c r="D68" t="s">
        <v>32</v>
      </c>
      <c r="E68" t="s">
        <v>15</v>
      </c>
      <c r="F68" t="s">
        <v>16</v>
      </c>
      <c r="G68" t="s">
        <v>17</v>
      </c>
      <c r="H68">
        <v>225</v>
      </c>
      <c r="I68">
        <v>157</v>
      </c>
      <c r="J68">
        <v>25</v>
      </c>
      <c r="K68">
        <v>11.1</v>
      </c>
      <c r="L68">
        <v>780.33</v>
      </c>
    </row>
    <row r="69" spans="1:12" x14ac:dyDescent="0.35">
      <c r="A69" s="1">
        <v>45306</v>
      </c>
      <c r="B69" t="s">
        <v>30</v>
      </c>
      <c r="C69" t="s">
        <v>31</v>
      </c>
      <c r="D69" t="s">
        <v>32</v>
      </c>
      <c r="E69" t="s">
        <v>18</v>
      </c>
      <c r="F69" t="s">
        <v>19</v>
      </c>
      <c r="G69" t="s">
        <v>20</v>
      </c>
      <c r="H69">
        <v>454</v>
      </c>
      <c r="I69">
        <v>327</v>
      </c>
      <c r="J69">
        <v>30</v>
      </c>
      <c r="K69">
        <v>6.6</v>
      </c>
      <c r="L69">
        <v>2528.69</v>
      </c>
    </row>
    <row r="70" spans="1:12" x14ac:dyDescent="0.35">
      <c r="A70" s="1">
        <v>45306</v>
      </c>
      <c r="B70" t="s">
        <v>30</v>
      </c>
      <c r="C70" t="s">
        <v>31</v>
      </c>
      <c r="D70" t="s">
        <v>32</v>
      </c>
      <c r="E70" t="s">
        <v>21</v>
      </c>
      <c r="F70" t="s">
        <v>22</v>
      </c>
      <c r="G70" t="s">
        <v>23</v>
      </c>
      <c r="H70">
        <v>681</v>
      </c>
      <c r="I70">
        <v>483</v>
      </c>
      <c r="J70">
        <v>59</v>
      </c>
      <c r="K70">
        <v>8.6999999999999993</v>
      </c>
      <c r="L70">
        <v>2091.94</v>
      </c>
    </row>
    <row r="71" spans="1:12" x14ac:dyDescent="0.35">
      <c r="A71" s="1">
        <v>45306</v>
      </c>
      <c r="B71" t="s">
        <v>30</v>
      </c>
      <c r="C71" t="s">
        <v>31</v>
      </c>
      <c r="D71" t="s">
        <v>32</v>
      </c>
      <c r="E71" t="s">
        <v>24</v>
      </c>
      <c r="F71" t="s">
        <v>25</v>
      </c>
      <c r="G71" t="s">
        <v>17</v>
      </c>
      <c r="H71">
        <v>433</v>
      </c>
      <c r="I71">
        <v>307</v>
      </c>
      <c r="J71">
        <v>32</v>
      </c>
      <c r="K71">
        <v>7.4</v>
      </c>
      <c r="L71">
        <v>1280.69</v>
      </c>
    </row>
    <row r="72" spans="1:12" x14ac:dyDescent="0.35">
      <c r="A72" s="1">
        <v>45306</v>
      </c>
      <c r="B72" t="s">
        <v>30</v>
      </c>
      <c r="C72" t="s">
        <v>31</v>
      </c>
      <c r="D72" t="s">
        <v>32</v>
      </c>
      <c r="E72" t="s">
        <v>26</v>
      </c>
      <c r="F72" t="s">
        <v>27</v>
      </c>
      <c r="G72" t="s">
        <v>20</v>
      </c>
      <c r="H72">
        <v>271</v>
      </c>
      <c r="I72">
        <v>246</v>
      </c>
      <c r="J72">
        <v>13</v>
      </c>
      <c r="K72">
        <v>4.8</v>
      </c>
      <c r="L72">
        <v>1204.93</v>
      </c>
    </row>
    <row r="73" spans="1:12" x14ac:dyDescent="0.35">
      <c r="A73" s="1">
        <v>45306</v>
      </c>
      <c r="B73" t="s">
        <v>30</v>
      </c>
      <c r="C73" t="s">
        <v>31</v>
      </c>
      <c r="D73" t="s">
        <v>32</v>
      </c>
      <c r="E73" t="s">
        <v>28</v>
      </c>
      <c r="F73" t="s">
        <v>29</v>
      </c>
      <c r="G73" t="s">
        <v>23</v>
      </c>
      <c r="H73">
        <v>749</v>
      </c>
      <c r="I73">
        <v>553</v>
      </c>
      <c r="J73">
        <v>49</v>
      </c>
      <c r="K73">
        <v>6.5</v>
      </c>
      <c r="L73">
        <v>2249.21</v>
      </c>
    </row>
    <row r="74" spans="1:12" x14ac:dyDescent="0.35">
      <c r="A74" s="1">
        <v>45306</v>
      </c>
      <c r="B74" t="s">
        <v>33</v>
      </c>
      <c r="C74" t="s">
        <v>34</v>
      </c>
      <c r="D74" t="s">
        <v>35</v>
      </c>
      <c r="E74" t="s">
        <v>15</v>
      </c>
      <c r="F74" t="s">
        <v>16</v>
      </c>
      <c r="G74" t="s">
        <v>17</v>
      </c>
      <c r="H74">
        <v>794</v>
      </c>
      <c r="I74">
        <v>722</v>
      </c>
      <c r="J74">
        <v>18</v>
      </c>
      <c r="K74">
        <v>2.2999999999999998</v>
      </c>
      <c r="L74">
        <v>3687.53</v>
      </c>
    </row>
    <row r="75" spans="1:12" x14ac:dyDescent="0.35">
      <c r="A75" s="1">
        <v>45306</v>
      </c>
      <c r="B75" t="s">
        <v>33</v>
      </c>
      <c r="C75" t="s">
        <v>34</v>
      </c>
      <c r="D75" t="s">
        <v>35</v>
      </c>
      <c r="E75" t="s">
        <v>18</v>
      </c>
      <c r="F75" t="s">
        <v>19</v>
      </c>
      <c r="G75" t="s">
        <v>20</v>
      </c>
      <c r="H75">
        <v>521</v>
      </c>
      <c r="I75">
        <v>400</v>
      </c>
      <c r="J75">
        <v>34</v>
      </c>
      <c r="K75">
        <v>6.5</v>
      </c>
      <c r="L75">
        <v>3158.81</v>
      </c>
    </row>
    <row r="76" spans="1:12" x14ac:dyDescent="0.35">
      <c r="A76" s="1">
        <v>45306</v>
      </c>
      <c r="B76" t="s">
        <v>33</v>
      </c>
      <c r="C76" t="s">
        <v>34</v>
      </c>
      <c r="D76" t="s">
        <v>35</v>
      </c>
      <c r="E76" t="s">
        <v>21</v>
      </c>
      <c r="F76" t="s">
        <v>22</v>
      </c>
      <c r="G76" t="s">
        <v>23</v>
      </c>
      <c r="H76">
        <v>394</v>
      </c>
      <c r="I76">
        <v>283</v>
      </c>
      <c r="J76">
        <v>22</v>
      </c>
      <c r="K76">
        <v>5.6</v>
      </c>
      <c r="L76">
        <v>2279.13</v>
      </c>
    </row>
    <row r="77" spans="1:12" x14ac:dyDescent="0.35">
      <c r="A77" s="1">
        <v>45306</v>
      </c>
      <c r="B77" t="s">
        <v>33</v>
      </c>
      <c r="C77" t="s">
        <v>34</v>
      </c>
      <c r="D77" t="s">
        <v>35</v>
      </c>
      <c r="E77" t="s">
        <v>24</v>
      </c>
      <c r="F77" t="s">
        <v>25</v>
      </c>
      <c r="G77" t="s">
        <v>17</v>
      </c>
      <c r="H77">
        <v>751</v>
      </c>
      <c r="I77">
        <v>627</v>
      </c>
      <c r="J77">
        <v>61</v>
      </c>
      <c r="K77">
        <v>8.1</v>
      </c>
      <c r="L77">
        <v>2308.75</v>
      </c>
    </row>
    <row r="78" spans="1:12" x14ac:dyDescent="0.35">
      <c r="A78" s="1">
        <v>45306</v>
      </c>
      <c r="B78" t="s">
        <v>33</v>
      </c>
      <c r="C78" t="s">
        <v>34</v>
      </c>
      <c r="D78" t="s">
        <v>35</v>
      </c>
      <c r="E78" t="s">
        <v>26</v>
      </c>
      <c r="F78" t="s">
        <v>27</v>
      </c>
      <c r="G78" t="s">
        <v>20</v>
      </c>
      <c r="H78">
        <v>641</v>
      </c>
      <c r="I78">
        <v>428</v>
      </c>
      <c r="J78">
        <v>50</v>
      </c>
      <c r="K78">
        <v>7.8</v>
      </c>
      <c r="L78">
        <v>1876.14</v>
      </c>
    </row>
    <row r="79" spans="1:12" x14ac:dyDescent="0.35">
      <c r="A79" s="1">
        <v>45306</v>
      </c>
      <c r="B79" t="s">
        <v>33</v>
      </c>
      <c r="C79" t="s">
        <v>34</v>
      </c>
      <c r="D79" t="s">
        <v>35</v>
      </c>
      <c r="E79" t="s">
        <v>28</v>
      </c>
      <c r="F79" t="s">
        <v>29</v>
      </c>
      <c r="G79" t="s">
        <v>23</v>
      </c>
      <c r="H79">
        <v>327</v>
      </c>
      <c r="I79">
        <v>276</v>
      </c>
      <c r="J79">
        <v>13</v>
      </c>
      <c r="K79">
        <v>4</v>
      </c>
      <c r="L79">
        <v>1366.3</v>
      </c>
    </row>
    <row r="80" spans="1:12" x14ac:dyDescent="0.35">
      <c r="A80" s="1">
        <v>45306</v>
      </c>
      <c r="B80" t="s">
        <v>36</v>
      </c>
      <c r="C80" t="s">
        <v>37</v>
      </c>
      <c r="D80" t="s">
        <v>38</v>
      </c>
      <c r="E80" t="s">
        <v>15</v>
      </c>
      <c r="F80" t="s">
        <v>16</v>
      </c>
      <c r="G80" t="s">
        <v>17</v>
      </c>
      <c r="H80">
        <v>612</v>
      </c>
      <c r="I80">
        <v>513</v>
      </c>
      <c r="J80">
        <v>25</v>
      </c>
      <c r="K80">
        <v>4.0999999999999996</v>
      </c>
      <c r="L80">
        <v>3329.15</v>
      </c>
    </row>
    <row r="81" spans="1:12" x14ac:dyDescent="0.35">
      <c r="A81" s="1">
        <v>45306</v>
      </c>
      <c r="B81" t="s">
        <v>36</v>
      </c>
      <c r="C81" t="s">
        <v>37</v>
      </c>
      <c r="D81" t="s">
        <v>38</v>
      </c>
      <c r="E81" t="s">
        <v>18</v>
      </c>
      <c r="F81" t="s">
        <v>19</v>
      </c>
      <c r="G81" t="s">
        <v>20</v>
      </c>
      <c r="H81">
        <v>588</v>
      </c>
      <c r="I81">
        <v>489</v>
      </c>
      <c r="J81">
        <v>44</v>
      </c>
      <c r="K81">
        <v>7.5</v>
      </c>
      <c r="L81">
        <v>2105.4899999999998</v>
      </c>
    </row>
    <row r="82" spans="1:12" x14ac:dyDescent="0.35">
      <c r="A82" s="1">
        <v>45306</v>
      </c>
      <c r="B82" t="s">
        <v>36</v>
      </c>
      <c r="C82" t="s">
        <v>37</v>
      </c>
      <c r="D82" t="s">
        <v>38</v>
      </c>
      <c r="E82" t="s">
        <v>21</v>
      </c>
      <c r="F82" t="s">
        <v>22</v>
      </c>
      <c r="G82" t="s">
        <v>23</v>
      </c>
      <c r="H82">
        <v>761</v>
      </c>
      <c r="I82">
        <v>665</v>
      </c>
      <c r="J82">
        <v>24</v>
      </c>
      <c r="K82">
        <v>3.2</v>
      </c>
      <c r="L82">
        <v>4797.68</v>
      </c>
    </row>
    <row r="83" spans="1:12" x14ac:dyDescent="0.35">
      <c r="A83" s="1">
        <v>45306</v>
      </c>
      <c r="B83" t="s">
        <v>36</v>
      </c>
      <c r="C83" t="s">
        <v>37</v>
      </c>
      <c r="D83" t="s">
        <v>38</v>
      </c>
      <c r="E83" t="s">
        <v>24</v>
      </c>
      <c r="F83" t="s">
        <v>25</v>
      </c>
      <c r="G83" t="s">
        <v>17</v>
      </c>
      <c r="H83">
        <v>529</v>
      </c>
      <c r="I83">
        <v>410</v>
      </c>
      <c r="J83">
        <v>25</v>
      </c>
      <c r="K83">
        <v>4.7</v>
      </c>
      <c r="L83">
        <v>2189.04</v>
      </c>
    </row>
    <row r="84" spans="1:12" x14ac:dyDescent="0.35">
      <c r="A84" s="1">
        <v>45306</v>
      </c>
      <c r="B84" t="s">
        <v>36</v>
      </c>
      <c r="C84" t="s">
        <v>37</v>
      </c>
      <c r="D84" t="s">
        <v>38</v>
      </c>
      <c r="E84" t="s">
        <v>26</v>
      </c>
      <c r="F84" t="s">
        <v>27</v>
      </c>
      <c r="G84" t="s">
        <v>20</v>
      </c>
      <c r="H84">
        <v>373</v>
      </c>
      <c r="I84">
        <v>308</v>
      </c>
      <c r="J84">
        <v>22</v>
      </c>
      <c r="K84">
        <v>5.9</v>
      </c>
      <c r="L84">
        <v>1914.39</v>
      </c>
    </row>
    <row r="85" spans="1:12" x14ac:dyDescent="0.35">
      <c r="A85" s="1">
        <v>45306</v>
      </c>
      <c r="B85" t="s">
        <v>36</v>
      </c>
      <c r="C85" t="s">
        <v>37</v>
      </c>
      <c r="D85" t="s">
        <v>38</v>
      </c>
      <c r="E85" t="s">
        <v>28</v>
      </c>
      <c r="F85" t="s">
        <v>29</v>
      </c>
      <c r="G85" t="s">
        <v>23</v>
      </c>
      <c r="H85">
        <v>295</v>
      </c>
      <c r="I85">
        <v>256</v>
      </c>
      <c r="J85">
        <v>19</v>
      </c>
      <c r="K85">
        <v>6.4</v>
      </c>
      <c r="L85">
        <v>985.05</v>
      </c>
    </row>
    <row r="86" spans="1:12" x14ac:dyDescent="0.35">
      <c r="A86" s="1">
        <v>45306</v>
      </c>
      <c r="B86" t="s">
        <v>39</v>
      </c>
      <c r="C86" t="s">
        <v>40</v>
      </c>
      <c r="D86" t="s">
        <v>14</v>
      </c>
      <c r="E86" t="s">
        <v>15</v>
      </c>
      <c r="F86" t="s">
        <v>16</v>
      </c>
      <c r="G86" t="s">
        <v>17</v>
      </c>
      <c r="H86">
        <v>403</v>
      </c>
      <c r="I86">
        <v>277</v>
      </c>
      <c r="J86">
        <v>29</v>
      </c>
      <c r="K86">
        <v>7.2</v>
      </c>
      <c r="L86">
        <v>1708.44</v>
      </c>
    </row>
    <row r="87" spans="1:12" x14ac:dyDescent="0.35">
      <c r="A87" s="1">
        <v>45306</v>
      </c>
      <c r="B87" t="s">
        <v>39</v>
      </c>
      <c r="C87" t="s">
        <v>40</v>
      </c>
      <c r="D87" t="s">
        <v>14</v>
      </c>
      <c r="E87" t="s">
        <v>18</v>
      </c>
      <c r="F87" t="s">
        <v>19</v>
      </c>
      <c r="G87" t="s">
        <v>20</v>
      </c>
      <c r="H87">
        <v>274</v>
      </c>
      <c r="I87">
        <v>211</v>
      </c>
      <c r="J87">
        <v>23</v>
      </c>
      <c r="K87">
        <v>8.4</v>
      </c>
      <c r="L87">
        <v>1436.93</v>
      </c>
    </row>
    <row r="88" spans="1:12" x14ac:dyDescent="0.35">
      <c r="A88" s="1">
        <v>45306</v>
      </c>
      <c r="B88" t="s">
        <v>39</v>
      </c>
      <c r="C88" t="s">
        <v>40</v>
      </c>
      <c r="D88" t="s">
        <v>14</v>
      </c>
      <c r="E88" t="s">
        <v>21</v>
      </c>
      <c r="F88" t="s">
        <v>22</v>
      </c>
      <c r="G88" t="s">
        <v>23</v>
      </c>
      <c r="H88">
        <v>593</v>
      </c>
      <c r="I88">
        <v>464</v>
      </c>
      <c r="J88">
        <v>36</v>
      </c>
      <c r="K88">
        <v>6.1</v>
      </c>
      <c r="L88">
        <v>1175.44</v>
      </c>
    </row>
    <row r="89" spans="1:12" x14ac:dyDescent="0.35">
      <c r="A89" s="1">
        <v>45306</v>
      </c>
      <c r="B89" t="s">
        <v>39</v>
      </c>
      <c r="C89" t="s">
        <v>40</v>
      </c>
      <c r="D89" t="s">
        <v>14</v>
      </c>
      <c r="E89" t="s">
        <v>24</v>
      </c>
      <c r="F89" t="s">
        <v>25</v>
      </c>
      <c r="G89" t="s">
        <v>17</v>
      </c>
      <c r="H89">
        <v>309</v>
      </c>
      <c r="I89">
        <v>265</v>
      </c>
      <c r="J89">
        <v>19</v>
      </c>
      <c r="K89">
        <v>6.1</v>
      </c>
      <c r="L89">
        <v>1769</v>
      </c>
    </row>
    <row r="90" spans="1:12" x14ac:dyDescent="0.35">
      <c r="A90" s="1">
        <v>45306</v>
      </c>
      <c r="B90" t="s">
        <v>39</v>
      </c>
      <c r="C90" t="s">
        <v>40</v>
      </c>
      <c r="D90" t="s">
        <v>14</v>
      </c>
      <c r="E90" t="s">
        <v>26</v>
      </c>
      <c r="F90" t="s">
        <v>27</v>
      </c>
      <c r="G90" t="s">
        <v>20</v>
      </c>
      <c r="H90">
        <v>675</v>
      </c>
      <c r="I90">
        <v>447</v>
      </c>
      <c r="J90">
        <v>54</v>
      </c>
      <c r="K90">
        <v>8</v>
      </c>
      <c r="L90">
        <v>2341.73</v>
      </c>
    </row>
    <row r="91" spans="1:12" x14ac:dyDescent="0.35">
      <c r="A91" s="1">
        <v>45306</v>
      </c>
      <c r="B91" t="s">
        <v>39</v>
      </c>
      <c r="C91" t="s">
        <v>40</v>
      </c>
      <c r="D91" t="s">
        <v>14</v>
      </c>
      <c r="E91" t="s">
        <v>28</v>
      </c>
      <c r="F91" t="s">
        <v>29</v>
      </c>
      <c r="G91" t="s">
        <v>23</v>
      </c>
      <c r="H91">
        <v>675</v>
      </c>
      <c r="I91">
        <v>560</v>
      </c>
      <c r="J91">
        <v>51</v>
      </c>
      <c r="K91">
        <v>7.6</v>
      </c>
      <c r="L91">
        <v>4592.13</v>
      </c>
    </row>
    <row r="92" spans="1:12" x14ac:dyDescent="0.35">
      <c r="A92" s="1">
        <v>45313</v>
      </c>
      <c r="B92" t="s">
        <v>12</v>
      </c>
      <c r="C92" t="s">
        <v>13</v>
      </c>
      <c r="D92" t="s">
        <v>14</v>
      </c>
      <c r="E92" t="s">
        <v>15</v>
      </c>
      <c r="F92" t="s">
        <v>16</v>
      </c>
      <c r="G92" t="s">
        <v>17</v>
      </c>
      <c r="H92">
        <v>653</v>
      </c>
      <c r="I92">
        <v>532</v>
      </c>
      <c r="J92">
        <v>43</v>
      </c>
      <c r="K92">
        <v>6.6</v>
      </c>
      <c r="L92">
        <v>3981.18</v>
      </c>
    </row>
    <row r="93" spans="1:12" x14ac:dyDescent="0.35">
      <c r="A93" s="1">
        <v>45313</v>
      </c>
      <c r="B93" t="s">
        <v>12</v>
      </c>
      <c r="C93" t="s">
        <v>13</v>
      </c>
      <c r="D93" t="s">
        <v>14</v>
      </c>
      <c r="E93" t="s">
        <v>18</v>
      </c>
      <c r="F93" t="s">
        <v>19</v>
      </c>
      <c r="G93" t="s">
        <v>20</v>
      </c>
      <c r="H93">
        <v>761</v>
      </c>
      <c r="I93">
        <v>586</v>
      </c>
      <c r="J93">
        <v>52</v>
      </c>
      <c r="K93">
        <v>6.8</v>
      </c>
      <c r="L93">
        <v>3047.45</v>
      </c>
    </row>
    <row r="94" spans="1:12" x14ac:dyDescent="0.35">
      <c r="A94" s="1">
        <v>45313</v>
      </c>
      <c r="B94" t="s">
        <v>12</v>
      </c>
      <c r="C94" t="s">
        <v>13</v>
      </c>
      <c r="D94" t="s">
        <v>14</v>
      </c>
      <c r="E94" t="s">
        <v>21</v>
      </c>
      <c r="F94" t="s">
        <v>22</v>
      </c>
      <c r="G94" t="s">
        <v>23</v>
      </c>
      <c r="H94">
        <v>453</v>
      </c>
      <c r="I94">
        <v>397</v>
      </c>
      <c r="J94">
        <v>27</v>
      </c>
      <c r="K94">
        <v>6</v>
      </c>
      <c r="L94">
        <v>2146.81</v>
      </c>
    </row>
    <row r="95" spans="1:12" x14ac:dyDescent="0.35">
      <c r="A95" s="1">
        <v>45313</v>
      </c>
      <c r="B95" t="s">
        <v>12</v>
      </c>
      <c r="C95" t="s">
        <v>13</v>
      </c>
      <c r="D95" t="s">
        <v>14</v>
      </c>
      <c r="E95" t="s">
        <v>24</v>
      </c>
      <c r="F95" t="s">
        <v>25</v>
      </c>
      <c r="G95" t="s">
        <v>17</v>
      </c>
      <c r="H95">
        <v>444</v>
      </c>
      <c r="I95">
        <v>321</v>
      </c>
      <c r="J95">
        <v>17</v>
      </c>
      <c r="K95">
        <v>3.8</v>
      </c>
      <c r="L95">
        <v>1325.82</v>
      </c>
    </row>
    <row r="96" spans="1:12" x14ac:dyDescent="0.35">
      <c r="A96" s="1">
        <v>45313</v>
      </c>
      <c r="B96" t="s">
        <v>12</v>
      </c>
      <c r="C96" t="s">
        <v>13</v>
      </c>
      <c r="D96" t="s">
        <v>14</v>
      </c>
      <c r="E96" t="s">
        <v>26</v>
      </c>
      <c r="F96" t="s">
        <v>27</v>
      </c>
      <c r="G96" t="s">
        <v>20</v>
      </c>
      <c r="H96">
        <v>527</v>
      </c>
      <c r="I96">
        <v>469</v>
      </c>
      <c r="J96">
        <v>12</v>
      </c>
      <c r="K96">
        <v>2.2999999999999998</v>
      </c>
      <c r="L96">
        <v>2250.36</v>
      </c>
    </row>
    <row r="97" spans="1:12" x14ac:dyDescent="0.35">
      <c r="A97" s="1">
        <v>45313</v>
      </c>
      <c r="B97" t="s">
        <v>12</v>
      </c>
      <c r="C97" t="s">
        <v>13</v>
      </c>
      <c r="D97" t="s">
        <v>14</v>
      </c>
      <c r="E97" t="s">
        <v>28</v>
      </c>
      <c r="F97" t="s">
        <v>29</v>
      </c>
      <c r="G97" t="s">
        <v>23</v>
      </c>
      <c r="H97">
        <v>356</v>
      </c>
      <c r="I97">
        <v>299</v>
      </c>
      <c r="J97">
        <v>13</v>
      </c>
      <c r="K97">
        <v>3.7</v>
      </c>
      <c r="L97">
        <v>1720.94</v>
      </c>
    </row>
    <row r="98" spans="1:12" x14ac:dyDescent="0.35">
      <c r="A98" s="1">
        <v>45313</v>
      </c>
      <c r="B98" t="s">
        <v>30</v>
      </c>
      <c r="C98" t="s">
        <v>31</v>
      </c>
      <c r="D98" t="s">
        <v>32</v>
      </c>
      <c r="E98" t="s">
        <v>15</v>
      </c>
      <c r="F98" t="s">
        <v>16</v>
      </c>
      <c r="G98" t="s">
        <v>17</v>
      </c>
      <c r="H98">
        <v>625</v>
      </c>
      <c r="I98">
        <v>416</v>
      </c>
      <c r="J98">
        <v>58</v>
      </c>
      <c r="K98">
        <v>9.3000000000000007</v>
      </c>
      <c r="L98">
        <v>2961.41</v>
      </c>
    </row>
    <row r="99" spans="1:12" x14ac:dyDescent="0.35">
      <c r="A99" s="1">
        <v>45313</v>
      </c>
      <c r="B99" t="s">
        <v>30</v>
      </c>
      <c r="C99" t="s">
        <v>31</v>
      </c>
      <c r="D99" t="s">
        <v>32</v>
      </c>
      <c r="E99" t="s">
        <v>18</v>
      </c>
      <c r="F99" t="s">
        <v>19</v>
      </c>
      <c r="G99" t="s">
        <v>20</v>
      </c>
      <c r="H99">
        <v>220</v>
      </c>
      <c r="I99">
        <v>193</v>
      </c>
      <c r="J99">
        <v>11</v>
      </c>
      <c r="K99">
        <v>5</v>
      </c>
      <c r="L99">
        <v>489.33</v>
      </c>
    </row>
    <row r="100" spans="1:12" x14ac:dyDescent="0.35">
      <c r="A100" s="1">
        <v>45313</v>
      </c>
      <c r="B100" t="s">
        <v>30</v>
      </c>
      <c r="C100" t="s">
        <v>31</v>
      </c>
      <c r="D100" t="s">
        <v>32</v>
      </c>
      <c r="E100" t="s">
        <v>21</v>
      </c>
      <c r="F100" t="s">
        <v>22</v>
      </c>
      <c r="G100" t="s">
        <v>23</v>
      </c>
      <c r="H100">
        <v>560</v>
      </c>
      <c r="I100">
        <v>409</v>
      </c>
      <c r="J100">
        <v>47</v>
      </c>
      <c r="K100">
        <v>8.4</v>
      </c>
      <c r="L100">
        <v>3073.38</v>
      </c>
    </row>
    <row r="101" spans="1:12" x14ac:dyDescent="0.35">
      <c r="A101" s="1">
        <v>45313</v>
      </c>
      <c r="B101" t="s">
        <v>30</v>
      </c>
      <c r="C101" t="s">
        <v>31</v>
      </c>
      <c r="D101" t="s">
        <v>32</v>
      </c>
      <c r="E101" t="s">
        <v>24</v>
      </c>
      <c r="F101" t="s">
        <v>25</v>
      </c>
      <c r="G101" t="s">
        <v>17</v>
      </c>
      <c r="H101">
        <v>751</v>
      </c>
      <c r="I101">
        <v>639</v>
      </c>
      <c r="J101">
        <v>45</v>
      </c>
      <c r="K101">
        <v>6</v>
      </c>
      <c r="L101">
        <v>2443.0500000000002</v>
      </c>
    </row>
    <row r="102" spans="1:12" x14ac:dyDescent="0.35">
      <c r="A102" s="1">
        <v>45313</v>
      </c>
      <c r="B102" t="s">
        <v>30</v>
      </c>
      <c r="C102" t="s">
        <v>31</v>
      </c>
      <c r="D102" t="s">
        <v>32</v>
      </c>
      <c r="E102" t="s">
        <v>26</v>
      </c>
      <c r="F102" t="s">
        <v>27</v>
      </c>
      <c r="G102" t="s">
        <v>20</v>
      </c>
      <c r="H102">
        <v>424</v>
      </c>
      <c r="I102">
        <v>306</v>
      </c>
      <c r="J102">
        <v>27</v>
      </c>
      <c r="K102">
        <v>6.4</v>
      </c>
      <c r="L102">
        <v>1993.05</v>
      </c>
    </row>
    <row r="103" spans="1:12" x14ac:dyDescent="0.35">
      <c r="A103" s="1">
        <v>45313</v>
      </c>
      <c r="B103" t="s">
        <v>30</v>
      </c>
      <c r="C103" t="s">
        <v>31</v>
      </c>
      <c r="D103" t="s">
        <v>32</v>
      </c>
      <c r="E103" t="s">
        <v>28</v>
      </c>
      <c r="F103" t="s">
        <v>29</v>
      </c>
      <c r="G103" t="s">
        <v>23</v>
      </c>
      <c r="H103">
        <v>614</v>
      </c>
      <c r="I103">
        <v>519</v>
      </c>
      <c r="J103">
        <v>52</v>
      </c>
      <c r="K103">
        <v>8.5</v>
      </c>
      <c r="L103">
        <v>4351.47</v>
      </c>
    </row>
    <row r="104" spans="1:12" x14ac:dyDescent="0.35">
      <c r="A104" s="1">
        <v>45313</v>
      </c>
      <c r="B104" t="s">
        <v>33</v>
      </c>
      <c r="C104" t="s">
        <v>34</v>
      </c>
      <c r="D104" t="s">
        <v>35</v>
      </c>
      <c r="E104" t="s">
        <v>15</v>
      </c>
      <c r="F104" t="s">
        <v>16</v>
      </c>
      <c r="G104" t="s">
        <v>17</v>
      </c>
      <c r="H104">
        <v>746</v>
      </c>
      <c r="I104">
        <v>490</v>
      </c>
      <c r="J104">
        <v>56</v>
      </c>
      <c r="K104">
        <v>7.5</v>
      </c>
      <c r="L104">
        <v>1304.68</v>
      </c>
    </row>
    <row r="105" spans="1:12" x14ac:dyDescent="0.35">
      <c r="A105" s="1">
        <v>45313</v>
      </c>
      <c r="B105" t="s">
        <v>33</v>
      </c>
      <c r="C105" t="s">
        <v>34</v>
      </c>
      <c r="D105" t="s">
        <v>35</v>
      </c>
      <c r="E105" t="s">
        <v>18</v>
      </c>
      <c r="F105" t="s">
        <v>19</v>
      </c>
      <c r="G105" t="s">
        <v>20</v>
      </c>
      <c r="H105">
        <v>638</v>
      </c>
      <c r="I105">
        <v>438</v>
      </c>
      <c r="J105">
        <v>32</v>
      </c>
      <c r="K105">
        <v>5</v>
      </c>
      <c r="L105">
        <v>2091.2800000000002</v>
      </c>
    </row>
    <row r="106" spans="1:12" x14ac:dyDescent="0.35">
      <c r="A106" s="1">
        <v>45313</v>
      </c>
      <c r="B106" t="s">
        <v>33</v>
      </c>
      <c r="C106" t="s">
        <v>34</v>
      </c>
      <c r="D106" t="s">
        <v>35</v>
      </c>
      <c r="E106" t="s">
        <v>21</v>
      </c>
      <c r="F106" t="s">
        <v>22</v>
      </c>
      <c r="G106" t="s">
        <v>23</v>
      </c>
      <c r="H106">
        <v>416</v>
      </c>
      <c r="I106">
        <v>321</v>
      </c>
      <c r="J106">
        <v>32</v>
      </c>
      <c r="K106">
        <v>7.7</v>
      </c>
      <c r="L106">
        <v>1338.42</v>
      </c>
    </row>
    <row r="107" spans="1:12" x14ac:dyDescent="0.35">
      <c r="A107" s="1">
        <v>45313</v>
      </c>
      <c r="B107" t="s">
        <v>33</v>
      </c>
      <c r="C107" t="s">
        <v>34</v>
      </c>
      <c r="D107" t="s">
        <v>35</v>
      </c>
      <c r="E107" t="s">
        <v>24</v>
      </c>
      <c r="F107" t="s">
        <v>25</v>
      </c>
      <c r="G107" t="s">
        <v>17</v>
      </c>
      <c r="H107">
        <v>631</v>
      </c>
      <c r="I107">
        <v>453</v>
      </c>
      <c r="J107">
        <v>16</v>
      </c>
      <c r="K107">
        <v>2.5</v>
      </c>
      <c r="L107">
        <v>2598.64</v>
      </c>
    </row>
    <row r="108" spans="1:12" x14ac:dyDescent="0.35">
      <c r="A108" s="1">
        <v>45313</v>
      </c>
      <c r="B108" t="s">
        <v>33</v>
      </c>
      <c r="C108" t="s">
        <v>34</v>
      </c>
      <c r="D108" t="s">
        <v>35</v>
      </c>
      <c r="E108" t="s">
        <v>26</v>
      </c>
      <c r="F108" t="s">
        <v>27</v>
      </c>
      <c r="G108" t="s">
        <v>20</v>
      </c>
      <c r="H108">
        <v>558</v>
      </c>
      <c r="I108">
        <v>396</v>
      </c>
      <c r="J108">
        <v>40</v>
      </c>
      <c r="K108">
        <v>7.2</v>
      </c>
      <c r="L108">
        <v>1085.6500000000001</v>
      </c>
    </row>
    <row r="109" spans="1:12" x14ac:dyDescent="0.35">
      <c r="A109" s="1">
        <v>45313</v>
      </c>
      <c r="B109" t="s">
        <v>33</v>
      </c>
      <c r="C109" t="s">
        <v>34</v>
      </c>
      <c r="D109" t="s">
        <v>35</v>
      </c>
      <c r="E109" t="s">
        <v>28</v>
      </c>
      <c r="F109" t="s">
        <v>29</v>
      </c>
      <c r="G109" t="s">
        <v>23</v>
      </c>
      <c r="H109">
        <v>231</v>
      </c>
      <c r="I109">
        <v>209</v>
      </c>
      <c r="J109">
        <v>4</v>
      </c>
      <c r="K109">
        <v>1.7</v>
      </c>
      <c r="L109">
        <v>713.59</v>
      </c>
    </row>
    <row r="110" spans="1:12" x14ac:dyDescent="0.35">
      <c r="A110" s="1">
        <v>45313</v>
      </c>
      <c r="B110" t="s">
        <v>36</v>
      </c>
      <c r="C110" t="s">
        <v>37</v>
      </c>
      <c r="D110" t="s">
        <v>38</v>
      </c>
      <c r="E110" t="s">
        <v>15</v>
      </c>
      <c r="F110" t="s">
        <v>16</v>
      </c>
      <c r="G110" t="s">
        <v>17</v>
      </c>
      <c r="H110">
        <v>329</v>
      </c>
      <c r="I110">
        <v>255</v>
      </c>
      <c r="J110">
        <v>23</v>
      </c>
      <c r="K110">
        <v>7</v>
      </c>
      <c r="L110">
        <v>1349</v>
      </c>
    </row>
    <row r="111" spans="1:12" x14ac:dyDescent="0.35">
      <c r="A111" s="1">
        <v>45313</v>
      </c>
      <c r="B111" t="s">
        <v>36</v>
      </c>
      <c r="C111" t="s">
        <v>37</v>
      </c>
      <c r="D111" t="s">
        <v>38</v>
      </c>
      <c r="E111" t="s">
        <v>18</v>
      </c>
      <c r="F111" t="s">
        <v>19</v>
      </c>
      <c r="G111" t="s">
        <v>20</v>
      </c>
      <c r="H111">
        <v>462</v>
      </c>
      <c r="I111">
        <v>395</v>
      </c>
      <c r="J111">
        <v>23</v>
      </c>
      <c r="K111">
        <v>5</v>
      </c>
      <c r="L111">
        <v>2760.08</v>
      </c>
    </row>
    <row r="112" spans="1:12" x14ac:dyDescent="0.35">
      <c r="A112" s="1">
        <v>45313</v>
      </c>
      <c r="B112" t="s">
        <v>36</v>
      </c>
      <c r="C112" t="s">
        <v>37</v>
      </c>
      <c r="D112" t="s">
        <v>38</v>
      </c>
      <c r="E112" t="s">
        <v>21</v>
      </c>
      <c r="F112" t="s">
        <v>22</v>
      </c>
      <c r="G112" t="s">
        <v>23</v>
      </c>
      <c r="H112">
        <v>317</v>
      </c>
      <c r="I112">
        <v>272</v>
      </c>
      <c r="J112">
        <v>11</v>
      </c>
      <c r="K112">
        <v>3.5</v>
      </c>
      <c r="L112">
        <v>1624.41</v>
      </c>
    </row>
    <row r="113" spans="1:12" x14ac:dyDescent="0.35">
      <c r="A113" s="1">
        <v>45313</v>
      </c>
      <c r="B113" t="s">
        <v>36</v>
      </c>
      <c r="C113" t="s">
        <v>37</v>
      </c>
      <c r="D113" t="s">
        <v>38</v>
      </c>
      <c r="E113" t="s">
        <v>24</v>
      </c>
      <c r="F113" t="s">
        <v>25</v>
      </c>
      <c r="G113" t="s">
        <v>17</v>
      </c>
      <c r="H113">
        <v>519</v>
      </c>
      <c r="I113">
        <v>418</v>
      </c>
      <c r="J113">
        <v>35</v>
      </c>
      <c r="K113">
        <v>6.7</v>
      </c>
      <c r="L113">
        <v>3406.21</v>
      </c>
    </row>
    <row r="114" spans="1:12" x14ac:dyDescent="0.35">
      <c r="A114" s="1">
        <v>45313</v>
      </c>
      <c r="B114" t="s">
        <v>36</v>
      </c>
      <c r="C114" t="s">
        <v>37</v>
      </c>
      <c r="D114" t="s">
        <v>38</v>
      </c>
      <c r="E114" t="s">
        <v>26</v>
      </c>
      <c r="F114" t="s">
        <v>27</v>
      </c>
      <c r="G114" t="s">
        <v>20</v>
      </c>
      <c r="H114">
        <v>403</v>
      </c>
      <c r="I114">
        <v>270</v>
      </c>
      <c r="J114">
        <v>38</v>
      </c>
      <c r="K114">
        <v>9.4</v>
      </c>
      <c r="L114">
        <v>840.08</v>
      </c>
    </row>
    <row r="115" spans="1:12" x14ac:dyDescent="0.35">
      <c r="A115" s="1">
        <v>45313</v>
      </c>
      <c r="B115" t="s">
        <v>36</v>
      </c>
      <c r="C115" t="s">
        <v>37</v>
      </c>
      <c r="D115" t="s">
        <v>38</v>
      </c>
      <c r="E115" t="s">
        <v>28</v>
      </c>
      <c r="F115" t="s">
        <v>29</v>
      </c>
      <c r="G115" t="s">
        <v>23</v>
      </c>
      <c r="H115">
        <v>508</v>
      </c>
      <c r="I115">
        <v>446</v>
      </c>
      <c r="J115">
        <v>17</v>
      </c>
      <c r="K115">
        <v>3.3</v>
      </c>
      <c r="L115">
        <v>3747.77</v>
      </c>
    </row>
    <row r="116" spans="1:12" x14ac:dyDescent="0.35">
      <c r="A116" s="1">
        <v>45313</v>
      </c>
      <c r="B116" t="s">
        <v>39</v>
      </c>
      <c r="C116" t="s">
        <v>40</v>
      </c>
      <c r="D116" t="s">
        <v>14</v>
      </c>
      <c r="E116" t="s">
        <v>15</v>
      </c>
      <c r="F116" t="s">
        <v>16</v>
      </c>
      <c r="G116" t="s">
        <v>17</v>
      </c>
      <c r="H116">
        <v>242</v>
      </c>
      <c r="I116">
        <v>179</v>
      </c>
      <c r="J116">
        <v>14</v>
      </c>
      <c r="K116">
        <v>5.8</v>
      </c>
      <c r="L116">
        <v>990.9</v>
      </c>
    </row>
    <row r="117" spans="1:12" x14ac:dyDescent="0.35">
      <c r="A117" s="1">
        <v>45313</v>
      </c>
      <c r="B117" t="s">
        <v>39</v>
      </c>
      <c r="C117" t="s">
        <v>40</v>
      </c>
      <c r="D117" t="s">
        <v>14</v>
      </c>
      <c r="E117" t="s">
        <v>18</v>
      </c>
      <c r="F117" t="s">
        <v>19</v>
      </c>
      <c r="G117" t="s">
        <v>20</v>
      </c>
      <c r="H117">
        <v>549</v>
      </c>
      <c r="I117">
        <v>358</v>
      </c>
      <c r="J117">
        <v>41</v>
      </c>
      <c r="K117">
        <v>7.5</v>
      </c>
      <c r="L117">
        <v>1826.21</v>
      </c>
    </row>
    <row r="118" spans="1:12" x14ac:dyDescent="0.35">
      <c r="A118" s="1">
        <v>45313</v>
      </c>
      <c r="B118" t="s">
        <v>39</v>
      </c>
      <c r="C118" t="s">
        <v>40</v>
      </c>
      <c r="D118" t="s">
        <v>14</v>
      </c>
      <c r="E118" t="s">
        <v>21</v>
      </c>
      <c r="F118" t="s">
        <v>22</v>
      </c>
      <c r="G118" t="s">
        <v>23</v>
      </c>
      <c r="H118">
        <v>570</v>
      </c>
      <c r="I118">
        <v>468</v>
      </c>
      <c r="J118">
        <v>45</v>
      </c>
      <c r="K118">
        <v>7.9</v>
      </c>
      <c r="L118">
        <v>2392.85</v>
      </c>
    </row>
    <row r="119" spans="1:12" x14ac:dyDescent="0.35">
      <c r="A119" s="1">
        <v>45313</v>
      </c>
      <c r="B119" t="s">
        <v>39</v>
      </c>
      <c r="C119" t="s">
        <v>40</v>
      </c>
      <c r="D119" t="s">
        <v>14</v>
      </c>
      <c r="E119" t="s">
        <v>24</v>
      </c>
      <c r="F119" t="s">
        <v>25</v>
      </c>
      <c r="G119" t="s">
        <v>17</v>
      </c>
      <c r="H119">
        <v>734</v>
      </c>
      <c r="I119">
        <v>668</v>
      </c>
      <c r="J119">
        <v>42</v>
      </c>
      <c r="K119">
        <v>5.7</v>
      </c>
      <c r="L119">
        <v>3827</v>
      </c>
    </row>
    <row r="120" spans="1:12" x14ac:dyDescent="0.35">
      <c r="A120" s="1">
        <v>45313</v>
      </c>
      <c r="B120" t="s">
        <v>39</v>
      </c>
      <c r="C120" t="s">
        <v>40</v>
      </c>
      <c r="D120" t="s">
        <v>14</v>
      </c>
      <c r="E120" t="s">
        <v>26</v>
      </c>
      <c r="F120" t="s">
        <v>27</v>
      </c>
      <c r="G120" t="s">
        <v>20</v>
      </c>
      <c r="H120">
        <v>695</v>
      </c>
      <c r="I120">
        <v>538</v>
      </c>
      <c r="J120">
        <v>57</v>
      </c>
      <c r="K120">
        <v>8.1999999999999993</v>
      </c>
      <c r="L120">
        <v>2385.4</v>
      </c>
    </row>
    <row r="121" spans="1:12" x14ac:dyDescent="0.35">
      <c r="A121" s="1">
        <v>45313</v>
      </c>
      <c r="B121" t="s">
        <v>39</v>
      </c>
      <c r="C121" t="s">
        <v>40</v>
      </c>
      <c r="D121" t="s">
        <v>14</v>
      </c>
      <c r="E121" t="s">
        <v>28</v>
      </c>
      <c r="F121" t="s">
        <v>29</v>
      </c>
      <c r="G121" t="s">
        <v>23</v>
      </c>
      <c r="H121">
        <v>451</v>
      </c>
      <c r="I121">
        <v>394</v>
      </c>
      <c r="J121">
        <v>27</v>
      </c>
      <c r="K121">
        <v>6</v>
      </c>
      <c r="L121">
        <v>1561.49</v>
      </c>
    </row>
    <row r="122" spans="1:12" x14ac:dyDescent="0.35">
      <c r="A122" s="1">
        <v>45320</v>
      </c>
      <c r="B122" t="s">
        <v>12</v>
      </c>
      <c r="C122" t="s">
        <v>13</v>
      </c>
      <c r="D122" t="s">
        <v>14</v>
      </c>
      <c r="E122" t="s">
        <v>15</v>
      </c>
      <c r="F122" t="s">
        <v>16</v>
      </c>
      <c r="G122" t="s">
        <v>17</v>
      </c>
      <c r="H122">
        <v>675</v>
      </c>
      <c r="I122">
        <v>542</v>
      </c>
      <c r="J122">
        <v>39</v>
      </c>
      <c r="K122">
        <v>5.8</v>
      </c>
      <c r="L122">
        <v>2962.48</v>
      </c>
    </row>
    <row r="123" spans="1:12" x14ac:dyDescent="0.35">
      <c r="A123" s="1">
        <v>45320</v>
      </c>
      <c r="B123" t="s">
        <v>12</v>
      </c>
      <c r="C123" t="s">
        <v>13</v>
      </c>
      <c r="D123" t="s">
        <v>14</v>
      </c>
      <c r="E123" t="s">
        <v>18</v>
      </c>
      <c r="F123" t="s">
        <v>19</v>
      </c>
      <c r="G123" t="s">
        <v>20</v>
      </c>
      <c r="H123">
        <v>532</v>
      </c>
      <c r="I123">
        <v>371</v>
      </c>
      <c r="J123">
        <v>39</v>
      </c>
      <c r="K123">
        <v>7.3</v>
      </c>
      <c r="L123">
        <v>1685.09</v>
      </c>
    </row>
    <row r="124" spans="1:12" x14ac:dyDescent="0.35">
      <c r="A124" s="1">
        <v>45320</v>
      </c>
      <c r="B124" t="s">
        <v>12</v>
      </c>
      <c r="C124" t="s">
        <v>13</v>
      </c>
      <c r="D124" t="s">
        <v>14</v>
      </c>
      <c r="E124" t="s">
        <v>21</v>
      </c>
      <c r="F124" t="s">
        <v>22</v>
      </c>
      <c r="G124" t="s">
        <v>23</v>
      </c>
      <c r="H124">
        <v>482</v>
      </c>
      <c r="I124">
        <v>385</v>
      </c>
      <c r="J124">
        <v>22</v>
      </c>
      <c r="K124">
        <v>4.5999999999999996</v>
      </c>
      <c r="L124">
        <v>1520.03</v>
      </c>
    </row>
    <row r="125" spans="1:12" x14ac:dyDescent="0.35">
      <c r="A125" s="1">
        <v>45320</v>
      </c>
      <c r="B125" t="s">
        <v>12</v>
      </c>
      <c r="C125" t="s">
        <v>13</v>
      </c>
      <c r="D125" t="s">
        <v>14</v>
      </c>
      <c r="E125" t="s">
        <v>24</v>
      </c>
      <c r="F125" t="s">
        <v>25</v>
      </c>
      <c r="G125" t="s">
        <v>17</v>
      </c>
      <c r="H125">
        <v>616</v>
      </c>
      <c r="I125">
        <v>481</v>
      </c>
      <c r="J125">
        <v>51</v>
      </c>
      <c r="K125">
        <v>8.3000000000000007</v>
      </c>
      <c r="L125">
        <v>3066.58</v>
      </c>
    </row>
    <row r="126" spans="1:12" x14ac:dyDescent="0.35">
      <c r="A126" s="1">
        <v>45320</v>
      </c>
      <c r="B126" t="s">
        <v>12</v>
      </c>
      <c r="C126" t="s">
        <v>13</v>
      </c>
      <c r="D126" t="s">
        <v>14</v>
      </c>
      <c r="E126" t="s">
        <v>26</v>
      </c>
      <c r="F126" t="s">
        <v>27</v>
      </c>
      <c r="G126" t="s">
        <v>20</v>
      </c>
      <c r="H126">
        <v>702</v>
      </c>
      <c r="I126">
        <v>541</v>
      </c>
      <c r="J126">
        <v>24</v>
      </c>
      <c r="K126">
        <v>3.4</v>
      </c>
      <c r="L126">
        <v>2665.19</v>
      </c>
    </row>
    <row r="127" spans="1:12" x14ac:dyDescent="0.35">
      <c r="A127" s="1">
        <v>45320</v>
      </c>
      <c r="B127" t="s">
        <v>12</v>
      </c>
      <c r="C127" t="s">
        <v>13</v>
      </c>
      <c r="D127" t="s">
        <v>14</v>
      </c>
      <c r="E127" t="s">
        <v>28</v>
      </c>
      <c r="F127" t="s">
        <v>29</v>
      </c>
      <c r="G127" t="s">
        <v>23</v>
      </c>
      <c r="H127">
        <v>449</v>
      </c>
      <c r="I127">
        <v>328</v>
      </c>
      <c r="J127">
        <v>32</v>
      </c>
      <c r="K127">
        <v>7.1</v>
      </c>
      <c r="L127">
        <v>1864.85</v>
      </c>
    </row>
    <row r="128" spans="1:12" x14ac:dyDescent="0.35">
      <c r="A128" s="1">
        <v>45320</v>
      </c>
      <c r="B128" t="s">
        <v>30</v>
      </c>
      <c r="C128" t="s">
        <v>31</v>
      </c>
      <c r="D128" t="s">
        <v>32</v>
      </c>
      <c r="E128" t="s">
        <v>15</v>
      </c>
      <c r="F128" t="s">
        <v>16</v>
      </c>
      <c r="G128" t="s">
        <v>17</v>
      </c>
      <c r="H128">
        <v>635</v>
      </c>
      <c r="I128">
        <v>583</v>
      </c>
      <c r="J128">
        <v>24</v>
      </c>
      <c r="K128">
        <v>3.8</v>
      </c>
      <c r="L128">
        <v>3044.7</v>
      </c>
    </row>
    <row r="129" spans="1:12" x14ac:dyDescent="0.35">
      <c r="A129" s="1">
        <v>45320</v>
      </c>
      <c r="B129" t="s">
        <v>30</v>
      </c>
      <c r="C129" t="s">
        <v>31</v>
      </c>
      <c r="D129" t="s">
        <v>32</v>
      </c>
      <c r="E129" t="s">
        <v>18</v>
      </c>
      <c r="F129" t="s">
        <v>19</v>
      </c>
      <c r="G129" t="s">
        <v>20</v>
      </c>
      <c r="H129">
        <v>513</v>
      </c>
      <c r="I129">
        <v>368</v>
      </c>
      <c r="J129">
        <v>19</v>
      </c>
      <c r="K129">
        <v>3.7</v>
      </c>
      <c r="L129">
        <v>1183.98</v>
      </c>
    </row>
    <row r="130" spans="1:12" x14ac:dyDescent="0.35">
      <c r="A130" s="1">
        <v>45320</v>
      </c>
      <c r="B130" t="s">
        <v>30</v>
      </c>
      <c r="C130" t="s">
        <v>31</v>
      </c>
      <c r="D130" t="s">
        <v>32</v>
      </c>
      <c r="E130" t="s">
        <v>21</v>
      </c>
      <c r="F130" t="s">
        <v>22</v>
      </c>
      <c r="G130" t="s">
        <v>23</v>
      </c>
      <c r="H130">
        <v>748</v>
      </c>
      <c r="I130">
        <v>678</v>
      </c>
      <c r="J130">
        <v>26</v>
      </c>
      <c r="K130">
        <v>3.5</v>
      </c>
      <c r="L130">
        <v>4699.6400000000003</v>
      </c>
    </row>
    <row r="131" spans="1:12" x14ac:dyDescent="0.35">
      <c r="A131" s="1">
        <v>45320</v>
      </c>
      <c r="B131" t="s">
        <v>30</v>
      </c>
      <c r="C131" t="s">
        <v>31</v>
      </c>
      <c r="D131" t="s">
        <v>32</v>
      </c>
      <c r="E131" t="s">
        <v>24</v>
      </c>
      <c r="F131" t="s">
        <v>25</v>
      </c>
      <c r="G131" t="s">
        <v>17</v>
      </c>
      <c r="H131">
        <v>483</v>
      </c>
      <c r="I131">
        <v>408</v>
      </c>
      <c r="J131">
        <v>33</v>
      </c>
      <c r="K131">
        <v>6.8</v>
      </c>
      <c r="L131">
        <v>1712.78</v>
      </c>
    </row>
    <row r="132" spans="1:12" x14ac:dyDescent="0.35">
      <c r="A132" s="1">
        <v>45320</v>
      </c>
      <c r="B132" t="s">
        <v>30</v>
      </c>
      <c r="C132" t="s">
        <v>31</v>
      </c>
      <c r="D132" t="s">
        <v>32</v>
      </c>
      <c r="E132" t="s">
        <v>26</v>
      </c>
      <c r="F132" t="s">
        <v>27</v>
      </c>
      <c r="G132" t="s">
        <v>20</v>
      </c>
      <c r="H132">
        <v>302</v>
      </c>
      <c r="I132">
        <v>264</v>
      </c>
      <c r="J132">
        <v>12</v>
      </c>
      <c r="K132">
        <v>4</v>
      </c>
      <c r="L132">
        <v>1138.79</v>
      </c>
    </row>
    <row r="133" spans="1:12" x14ac:dyDescent="0.35">
      <c r="A133" s="1">
        <v>45320</v>
      </c>
      <c r="B133" t="s">
        <v>30</v>
      </c>
      <c r="C133" t="s">
        <v>31</v>
      </c>
      <c r="D133" t="s">
        <v>32</v>
      </c>
      <c r="E133" t="s">
        <v>28</v>
      </c>
      <c r="F133" t="s">
        <v>29</v>
      </c>
      <c r="G133" t="s">
        <v>23</v>
      </c>
      <c r="H133">
        <v>746</v>
      </c>
      <c r="I133">
        <v>510</v>
      </c>
      <c r="J133">
        <v>20</v>
      </c>
      <c r="K133">
        <v>2.7</v>
      </c>
      <c r="L133">
        <v>2168.94</v>
      </c>
    </row>
    <row r="134" spans="1:12" x14ac:dyDescent="0.35">
      <c r="A134" s="1">
        <v>45320</v>
      </c>
      <c r="B134" t="s">
        <v>33</v>
      </c>
      <c r="C134" t="s">
        <v>34</v>
      </c>
      <c r="D134" t="s">
        <v>35</v>
      </c>
      <c r="E134" t="s">
        <v>15</v>
      </c>
      <c r="F134" t="s">
        <v>16</v>
      </c>
      <c r="G134" t="s">
        <v>17</v>
      </c>
      <c r="H134">
        <v>329</v>
      </c>
      <c r="I134">
        <v>270</v>
      </c>
      <c r="J134">
        <v>15</v>
      </c>
      <c r="K134">
        <v>4.5999999999999996</v>
      </c>
      <c r="L134">
        <v>694.87</v>
      </c>
    </row>
    <row r="135" spans="1:12" x14ac:dyDescent="0.35">
      <c r="A135" s="1">
        <v>45320</v>
      </c>
      <c r="B135" t="s">
        <v>33</v>
      </c>
      <c r="C135" t="s">
        <v>34</v>
      </c>
      <c r="D135" t="s">
        <v>35</v>
      </c>
      <c r="E135" t="s">
        <v>18</v>
      </c>
      <c r="F135" t="s">
        <v>19</v>
      </c>
      <c r="G135" t="s">
        <v>20</v>
      </c>
      <c r="H135">
        <v>491</v>
      </c>
      <c r="I135">
        <v>381</v>
      </c>
      <c r="J135">
        <v>22</v>
      </c>
      <c r="K135">
        <v>4.5</v>
      </c>
      <c r="L135">
        <v>1069.95</v>
      </c>
    </row>
    <row r="136" spans="1:12" x14ac:dyDescent="0.35">
      <c r="A136" s="1">
        <v>45320</v>
      </c>
      <c r="B136" t="s">
        <v>33</v>
      </c>
      <c r="C136" t="s">
        <v>34</v>
      </c>
      <c r="D136" t="s">
        <v>35</v>
      </c>
      <c r="E136" t="s">
        <v>21</v>
      </c>
      <c r="F136" t="s">
        <v>22</v>
      </c>
      <c r="G136" t="s">
        <v>23</v>
      </c>
      <c r="H136">
        <v>689</v>
      </c>
      <c r="I136">
        <v>469</v>
      </c>
      <c r="J136">
        <v>35</v>
      </c>
      <c r="K136">
        <v>5.0999999999999996</v>
      </c>
      <c r="L136">
        <v>2796.24</v>
      </c>
    </row>
    <row r="137" spans="1:12" x14ac:dyDescent="0.35">
      <c r="A137" s="1">
        <v>45320</v>
      </c>
      <c r="B137" t="s">
        <v>33</v>
      </c>
      <c r="C137" t="s">
        <v>34</v>
      </c>
      <c r="D137" t="s">
        <v>35</v>
      </c>
      <c r="E137" t="s">
        <v>24</v>
      </c>
      <c r="F137" t="s">
        <v>25</v>
      </c>
      <c r="G137" t="s">
        <v>17</v>
      </c>
      <c r="H137">
        <v>254</v>
      </c>
      <c r="I137">
        <v>175</v>
      </c>
      <c r="J137">
        <v>29</v>
      </c>
      <c r="K137">
        <v>11.4</v>
      </c>
      <c r="L137">
        <v>526.94000000000005</v>
      </c>
    </row>
    <row r="138" spans="1:12" x14ac:dyDescent="0.35">
      <c r="A138" s="1">
        <v>45320</v>
      </c>
      <c r="B138" t="s">
        <v>33</v>
      </c>
      <c r="C138" t="s">
        <v>34</v>
      </c>
      <c r="D138" t="s">
        <v>35</v>
      </c>
      <c r="E138" t="s">
        <v>26</v>
      </c>
      <c r="F138" t="s">
        <v>27</v>
      </c>
      <c r="G138" t="s">
        <v>20</v>
      </c>
      <c r="H138">
        <v>454</v>
      </c>
      <c r="I138">
        <v>309</v>
      </c>
      <c r="J138">
        <v>44</v>
      </c>
      <c r="K138">
        <v>9.6999999999999993</v>
      </c>
      <c r="L138">
        <v>2238.5300000000002</v>
      </c>
    </row>
    <row r="139" spans="1:12" x14ac:dyDescent="0.35">
      <c r="A139" s="1">
        <v>45320</v>
      </c>
      <c r="B139" t="s">
        <v>33</v>
      </c>
      <c r="C139" t="s">
        <v>34</v>
      </c>
      <c r="D139" t="s">
        <v>35</v>
      </c>
      <c r="E139" t="s">
        <v>28</v>
      </c>
      <c r="F139" t="s">
        <v>29</v>
      </c>
      <c r="G139" t="s">
        <v>23</v>
      </c>
      <c r="H139">
        <v>431</v>
      </c>
      <c r="I139">
        <v>370</v>
      </c>
      <c r="J139">
        <v>30</v>
      </c>
      <c r="K139">
        <v>7</v>
      </c>
      <c r="L139">
        <v>1585.12</v>
      </c>
    </row>
    <row r="140" spans="1:12" x14ac:dyDescent="0.35">
      <c r="A140" s="1">
        <v>45320</v>
      </c>
      <c r="B140" t="s">
        <v>36</v>
      </c>
      <c r="C140" t="s">
        <v>37</v>
      </c>
      <c r="D140" t="s">
        <v>38</v>
      </c>
      <c r="E140" t="s">
        <v>15</v>
      </c>
      <c r="F140" t="s">
        <v>16</v>
      </c>
      <c r="G140" t="s">
        <v>17</v>
      </c>
      <c r="H140">
        <v>639</v>
      </c>
      <c r="I140">
        <v>468</v>
      </c>
      <c r="J140">
        <v>51</v>
      </c>
      <c r="K140">
        <v>8</v>
      </c>
      <c r="L140">
        <v>3248.17</v>
      </c>
    </row>
    <row r="141" spans="1:12" x14ac:dyDescent="0.35">
      <c r="A141" s="1">
        <v>45320</v>
      </c>
      <c r="B141" t="s">
        <v>36</v>
      </c>
      <c r="C141" t="s">
        <v>37</v>
      </c>
      <c r="D141" t="s">
        <v>38</v>
      </c>
      <c r="E141" t="s">
        <v>18</v>
      </c>
      <c r="F141" t="s">
        <v>19</v>
      </c>
      <c r="G141" t="s">
        <v>20</v>
      </c>
      <c r="H141">
        <v>412</v>
      </c>
      <c r="I141">
        <v>337</v>
      </c>
      <c r="J141">
        <v>12</v>
      </c>
      <c r="K141">
        <v>2.9</v>
      </c>
      <c r="L141">
        <v>1327.51</v>
      </c>
    </row>
    <row r="142" spans="1:12" x14ac:dyDescent="0.35">
      <c r="A142" s="1">
        <v>45320</v>
      </c>
      <c r="B142" t="s">
        <v>36</v>
      </c>
      <c r="C142" t="s">
        <v>37</v>
      </c>
      <c r="D142" t="s">
        <v>38</v>
      </c>
      <c r="E142" t="s">
        <v>21</v>
      </c>
      <c r="F142" t="s">
        <v>22</v>
      </c>
      <c r="G142" t="s">
        <v>23</v>
      </c>
      <c r="H142">
        <v>765</v>
      </c>
      <c r="I142">
        <v>512</v>
      </c>
      <c r="J142">
        <v>35</v>
      </c>
      <c r="K142">
        <v>4.5999999999999996</v>
      </c>
      <c r="L142">
        <v>3104.19</v>
      </c>
    </row>
    <row r="143" spans="1:12" x14ac:dyDescent="0.35">
      <c r="A143" s="1">
        <v>45320</v>
      </c>
      <c r="B143" t="s">
        <v>36</v>
      </c>
      <c r="C143" t="s">
        <v>37</v>
      </c>
      <c r="D143" t="s">
        <v>38</v>
      </c>
      <c r="E143" t="s">
        <v>24</v>
      </c>
      <c r="F143" t="s">
        <v>25</v>
      </c>
      <c r="G143" t="s">
        <v>17</v>
      </c>
      <c r="H143">
        <v>498</v>
      </c>
      <c r="I143">
        <v>328</v>
      </c>
      <c r="J143">
        <v>27</v>
      </c>
      <c r="K143">
        <v>5.4</v>
      </c>
      <c r="L143">
        <v>2511.71</v>
      </c>
    </row>
    <row r="144" spans="1:12" x14ac:dyDescent="0.35">
      <c r="A144" s="1">
        <v>45320</v>
      </c>
      <c r="B144" t="s">
        <v>36</v>
      </c>
      <c r="C144" t="s">
        <v>37</v>
      </c>
      <c r="D144" t="s">
        <v>38</v>
      </c>
      <c r="E144" t="s">
        <v>26</v>
      </c>
      <c r="F144" t="s">
        <v>27</v>
      </c>
      <c r="G144" t="s">
        <v>20</v>
      </c>
      <c r="H144">
        <v>272</v>
      </c>
      <c r="I144">
        <v>227</v>
      </c>
      <c r="J144">
        <v>22</v>
      </c>
      <c r="K144">
        <v>8.1</v>
      </c>
      <c r="L144">
        <v>1418.83</v>
      </c>
    </row>
    <row r="145" spans="1:12" x14ac:dyDescent="0.35">
      <c r="A145" s="1">
        <v>45320</v>
      </c>
      <c r="B145" t="s">
        <v>36</v>
      </c>
      <c r="C145" t="s">
        <v>37</v>
      </c>
      <c r="D145" t="s">
        <v>38</v>
      </c>
      <c r="E145" t="s">
        <v>28</v>
      </c>
      <c r="F145" t="s">
        <v>29</v>
      </c>
      <c r="G145" t="s">
        <v>23</v>
      </c>
      <c r="H145">
        <v>402</v>
      </c>
      <c r="I145">
        <v>307</v>
      </c>
      <c r="J145">
        <v>30</v>
      </c>
      <c r="K145">
        <v>7.5</v>
      </c>
      <c r="L145">
        <v>2440.79</v>
      </c>
    </row>
    <row r="146" spans="1:12" x14ac:dyDescent="0.35">
      <c r="A146" s="1">
        <v>45320</v>
      </c>
      <c r="B146" t="s">
        <v>39</v>
      </c>
      <c r="C146" t="s">
        <v>40</v>
      </c>
      <c r="D146" t="s">
        <v>14</v>
      </c>
      <c r="E146" t="s">
        <v>15</v>
      </c>
      <c r="F146" t="s">
        <v>16</v>
      </c>
      <c r="G146" t="s">
        <v>17</v>
      </c>
      <c r="H146">
        <v>345</v>
      </c>
      <c r="I146">
        <v>230</v>
      </c>
      <c r="J146">
        <v>16</v>
      </c>
      <c r="K146">
        <v>4.5999999999999996</v>
      </c>
      <c r="L146">
        <v>1608.56</v>
      </c>
    </row>
    <row r="147" spans="1:12" x14ac:dyDescent="0.35">
      <c r="A147" s="1">
        <v>45320</v>
      </c>
      <c r="B147" t="s">
        <v>39</v>
      </c>
      <c r="C147" t="s">
        <v>40</v>
      </c>
      <c r="D147" t="s">
        <v>14</v>
      </c>
      <c r="E147" t="s">
        <v>18</v>
      </c>
      <c r="F147" t="s">
        <v>19</v>
      </c>
      <c r="G147" t="s">
        <v>20</v>
      </c>
      <c r="H147">
        <v>782</v>
      </c>
      <c r="I147">
        <v>702</v>
      </c>
      <c r="J147">
        <v>35</v>
      </c>
      <c r="K147">
        <v>4.5</v>
      </c>
      <c r="L147">
        <v>3035.83</v>
      </c>
    </row>
    <row r="148" spans="1:12" x14ac:dyDescent="0.35">
      <c r="A148" s="1">
        <v>45320</v>
      </c>
      <c r="B148" t="s">
        <v>39</v>
      </c>
      <c r="C148" t="s">
        <v>40</v>
      </c>
      <c r="D148" t="s">
        <v>14</v>
      </c>
      <c r="E148" t="s">
        <v>21</v>
      </c>
      <c r="F148" t="s">
        <v>22</v>
      </c>
      <c r="G148" t="s">
        <v>23</v>
      </c>
      <c r="H148">
        <v>612</v>
      </c>
      <c r="I148">
        <v>553</v>
      </c>
      <c r="J148">
        <v>28</v>
      </c>
      <c r="K148">
        <v>4.5999999999999996</v>
      </c>
      <c r="L148">
        <v>1649.41</v>
      </c>
    </row>
    <row r="149" spans="1:12" x14ac:dyDescent="0.35">
      <c r="A149" s="1">
        <v>45320</v>
      </c>
      <c r="B149" t="s">
        <v>39</v>
      </c>
      <c r="C149" t="s">
        <v>40</v>
      </c>
      <c r="D149" t="s">
        <v>14</v>
      </c>
      <c r="E149" t="s">
        <v>24</v>
      </c>
      <c r="F149" t="s">
        <v>25</v>
      </c>
      <c r="G149" t="s">
        <v>17</v>
      </c>
      <c r="H149">
        <v>240</v>
      </c>
      <c r="I149">
        <v>213</v>
      </c>
      <c r="J149">
        <v>14</v>
      </c>
      <c r="K149">
        <v>5.8</v>
      </c>
      <c r="L149">
        <v>565.55999999999995</v>
      </c>
    </row>
    <row r="150" spans="1:12" x14ac:dyDescent="0.35">
      <c r="A150" s="1">
        <v>45320</v>
      </c>
      <c r="B150" t="s">
        <v>39</v>
      </c>
      <c r="C150" t="s">
        <v>40</v>
      </c>
      <c r="D150" t="s">
        <v>14</v>
      </c>
      <c r="E150" t="s">
        <v>26</v>
      </c>
      <c r="F150" t="s">
        <v>27</v>
      </c>
      <c r="G150" t="s">
        <v>20</v>
      </c>
      <c r="H150">
        <v>434</v>
      </c>
      <c r="I150">
        <v>394</v>
      </c>
      <c r="J150">
        <v>24</v>
      </c>
      <c r="K150">
        <v>5.5</v>
      </c>
      <c r="L150">
        <v>3232.66</v>
      </c>
    </row>
    <row r="151" spans="1:12" x14ac:dyDescent="0.35">
      <c r="A151" s="1">
        <v>45320</v>
      </c>
      <c r="B151" t="s">
        <v>39</v>
      </c>
      <c r="C151" t="s">
        <v>40</v>
      </c>
      <c r="D151" t="s">
        <v>14</v>
      </c>
      <c r="E151" t="s">
        <v>28</v>
      </c>
      <c r="F151" t="s">
        <v>29</v>
      </c>
      <c r="G151" t="s">
        <v>23</v>
      </c>
      <c r="H151">
        <v>475</v>
      </c>
      <c r="I151">
        <v>382</v>
      </c>
      <c r="J151">
        <v>25</v>
      </c>
      <c r="K151">
        <v>5.3</v>
      </c>
      <c r="L151">
        <v>2144.4699999999998</v>
      </c>
    </row>
    <row r="152" spans="1:12" x14ac:dyDescent="0.35">
      <c r="A152" s="1">
        <v>45327</v>
      </c>
      <c r="B152" t="s">
        <v>12</v>
      </c>
      <c r="C152" t="s">
        <v>13</v>
      </c>
      <c r="D152" t="s">
        <v>14</v>
      </c>
      <c r="E152" t="s">
        <v>15</v>
      </c>
      <c r="F152" t="s">
        <v>16</v>
      </c>
      <c r="G152" t="s">
        <v>17</v>
      </c>
      <c r="H152">
        <v>652</v>
      </c>
      <c r="I152">
        <v>585</v>
      </c>
      <c r="J152">
        <v>30</v>
      </c>
      <c r="K152">
        <v>4.5999999999999996</v>
      </c>
      <c r="L152">
        <v>3690.59</v>
      </c>
    </row>
    <row r="153" spans="1:12" x14ac:dyDescent="0.35">
      <c r="A153" s="1">
        <v>45327</v>
      </c>
      <c r="B153" t="s">
        <v>12</v>
      </c>
      <c r="C153" t="s">
        <v>13</v>
      </c>
      <c r="D153" t="s">
        <v>14</v>
      </c>
      <c r="E153" t="s">
        <v>18</v>
      </c>
      <c r="F153" t="s">
        <v>19</v>
      </c>
      <c r="G153" t="s">
        <v>20</v>
      </c>
      <c r="H153">
        <v>703</v>
      </c>
      <c r="I153">
        <v>640</v>
      </c>
      <c r="J153">
        <v>29</v>
      </c>
      <c r="K153">
        <v>4.0999999999999996</v>
      </c>
      <c r="L153">
        <v>2832.86</v>
      </c>
    </row>
    <row r="154" spans="1:12" x14ac:dyDescent="0.35">
      <c r="A154" s="1">
        <v>45327</v>
      </c>
      <c r="B154" t="s">
        <v>12</v>
      </c>
      <c r="C154" t="s">
        <v>13</v>
      </c>
      <c r="D154" t="s">
        <v>14</v>
      </c>
      <c r="E154" t="s">
        <v>21</v>
      </c>
      <c r="F154" t="s">
        <v>22</v>
      </c>
      <c r="G154" t="s">
        <v>23</v>
      </c>
      <c r="H154">
        <v>307</v>
      </c>
      <c r="I154">
        <v>270</v>
      </c>
      <c r="J154">
        <v>17</v>
      </c>
      <c r="K154">
        <v>5.5</v>
      </c>
      <c r="L154">
        <v>1141.9100000000001</v>
      </c>
    </row>
    <row r="155" spans="1:12" x14ac:dyDescent="0.35">
      <c r="A155" s="1">
        <v>45327</v>
      </c>
      <c r="B155" t="s">
        <v>12</v>
      </c>
      <c r="C155" t="s">
        <v>13</v>
      </c>
      <c r="D155" t="s">
        <v>14</v>
      </c>
      <c r="E155" t="s">
        <v>24</v>
      </c>
      <c r="F155" t="s">
        <v>25</v>
      </c>
      <c r="G155" t="s">
        <v>17</v>
      </c>
      <c r="H155">
        <v>610</v>
      </c>
      <c r="I155">
        <v>530</v>
      </c>
      <c r="J155">
        <v>31</v>
      </c>
      <c r="K155">
        <v>5.0999999999999996</v>
      </c>
      <c r="L155">
        <v>2325.16</v>
      </c>
    </row>
    <row r="156" spans="1:12" x14ac:dyDescent="0.35">
      <c r="A156" s="1">
        <v>45327</v>
      </c>
      <c r="B156" t="s">
        <v>12</v>
      </c>
      <c r="C156" t="s">
        <v>13</v>
      </c>
      <c r="D156" t="s">
        <v>14</v>
      </c>
      <c r="E156" t="s">
        <v>26</v>
      </c>
      <c r="F156" t="s">
        <v>27</v>
      </c>
      <c r="G156" t="s">
        <v>20</v>
      </c>
      <c r="H156">
        <v>531</v>
      </c>
      <c r="I156">
        <v>361</v>
      </c>
      <c r="J156">
        <v>58</v>
      </c>
      <c r="K156">
        <v>10.9</v>
      </c>
      <c r="L156">
        <v>2689.29</v>
      </c>
    </row>
    <row r="157" spans="1:12" x14ac:dyDescent="0.35">
      <c r="A157" s="1">
        <v>45327</v>
      </c>
      <c r="B157" t="s">
        <v>12</v>
      </c>
      <c r="C157" t="s">
        <v>13</v>
      </c>
      <c r="D157" t="s">
        <v>14</v>
      </c>
      <c r="E157" t="s">
        <v>28</v>
      </c>
      <c r="F157" t="s">
        <v>29</v>
      </c>
      <c r="G157" t="s">
        <v>23</v>
      </c>
      <c r="H157">
        <v>201</v>
      </c>
      <c r="I157">
        <v>166</v>
      </c>
      <c r="J157">
        <v>10</v>
      </c>
      <c r="K157">
        <v>5</v>
      </c>
      <c r="L157">
        <v>601.83000000000004</v>
      </c>
    </row>
    <row r="158" spans="1:12" x14ac:dyDescent="0.35">
      <c r="A158" s="1">
        <v>45327</v>
      </c>
      <c r="B158" t="s">
        <v>30</v>
      </c>
      <c r="C158" t="s">
        <v>31</v>
      </c>
      <c r="D158" t="s">
        <v>32</v>
      </c>
      <c r="E158" t="s">
        <v>15</v>
      </c>
      <c r="F158" t="s">
        <v>16</v>
      </c>
      <c r="G158" t="s">
        <v>17</v>
      </c>
      <c r="H158">
        <v>570</v>
      </c>
      <c r="I158">
        <v>466</v>
      </c>
      <c r="J158">
        <v>31</v>
      </c>
      <c r="K158">
        <v>5.4</v>
      </c>
      <c r="L158">
        <v>1309.31</v>
      </c>
    </row>
    <row r="159" spans="1:12" x14ac:dyDescent="0.35">
      <c r="A159" s="1">
        <v>45327</v>
      </c>
      <c r="B159" t="s">
        <v>30</v>
      </c>
      <c r="C159" t="s">
        <v>31</v>
      </c>
      <c r="D159" t="s">
        <v>32</v>
      </c>
      <c r="E159" t="s">
        <v>18</v>
      </c>
      <c r="F159" t="s">
        <v>19</v>
      </c>
      <c r="G159" t="s">
        <v>20</v>
      </c>
      <c r="H159">
        <v>473</v>
      </c>
      <c r="I159">
        <v>377</v>
      </c>
      <c r="J159">
        <v>34</v>
      </c>
      <c r="K159">
        <v>7.2</v>
      </c>
      <c r="L159">
        <v>2521.94</v>
      </c>
    </row>
    <row r="160" spans="1:12" x14ac:dyDescent="0.35">
      <c r="A160" s="1">
        <v>45327</v>
      </c>
      <c r="B160" t="s">
        <v>30</v>
      </c>
      <c r="C160" t="s">
        <v>31</v>
      </c>
      <c r="D160" t="s">
        <v>32</v>
      </c>
      <c r="E160" t="s">
        <v>21</v>
      </c>
      <c r="F160" t="s">
        <v>22</v>
      </c>
      <c r="G160" t="s">
        <v>23</v>
      </c>
      <c r="H160">
        <v>324</v>
      </c>
      <c r="I160">
        <v>213</v>
      </c>
      <c r="J160">
        <v>33</v>
      </c>
      <c r="K160">
        <v>10.199999999999999</v>
      </c>
      <c r="L160">
        <v>1439.6</v>
      </c>
    </row>
    <row r="161" spans="1:12" x14ac:dyDescent="0.35">
      <c r="A161" s="1">
        <v>45327</v>
      </c>
      <c r="B161" t="s">
        <v>30</v>
      </c>
      <c r="C161" t="s">
        <v>31</v>
      </c>
      <c r="D161" t="s">
        <v>32</v>
      </c>
      <c r="E161" t="s">
        <v>24</v>
      </c>
      <c r="F161" t="s">
        <v>25</v>
      </c>
      <c r="G161" t="s">
        <v>17</v>
      </c>
      <c r="H161">
        <v>518</v>
      </c>
      <c r="I161">
        <v>413</v>
      </c>
      <c r="J161">
        <v>22</v>
      </c>
      <c r="K161">
        <v>4.2</v>
      </c>
      <c r="L161">
        <v>3491.31</v>
      </c>
    </row>
    <row r="162" spans="1:12" x14ac:dyDescent="0.35">
      <c r="A162" s="1">
        <v>45327</v>
      </c>
      <c r="B162" t="s">
        <v>30</v>
      </c>
      <c r="C162" t="s">
        <v>31</v>
      </c>
      <c r="D162" t="s">
        <v>32</v>
      </c>
      <c r="E162" t="s">
        <v>26</v>
      </c>
      <c r="F162" t="s">
        <v>27</v>
      </c>
      <c r="G162" t="s">
        <v>20</v>
      </c>
      <c r="H162">
        <v>316</v>
      </c>
      <c r="I162">
        <v>244</v>
      </c>
      <c r="J162">
        <v>20</v>
      </c>
      <c r="K162">
        <v>6.3</v>
      </c>
      <c r="L162">
        <v>1339.62</v>
      </c>
    </row>
    <row r="163" spans="1:12" x14ac:dyDescent="0.35">
      <c r="A163" s="1">
        <v>45327</v>
      </c>
      <c r="B163" t="s">
        <v>30</v>
      </c>
      <c r="C163" t="s">
        <v>31</v>
      </c>
      <c r="D163" t="s">
        <v>32</v>
      </c>
      <c r="E163" t="s">
        <v>28</v>
      </c>
      <c r="F163" t="s">
        <v>29</v>
      </c>
      <c r="G163" t="s">
        <v>23</v>
      </c>
      <c r="H163">
        <v>498</v>
      </c>
      <c r="I163">
        <v>392</v>
      </c>
      <c r="J163">
        <v>35</v>
      </c>
      <c r="K163">
        <v>7</v>
      </c>
      <c r="L163">
        <v>3285.54</v>
      </c>
    </row>
    <row r="164" spans="1:12" x14ac:dyDescent="0.35">
      <c r="A164" s="1">
        <v>45327</v>
      </c>
      <c r="B164" t="s">
        <v>33</v>
      </c>
      <c r="C164" t="s">
        <v>34</v>
      </c>
      <c r="D164" t="s">
        <v>35</v>
      </c>
      <c r="E164" t="s">
        <v>15</v>
      </c>
      <c r="F164" t="s">
        <v>16</v>
      </c>
      <c r="G164" t="s">
        <v>17</v>
      </c>
      <c r="H164">
        <v>449</v>
      </c>
      <c r="I164">
        <v>347</v>
      </c>
      <c r="J164">
        <v>15</v>
      </c>
      <c r="K164">
        <v>3.3</v>
      </c>
      <c r="L164">
        <v>2115.4</v>
      </c>
    </row>
    <row r="165" spans="1:12" x14ac:dyDescent="0.35">
      <c r="A165" s="1">
        <v>45327</v>
      </c>
      <c r="B165" t="s">
        <v>33</v>
      </c>
      <c r="C165" t="s">
        <v>34</v>
      </c>
      <c r="D165" t="s">
        <v>35</v>
      </c>
      <c r="E165" t="s">
        <v>18</v>
      </c>
      <c r="F165" t="s">
        <v>19</v>
      </c>
      <c r="G165" t="s">
        <v>20</v>
      </c>
      <c r="H165">
        <v>339</v>
      </c>
      <c r="I165">
        <v>299</v>
      </c>
      <c r="J165">
        <v>20</v>
      </c>
      <c r="K165">
        <v>5.9</v>
      </c>
      <c r="L165">
        <v>1491.91</v>
      </c>
    </row>
    <row r="166" spans="1:12" x14ac:dyDescent="0.35">
      <c r="A166" s="1">
        <v>45327</v>
      </c>
      <c r="B166" t="s">
        <v>33</v>
      </c>
      <c r="C166" t="s">
        <v>34</v>
      </c>
      <c r="D166" t="s">
        <v>35</v>
      </c>
      <c r="E166" t="s">
        <v>21</v>
      </c>
      <c r="F166" t="s">
        <v>22</v>
      </c>
      <c r="G166" t="s">
        <v>23</v>
      </c>
      <c r="H166">
        <v>719</v>
      </c>
      <c r="I166">
        <v>519</v>
      </c>
      <c r="J166">
        <v>41</v>
      </c>
      <c r="K166">
        <v>5.7</v>
      </c>
      <c r="L166">
        <v>3905.4</v>
      </c>
    </row>
    <row r="167" spans="1:12" x14ac:dyDescent="0.35">
      <c r="A167" s="1">
        <v>45327</v>
      </c>
      <c r="B167" t="s">
        <v>33</v>
      </c>
      <c r="C167" t="s">
        <v>34</v>
      </c>
      <c r="D167" t="s">
        <v>35</v>
      </c>
      <c r="E167" t="s">
        <v>24</v>
      </c>
      <c r="F167" t="s">
        <v>25</v>
      </c>
      <c r="G167" t="s">
        <v>17</v>
      </c>
      <c r="H167">
        <v>793</v>
      </c>
      <c r="I167">
        <v>729</v>
      </c>
      <c r="J167">
        <v>22</v>
      </c>
      <c r="K167">
        <v>2.8</v>
      </c>
      <c r="L167">
        <v>4178.25</v>
      </c>
    </row>
    <row r="168" spans="1:12" x14ac:dyDescent="0.35">
      <c r="A168" s="1">
        <v>45327</v>
      </c>
      <c r="B168" t="s">
        <v>33</v>
      </c>
      <c r="C168" t="s">
        <v>34</v>
      </c>
      <c r="D168" t="s">
        <v>35</v>
      </c>
      <c r="E168" t="s">
        <v>26</v>
      </c>
      <c r="F168" t="s">
        <v>27</v>
      </c>
      <c r="G168" t="s">
        <v>20</v>
      </c>
      <c r="H168">
        <v>553</v>
      </c>
      <c r="I168">
        <v>409</v>
      </c>
      <c r="J168">
        <v>41</v>
      </c>
      <c r="K168">
        <v>7.4</v>
      </c>
      <c r="L168">
        <v>3311.72</v>
      </c>
    </row>
    <row r="169" spans="1:12" x14ac:dyDescent="0.35">
      <c r="A169" s="1">
        <v>45327</v>
      </c>
      <c r="B169" t="s">
        <v>33</v>
      </c>
      <c r="C169" t="s">
        <v>34</v>
      </c>
      <c r="D169" t="s">
        <v>35</v>
      </c>
      <c r="E169" t="s">
        <v>28</v>
      </c>
      <c r="F169" t="s">
        <v>29</v>
      </c>
      <c r="G169" t="s">
        <v>23</v>
      </c>
      <c r="H169">
        <v>393</v>
      </c>
      <c r="I169">
        <v>359</v>
      </c>
      <c r="J169">
        <v>14</v>
      </c>
      <c r="K169">
        <v>3.6</v>
      </c>
      <c r="L169">
        <v>2741.35</v>
      </c>
    </row>
    <row r="170" spans="1:12" x14ac:dyDescent="0.35">
      <c r="A170" s="1">
        <v>45327</v>
      </c>
      <c r="B170" t="s">
        <v>36</v>
      </c>
      <c r="C170" t="s">
        <v>37</v>
      </c>
      <c r="D170" t="s">
        <v>38</v>
      </c>
      <c r="E170" t="s">
        <v>15</v>
      </c>
      <c r="F170" t="s">
        <v>16</v>
      </c>
      <c r="G170" t="s">
        <v>17</v>
      </c>
      <c r="H170">
        <v>620</v>
      </c>
      <c r="I170">
        <v>410</v>
      </c>
      <c r="J170">
        <v>64</v>
      </c>
      <c r="K170">
        <v>10.3</v>
      </c>
      <c r="L170">
        <v>3021.07</v>
      </c>
    </row>
    <row r="171" spans="1:12" x14ac:dyDescent="0.35">
      <c r="A171" s="1">
        <v>45327</v>
      </c>
      <c r="B171" t="s">
        <v>36</v>
      </c>
      <c r="C171" t="s">
        <v>37</v>
      </c>
      <c r="D171" t="s">
        <v>38</v>
      </c>
      <c r="E171" t="s">
        <v>18</v>
      </c>
      <c r="F171" t="s">
        <v>19</v>
      </c>
      <c r="G171" t="s">
        <v>20</v>
      </c>
      <c r="H171">
        <v>595</v>
      </c>
      <c r="I171">
        <v>545</v>
      </c>
      <c r="J171">
        <v>34</v>
      </c>
      <c r="K171">
        <v>5.7</v>
      </c>
      <c r="L171">
        <v>1859.88</v>
      </c>
    </row>
    <row r="172" spans="1:12" x14ac:dyDescent="0.35">
      <c r="A172" s="1">
        <v>45327</v>
      </c>
      <c r="B172" t="s">
        <v>36</v>
      </c>
      <c r="C172" t="s">
        <v>37</v>
      </c>
      <c r="D172" t="s">
        <v>38</v>
      </c>
      <c r="E172" t="s">
        <v>21</v>
      </c>
      <c r="F172" t="s">
        <v>22</v>
      </c>
      <c r="G172" t="s">
        <v>23</v>
      </c>
      <c r="H172">
        <v>237</v>
      </c>
      <c r="I172">
        <v>162</v>
      </c>
      <c r="J172">
        <v>22</v>
      </c>
      <c r="K172">
        <v>9.3000000000000007</v>
      </c>
      <c r="L172">
        <v>502.55</v>
      </c>
    </row>
    <row r="173" spans="1:12" x14ac:dyDescent="0.35">
      <c r="A173" s="1">
        <v>45327</v>
      </c>
      <c r="B173" t="s">
        <v>36</v>
      </c>
      <c r="C173" t="s">
        <v>37</v>
      </c>
      <c r="D173" t="s">
        <v>38</v>
      </c>
      <c r="E173" t="s">
        <v>24</v>
      </c>
      <c r="F173" t="s">
        <v>25</v>
      </c>
      <c r="G173" t="s">
        <v>17</v>
      </c>
      <c r="H173">
        <v>650</v>
      </c>
      <c r="I173">
        <v>439</v>
      </c>
      <c r="J173">
        <v>50</v>
      </c>
      <c r="K173">
        <v>7.7</v>
      </c>
      <c r="L173">
        <v>1477.21</v>
      </c>
    </row>
    <row r="174" spans="1:12" x14ac:dyDescent="0.35">
      <c r="A174" s="1">
        <v>45327</v>
      </c>
      <c r="B174" t="s">
        <v>36</v>
      </c>
      <c r="C174" t="s">
        <v>37</v>
      </c>
      <c r="D174" t="s">
        <v>38</v>
      </c>
      <c r="E174" t="s">
        <v>26</v>
      </c>
      <c r="F174" t="s">
        <v>27</v>
      </c>
      <c r="G174" t="s">
        <v>20</v>
      </c>
      <c r="H174">
        <v>358</v>
      </c>
      <c r="I174">
        <v>239</v>
      </c>
      <c r="J174">
        <v>29</v>
      </c>
      <c r="K174">
        <v>8.1</v>
      </c>
      <c r="L174">
        <v>1491.25</v>
      </c>
    </row>
    <row r="175" spans="1:12" x14ac:dyDescent="0.35">
      <c r="A175" s="1">
        <v>45327</v>
      </c>
      <c r="B175" t="s">
        <v>36</v>
      </c>
      <c r="C175" t="s">
        <v>37</v>
      </c>
      <c r="D175" t="s">
        <v>38</v>
      </c>
      <c r="E175" t="s">
        <v>28</v>
      </c>
      <c r="F175" t="s">
        <v>29</v>
      </c>
      <c r="G175" t="s">
        <v>23</v>
      </c>
      <c r="H175">
        <v>607</v>
      </c>
      <c r="I175">
        <v>501</v>
      </c>
      <c r="J175">
        <v>52</v>
      </c>
      <c r="K175">
        <v>8.6</v>
      </c>
      <c r="L175">
        <v>3835.68</v>
      </c>
    </row>
    <row r="176" spans="1:12" x14ac:dyDescent="0.35">
      <c r="A176" s="1">
        <v>45327</v>
      </c>
      <c r="B176" t="s">
        <v>39</v>
      </c>
      <c r="C176" t="s">
        <v>40</v>
      </c>
      <c r="D176" t="s">
        <v>14</v>
      </c>
      <c r="E176" t="s">
        <v>15</v>
      </c>
      <c r="F176" t="s">
        <v>16</v>
      </c>
      <c r="G176" t="s">
        <v>17</v>
      </c>
      <c r="H176">
        <v>589</v>
      </c>
      <c r="I176">
        <v>534</v>
      </c>
      <c r="J176">
        <v>40</v>
      </c>
      <c r="K176">
        <v>6.8</v>
      </c>
      <c r="L176">
        <v>2898.38</v>
      </c>
    </row>
    <row r="177" spans="1:12" x14ac:dyDescent="0.35">
      <c r="A177" s="1">
        <v>45327</v>
      </c>
      <c r="B177" t="s">
        <v>39</v>
      </c>
      <c r="C177" t="s">
        <v>40</v>
      </c>
      <c r="D177" t="s">
        <v>14</v>
      </c>
      <c r="E177" t="s">
        <v>18</v>
      </c>
      <c r="F177" t="s">
        <v>19</v>
      </c>
      <c r="G177" t="s">
        <v>20</v>
      </c>
      <c r="H177">
        <v>754</v>
      </c>
      <c r="I177">
        <v>497</v>
      </c>
      <c r="J177">
        <v>44</v>
      </c>
      <c r="K177">
        <v>5.8</v>
      </c>
      <c r="L177">
        <v>3988.71</v>
      </c>
    </row>
    <row r="178" spans="1:12" x14ac:dyDescent="0.35">
      <c r="A178" s="1">
        <v>45327</v>
      </c>
      <c r="B178" t="s">
        <v>39</v>
      </c>
      <c r="C178" t="s">
        <v>40</v>
      </c>
      <c r="D178" t="s">
        <v>14</v>
      </c>
      <c r="E178" t="s">
        <v>21</v>
      </c>
      <c r="F178" t="s">
        <v>22</v>
      </c>
      <c r="G178" t="s">
        <v>23</v>
      </c>
      <c r="H178">
        <v>432</v>
      </c>
      <c r="I178">
        <v>367</v>
      </c>
      <c r="J178">
        <v>14</v>
      </c>
      <c r="K178">
        <v>3.2</v>
      </c>
      <c r="L178">
        <v>2313.0100000000002</v>
      </c>
    </row>
    <row r="179" spans="1:12" x14ac:dyDescent="0.35">
      <c r="A179" s="1">
        <v>45327</v>
      </c>
      <c r="B179" t="s">
        <v>39</v>
      </c>
      <c r="C179" t="s">
        <v>40</v>
      </c>
      <c r="D179" t="s">
        <v>14</v>
      </c>
      <c r="E179" t="s">
        <v>24</v>
      </c>
      <c r="F179" t="s">
        <v>25</v>
      </c>
      <c r="G179" t="s">
        <v>17</v>
      </c>
      <c r="H179">
        <v>302</v>
      </c>
      <c r="I179">
        <v>232</v>
      </c>
      <c r="J179">
        <v>28</v>
      </c>
      <c r="K179">
        <v>9.3000000000000007</v>
      </c>
      <c r="L179">
        <v>644.02</v>
      </c>
    </row>
    <row r="180" spans="1:12" x14ac:dyDescent="0.35">
      <c r="A180" s="1">
        <v>45327</v>
      </c>
      <c r="B180" t="s">
        <v>39</v>
      </c>
      <c r="C180" t="s">
        <v>40</v>
      </c>
      <c r="D180" t="s">
        <v>14</v>
      </c>
      <c r="E180" t="s">
        <v>26</v>
      </c>
      <c r="F180" t="s">
        <v>27</v>
      </c>
      <c r="G180" t="s">
        <v>20</v>
      </c>
      <c r="H180">
        <v>257</v>
      </c>
      <c r="I180">
        <v>187</v>
      </c>
      <c r="J180">
        <v>11</v>
      </c>
      <c r="K180">
        <v>4.3</v>
      </c>
      <c r="L180">
        <v>1063.47</v>
      </c>
    </row>
    <row r="181" spans="1:12" x14ac:dyDescent="0.35">
      <c r="A181" s="1">
        <v>45327</v>
      </c>
      <c r="B181" t="s">
        <v>39</v>
      </c>
      <c r="C181" t="s">
        <v>40</v>
      </c>
      <c r="D181" t="s">
        <v>14</v>
      </c>
      <c r="E181" t="s">
        <v>28</v>
      </c>
      <c r="F181" t="s">
        <v>29</v>
      </c>
      <c r="G181" t="s">
        <v>23</v>
      </c>
      <c r="H181">
        <v>779</v>
      </c>
      <c r="I181">
        <v>649</v>
      </c>
      <c r="J181">
        <v>24</v>
      </c>
      <c r="K181">
        <v>3.1</v>
      </c>
      <c r="L181">
        <v>3995.86</v>
      </c>
    </row>
    <row r="182" spans="1:12" x14ac:dyDescent="0.35">
      <c r="A182" s="1">
        <v>45334</v>
      </c>
      <c r="B182" t="s">
        <v>12</v>
      </c>
      <c r="C182" t="s">
        <v>13</v>
      </c>
      <c r="D182" t="s">
        <v>14</v>
      </c>
      <c r="E182" t="s">
        <v>15</v>
      </c>
      <c r="F182" t="s">
        <v>16</v>
      </c>
      <c r="G182" t="s">
        <v>17</v>
      </c>
      <c r="H182">
        <v>591</v>
      </c>
      <c r="I182">
        <v>483</v>
      </c>
      <c r="J182">
        <v>41</v>
      </c>
      <c r="K182">
        <v>6.9</v>
      </c>
      <c r="L182">
        <v>1622.26</v>
      </c>
    </row>
    <row r="183" spans="1:12" x14ac:dyDescent="0.35">
      <c r="A183" s="1">
        <v>45334</v>
      </c>
      <c r="B183" t="s">
        <v>12</v>
      </c>
      <c r="C183" t="s">
        <v>13</v>
      </c>
      <c r="D183" t="s">
        <v>14</v>
      </c>
      <c r="E183" t="s">
        <v>18</v>
      </c>
      <c r="F183" t="s">
        <v>19</v>
      </c>
      <c r="G183" t="s">
        <v>20</v>
      </c>
      <c r="H183">
        <v>672</v>
      </c>
      <c r="I183">
        <v>552</v>
      </c>
      <c r="J183">
        <v>43</v>
      </c>
      <c r="K183">
        <v>6.4</v>
      </c>
      <c r="L183">
        <v>4357.1899999999996</v>
      </c>
    </row>
    <row r="184" spans="1:12" x14ac:dyDescent="0.35">
      <c r="A184" s="1">
        <v>45334</v>
      </c>
      <c r="B184" t="s">
        <v>12</v>
      </c>
      <c r="C184" t="s">
        <v>13</v>
      </c>
      <c r="D184" t="s">
        <v>14</v>
      </c>
      <c r="E184" t="s">
        <v>21</v>
      </c>
      <c r="F184" t="s">
        <v>22</v>
      </c>
      <c r="G184" t="s">
        <v>23</v>
      </c>
      <c r="H184">
        <v>676</v>
      </c>
      <c r="I184">
        <v>603</v>
      </c>
      <c r="J184">
        <v>23</v>
      </c>
      <c r="K184">
        <v>3.4</v>
      </c>
      <c r="L184">
        <v>3105.68</v>
      </c>
    </row>
    <row r="185" spans="1:12" x14ac:dyDescent="0.35">
      <c r="A185" s="1">
        <v>45334</v>
      </c>
      <c r="B185" t="s">
        <v>12</v>
      </c>
      <c r="C185" t="s">
        <v>13</v>
      </c>
      <c r="D185" t="s">
        <v>14</v>
      </c>
      <c r="E185" t="s">
        <v>24</v>
      </c>
      <c r="F185" t="s">
        <v>25</v>
      </c>
      <c r="G185" t="s">
        <v>17</v>
      </c>
      <c r="H185">
        <v>553</v>
      </c>
      <c r="I185">
        <v>506</v>
      </c>
      <c r="J185">
        <v>36</v>
      </c>
      <c r="K185">
        <v>6.5</v>
      </c>
      <c r="L185">
        <v>3360.79</v>
      </c>
    </row>
    <row r="186" spans="1:12" x14ac:dyDescent="0.35">
      <c r="A186" s="1">
        <v>45334</v>
      </c>
      <c r="B186" t="s">
        <v>12</v>
      </c>
      <c r="C186" t="s">
        <v>13</v>
      </c>
      <c r="D186" t="s">
        <v>14</v>
      </c>
      <c r="E186" t="s">
        <v>26</v>
      </c>
      <c r="F186" t="s">
        <v>27</v>
      </c>
      <c r="G186" t="s">
        <v>20</v>
      </c>
      <c r="H186">
        <v>667</v>
      </c>
      <c r="I186">
        <v>585</v>
      </c>
      <c r="J186">
        <v>25</v>
      </c>
      <c r="K186">
        <v>3.7</v>
      </c>
      <c r="L186">
        <v>3158.56</v>
      </c>
    </row>
    <row r="187" spans="1:12" x14ac:dyDescent="0.35">
      <c r="A187" s="1">
        <v>45334</v>
      </c>
      <c r="B187" t="s">
        <v>12</v>
      </c>
      <c r="C187" t="s">
        <v>13</v>
      </c>
      <c r="D187" t="s">
        <v>14</v>
      </c>
      <c r="E187" t="s">
        <v>28</v>
      </c>
      <c r="F187" t="s">
        <v>29</v>
      </c>
      <c r="G187" t="s">
        <v>23</v>
      </c>
      <c r="H187">
        <v>442</v>
      </c>
      <c r="I187">
        <v>332</v>
      </c>
      <c r="J187">
        <v>22</v>
      </c>
      <c r="K187">
        <v>5</v>
      </c>
      <c r="L187">
        <v>2222.96</v>
      </c>
    </row>
    <row r="188" spans="1:12" x14ac:dyDescent="0.35">
      <c r="A188" s="1">
        <v>45334</v>
      </c>
      <c r="B188" t="s">
        <v>30</v>
      </c>
      <c r="C188" t="s">
        <v>31</v>
      </c>
      <c r="D188" t="s">
        <v>32</v>
      </c>
      <c r="E188" t="s">
        <v>15</v>
      </c>
      <c r="F188" t="s">
        <v>16</v>
      </c>
      <c r="G188" t="s">
        <v>17</v>
      </c>
      <c r="H188">
        <v>222</v>
      </c>
      <c r="I188">
        <v>202</v>
      </c>
      <c r="J188">
        <v>8</v>
      </c>
      <c r="K188">
        <v>3.6</v>
      </c>
      <c r="L188">
        <v>1190.9100000000001</v>
      </c>
    </row>
    <row r="189" spans="1:12" x14ac:dyDescent="0.35">
      <c r="A189" s="1">
        <v>45334</v>
      </c>
      <c r="B189" t="s">
        <v>30</v>
      </c>
      <c r="C189" t="s">
        <v>31</v>
      </c>
      <c r="D189" t="s">
        <v>32</v>
      </c>
      <c r="E189" t="s">
        <v>18</v>
      </c>
      <c r="F189" t="s">
        <v>19</v>
      </c>
      <c r="G189" t="s">
        <v>20</v>
      </c>
      <c r="H189">
        <v>250</v>
      </c>
      <c r="I189">
        <v>223</v>
      </c>
      <c r="J189">
        <v>17</v>
      </c>
      <c r="K189">
        <v>6.8</v>
      </c>
      <c r="L189">
        <v>1765.63</v>
      </c>
    </row>
    <row r="190" spans="1:12" x14ac:dyDescent="0.35">
      <c r="A190" s="1">
        <v>45334</v>
      </c>
      <c r="B190" t="s">
        <v>30</v>
      </c>
      <c r="C190" t="s">
        <v>31</v>
      </c>
      <c r="D190" t="s">
        <v>32</v>
      </c>
      <c r="E190" t="s">
        <v>21</v>
      </c>
      <c r="F190" t="s">
        <v>22</v>
      </c>
      <c r="G190" t="s">
        <v>23</v>
      </c>
      <c r="H190">
        <v>435</v>
      </c>
      <c r="I190">
        <v>354</v>
      </c>
      <c r="J190">
        <v>26</v>
      </c>
      <c r="K190">
        <v>6</v>
      </c>
      <c r="L190">
        <v>2203.77</v>
      </c>
    </row>
    <row r="191" spans="1:12" x14ac:dyDescent="0.35">
      <c r="A191" s="1">
        <v>45334</v>
      </c>
      <c r="B191" t="s">
        <v>30</v>
      </c>
      <c r="C191" t="s">
        <v>31</v>
      </c>
      <c r="D191" t="s">
        <v>32</v>
      </c>
      <c r="E191" t="s">
        <v>24</v>
      </c>
      <c r="F191" t="s">
        <v>25</v>
      </c>
      <c r="G191" t="s">
        <v>17</v>
      </c>
      <c r="H191">
        <v>340</v>
      </c>
      <c r="I191">
        <v>278</v>
      </c>
      <c r="J191">
        <v>26</v>
      </c>
      <c r="K191">
        <v>7.6</v>
      </c>
      <c r="L191">
        <v>1210.3</v>
      </c>
    </row>
    <row r="192" spans="1:12" x14ac:dyDescent="0.35">
      <c r="A192" s="1">
        <v>45334</v>
      </c>
      <c r="B192" t="s">
        <v>30</v>
      </c>
      <c r="C192" t="s">
        <v>31</v>
      </c>
      <c r="D192" t="s">
        <v>32</v>
      </c>
      <c r="E192" t="s">
        <v>26</v>
      </c>
      <c r="F192" t="s">
        <v>27</v>
      </c>
      <c r="G192" t="s">
        <v>20</v>
      </c>
      <c r="H192">
        <v>651</v>
      </c>
      <c r="I192">
        <v>429</v>
      </c>
      <c r="J192">
        <v>34</v>
      </c>
      <c r="K192">
        <v>5.2</v>
      </c>
      <c r="L192">
        <v>3413.88</v>
      </c>
    </row>
    <row r="193" spans="1:12" x14ac:dyDescent="0.35">
      <c r="A193" s="1">
        <v>45334</v>
      </c>
      <c r="B193" t="s">
        <v>30</v>
      </c>
      <c r="C193" t="s">
        <v>31</v>
      </c>
      <c r="D193" t="s">
        <v>32</v>
      </c>
      <c r="E193" t="s">
        <v>28</v>
      </c>
      <c r="F193" t="s">
        <v>29</v>
      </c>
      <c r="G193" t="s">
        <v>23</v>
      </c>
      <c r="H193">
        <v>534</v>
      </c>
      <c r="I193">
        <v>454</v>
      </c>
      <c r="J193">
        <v>14</v>
      </c>
      <c r="K193">
        <v>2.6</v>
      </c>
      <c r="L193">
        <v>2604.35</v>
      </c>
    </row>
    <row r="194" spans="1:12" x14ac:dyDescent="0.35">
      <c r="A194" s="1">
        <v>45334</v>
      </c>
      <c r="B194" t="s">
        <v>33</v>
      </c>
      <c r="C194" t="s">
        <v>34</v>
      </c>
      <c r="D194" t="s">
        <v>35</v>
      </c>
      <c r="E194" t="s">
        <v>15</v>
      </c>
      <c r="F194" t="s">
        <v>16</v>
      </c>
      <c r="G194" t="s">
        <v>17</v>
      </c>
      <c r="H194">
        <v>574</v>
      </c>
      <c r="I194">
        <v>455</v>
      </c>
      <c r="J194">
        <v>53</v>
      </c>
      <c r="K194">
        <v>9.1999999999999993</v>
      </c>
      <c r="L194">
        <v>1839.03</v>
      </c>
    </row>
    <row r="195" spans="1:12" x14ac:dyDescent="0.35">
      <c r="A195" s="1">
        <v>45334</v>
      </c>
      <c r="B195" t="s">
        <v>33</v>
      </c>
      <c r="C195" t="s">
        <v>34</v>
      </c>
      <c r="D195" t="s">
        <v>35</v>
      </c>
      <c r="E195" t="s">
        <v>18</v>
      </c>
      <c r="F195" t="s">
        <v>19</v>
      </c>
      <c r="G195" t="s">
        <v>20</v>
      </c>
      <c r="H195">
        <v>693</v>
      </c>
      <c r="I195">
        <v>631</v>
      </c>
      <c r="J195">
        <v>42</v>
      </c>
      <c r="K195">
        <v>6.1</v>
      </c>
      <c r="L195">
        <v>4622.32</v>
      </c>
    </row>
    <row r="196" spans="1:12" x14ac:dyDescent="0.35">
      <c r="A196" s="1">
        <v>45334</v>
      </c>
      <c r="B196" t="s">
        <v>33</v>
      </c>
      <c r="C196" t="s">
        <v>34</v>
      </c>
      <c r="D196" t="s">
        <v>35</v>
      </c>
      <c r="E196" t="s">
        <v>21</v>
      </c>
      <c r="F196" t="s">
        <v>22</v>
      </c>
      <c r="G196" t="s">
        <v>23</v>
      </c>
      <c r="H196">
        <v>679</v>
      </c>
      <c r="I196">
        <v>617</v>
      </c>
      <c r="J196">
        <v>43</v>
      </c>
      <c r="K196">
        <v>6.3</v>
      </c>
      <c r="L196">
        <v>4726.74</v>
      </c>
    </row>
    <row r="197" spans="1:12" x14ac:dyDescent="0.35">
      <c r="A197" s="1">
        <v>45334</v>
      </c>
      <c r="B197" t="s">
        <v>33</v>
      </c>
      <c r="C197" t="s">
        <v>34</v>
      </c>
      <c r="D197" t="s">
        <v>35</v>
      </c>
      <c r="E197" t="s">
        <v>24</v>
      </c>
      <c r="F197" t="s">
        <v>25</v>
      </c>
      <c r="G197" t="s">
        <v>17</v>
      </c>
      <c r="H197">
        <v>606</v>
      </c>
      <c r="I197">
        <v>552</v>
      </c>
      <c r="J197">
        <v>27</v>
      </c>
      <c r="K197">
        <v>4.5</v>
      </c>
      <c r="L197">
        <v>3998.74</v>
      </c>
    </row>
    <row r="198" spans="1:12" x14ac:dyDescent="0.35">
      <c r="A198" s="1">
        <v>45334</v>
      </c>
      <c r="B198" t="s">
        <v>33</v>
      </c>
      <c r="C198" t="s">
        <v>34</v>
      </c>
      <c r="D198" t="s">
        <v>35</v>
      </c>
      <c r="E198" t="s">
        <v>26</v>
      </c>
      <c r="F198" t="s">
        <v>27</v>
      </c>
      <c r="G198" t="s">
        <v>20</v>
      </c>
      <c r="H198">
        <v>214</v>
      </c>
      <c r="I198">
        <v>154</v>
      </c>
      <c r="J198">
        <v>9</v>
      </c>
      <c r="K198">
        <v>4.2</v>
      </c>
      <c r="L198">
        <v>1077.0899999999999</v>
      </c>
    </row>
    <row r="199" spans="1:12" x14ac:dyDescent="0.35">
      <c r="A199" s="1">
        <v>45334</v>
      </c>
      <c r="B199" t="s">
        <v>33</v>
      </c>
      <c r="C199" t="s">
        <v>34</v>
      </c>
      <c r="D199" t="s">
        <v>35</v>
      </c>
      <c r="E199" t="s">
        <v>28</v>
      </c>
      <c r="F199" t="s">
        <v>29</v>
      </c>
      <c r="G199" t="s">
        <v>23</v>
      </c>
      <c r="H199">
        <v>468</v>
      </c>
      <c r="I199">
        <v>378</v>
      </c>
      <c r="J199">
        <v>43</v>
      </c>
      <c r="K199">
        <v>9.1999999999999993</v>
      </c>
      <c r="L199">
        <v>1190.73</v>
      </c>
    </row>
    <row r="200" spans="1:12" x14ac:dyDescent="0.35">
      <c r="A200" s="1">
        <v>45334</v>
      </c>
      <c r="B200" t="s">
        <v>36</v>
      </c>
      <c r="C200" t="s">
        <v>37</v>
      </c>
      <c r="D200" t="s">
        <v>38</v>
      </c>
      <c r="E200" t="s">
        <v>15</v>
      </c>
      <c r="F200" t="s">
        <v>16</v>
      </c>
      <c r="G200" t="s">
        <v>17</v>
      </c>
      <c r="H200">
        <v>439</v>
      </c>
      <c r="I200">
        <v>341</v>
      </c>
      <c r="J200">
        <v>39</v>
      </c>
      <c r="K200">
        <v>8.9</v>
      </c>
      <c r="L200">
        <v>1523.6</v>
      </c>
    </row>
    <row r="201" spans="1:12" x14ac:dyDescent="0.35">
      <c r="A201" s="1">
        <v>45334</v>
      </c>
      <c r="B201" t="s">
        <v>36</v>
      </c>
      <c r="C201" t="s">
        <v>37</v>
      </c>
      <c r="D201" t="s">
        <v>38</v>
      </c>
      <c r="E201" t="s">
        <v>18</v>
      </c>
      <c r="F201" t="s">
        <v>19</v>
      </c>
      <c r="G201" t="s">
        <v>20</v>
      </c>
      <c r="H201">
        <v>426</v>
      </c>
      <c r="I201">
        <v>351</v>
      </c>
      <c r="J201">
        <v>25</v>
      </c>
      <c r="K201">
        <v>5.9</v>
      </c>
      <c r="L201">
        <v>2353.9699999999998</v>
      </c>
    </row>
    <row r="202" spans="1:12" x14ac:dyDescent="0.35">
      <c r="A202" s="1">
        <v>45334</v>
      </c>
      <c r="B202" t="s">
        <v>36</v>
      </c>
      <c r="C202" t="s">
        <v>37</v>
      </c>
      <c r="D202" t="s">
        <v>38</v>
      </c>
      <c r="E202" t="s">
        <v>21</v>
      </c>
      <c r="F202" t="s">
        <v>22</v>
      </c>
      <c r="G202" t="s">
        <v>23</v>
      </c>
      <c r="H202">
        <v>618</v>
      </c>
      <c r="I202">
        <v>421</v>
      </c>
      <c r="J202">
        <v>16</v>
      </c>
      <c r="K202">
        <v>2.6</v>
      </c>
      <c r="L202">
        <v>3568.21</v>
      </c>
    </row>
    <row r="203" spans="1:12" x14ac:dyDescent="0.35">
      <c r="A203" s="1">
        <v>45334</v>
      </c>
      <c r="B203" t="s">
        <v>36</v>
      </c>
      <c r="C203" t="s">
        <v>37</v>
      </c>
      <c r="D203" t="s">
        <v>38</v>
      </c>
      <c r="E203" t="s">
        <v>24</v>
      </c>
      <c r="F203" t="s">
        <v>25</v>
      </c>
      <c r="G203" t="s">
        <v>17</v>
      </c>
      <c r="H203">
        <v>318</v>
      </c>
      <c r="I203">
        <v>215</v>
      </c>
      <c r="J203">
        <v>25</v>
      </c>
      <c r="K203">
        <v>7.9</v>
      </c>
      <c r="L203">
        <v>1122.7</v>
      </c>
    </row>
    <row r="204" spans="1:12" x14ac:dyDescent="0.35">
      <c r="A204" s="1">
        <v>45334</v>
      </c>
      <c r="B204" t="s">
        <v>36</v>
      </c>
      <c r="C204" t="s">
        <v>37</v>
      </c>
      <c r="D204" t="s">
        <v>38</v>
      </c>
      <c r="E204" t="s">
        <v>26</v>
      </c>
      <c r="F204" t="s">
        <v>27</v>
      </c>
      <c r="G204" t="s">
        <v>20</v>
      </c>
      <c r="H204">
        <v>753</v>
      </c>
      <c r="I204">
        <v>574</v>
      </c>
      <c r="J204">
        <v>44</v>
      </c>
      <c r="K204">
        <v>5.8</v>
      </c>
      <c r="L204">
        <v>2863.86</v>
      </c>
    </row>
    <row r="205" spans="1:12" x14ac:dyDescent="0.35">
      <c r="A205" s="1">
        <v>45334</v>
      </c>
      <c r="B205" t="s">
        <v>36</v>
      </c>
      <c r="C205" t="s">
        <v>37</v>
      </c>
      <c r="D205" t="s">
        <v>38</v>
      </c>
      <c r="E205" t="s">
        <v>28</v>
      </c>
      <c r="F205" t="s">
        <v>29</v>
      </c>
      <c r="G205" t="s">
        <v>23</v>
      </c>
      <c r="H205">
        <v>301</v>
      </c>
      <c r="I205">
        <v>263</v>
      </c>
      <c r="J205">
        <v>22</v>
      </c>
      <c r="K205">
        <v>7.3</v>
      </c>
      <c r="L205">
        <v>1098.93</v>
      </c>
    </row>
    <row r="206" spans="1:12" x14ac:dyDescent="0.35">
      <c r="A206" s="1">
        <v>45334</v>
      </c>
      <c r="B206" t="s">
        <v>39</v>
      </c>
      <c r="C206" t="s">
        <v>40</v>
      </c>
      <c r="D206" t="s">
        <v>14</v>
      </c>
      <c r="E206" t="s">
        <v>15</v>
      </c>
      <c r="F206" t="s">
        <v>16</v>
      </c>
      <c r="G206" t="s">
        <v>17</v>
      </c>
      <c r="H206">
        <v>579</v>
      </c>
      <c r="I206">
        <v>410</v>
      </c>
      <c r="J206">
        <v>32</v>
      </c>
      <c r="K206">
        <v>5.5</v>
      </c>
      <c r="L206">
        <v>1917.21</v>
      </c>
    </row>
    <row r="207" spans="1:12" x14ac:dyDescent="0.35">
      <c r="A207" s="1">
        <v>45334</v>
      </c>
      <c r="B207" t="s">
        <v>39</v>
      </c>
      <c r="C207" t="s">
        <v>40</v>
      </c>
      <c r="D207" t="s">
        <v>14</v>
      </c>
      <c r="E207" t="s">
        <v>18</v>
      </c>
      <c r="F207" t="s">
        <v>19</v>
      </c>
      <c r="G207" t="s">
        <v>20</v>
      </c>
      <c r="H207">
        <v>576</v>
      </c>
      <c r="I207">
        <v>459</v>
      </c>
      <c r="J207">
        <v>41</v>
      </c>
      <c r="K207">
        <v>7.1</v>
      </c>
      <c r="L207">
        <v>2243.98</v>
      </c>
    </row>
    <row r="208" spans="1:12" x14ac:dyDescent="0.35">
      <c r="A208" s="1">
        <v>45334</v>
      </c>
      <c r="B208" t="s">
        <v>39</v>
      </c>
      <c r="C208" t="s">
        <v>40</v>
      </c>
      <c r="D208" t="s">
        <v>14</v>
      </c>
      <c r="E208" t="s">
        <v>21</v>
      </c>
      <c r="F208" t="s">
        <v>22</v>
      </c>
      <c r="G208" t="s">
        <v>23</v>
      </c>
      <c r="H208">
        <v>394</v>
      </c>
      <c r="I208">
        <v>359</v>
      </c>
      <c r="J208">
        <v>27</v>
      </c>
      <c r="K208">
        <v>6.9</v>
      </c>
      <c r="L208">
        <v>1094.96</v>
      </c>
    </row>
    <row r="209" spans="1:12" x14ac:dyDescent="0.35">
      <c r="A209" s="1">
        <v>45334</v>
      </c>
      <c r="B209" t="s">
        <v>39</v>
      </c>
      <c r="C209" t="s">
        <v>40</v>
      </c>
      <c r="D209" t="s">
        <v>14</v>
      </c>
      <c r="E209" t="s">
        <v>24</v>
      </c>
      <c r="F209" t="s">
        <v>25</v>
      </c>
      <c r="G209" t="s">
        <v>17</v>
      </c>
      <c r="H209">
        <v>417</v>
      </c>
      <c r="I209">
        <v>343</v>
      </c>
      <c r="J209">
        <v>15</v>
      </c>
      <c r="K209">
        <v>3.6</v>
      </c>
      <c r="L209">
        <v>2476.7199999999998</v>
      </c>
    </row>
    <row r="210" spans="1:12" x14ac:dyDescent="0.35">
      <c r="A210" s="1">
        <v>45334</v>
      </c>
      <c r="B210" t="s">
        <v>39</v>
      </c>
      <c r="C210" t="s">
        <v>40</v>
      </c>
      <c r="D210" t="s">
        <v>14</v>
      </c>
      <c r="E210" t="s">
        <v>26</v>
      </c>
      <c r="F210" t="s">
        <v>27</v>
      </c>
      <c r="G210" t="s">
        <v>20</v>
      </c>
      <c r="H210">
        <v>449</v>
      </c>
      <c r="I210">
        <v>411</v>
      </c>
      <c r="J210">
        <v>15</v>
      </c>
      <c r="K210">
        <v>3.3</v>
      </c>
      <c r="L210">
        <v>3073.83</v>
      </c>
    </row>
    <row r="211" spans="1:12" x14ac:dyDescent="0.35">
      <c r="A211" s="1">
        <v>45334</v>
      </c>
      <c r="B211" t="s">
        <v>39</v>
      </c>
      <c r="C211" t="s">
        <v>40</v>
      </c>
      <c r="D211" t="s">
        <v>14</v>
      </c>
      <c r="E211" t="s">
        <v>28</v>
      </c>
      <c r="F211" t="s">
        <v>29</v>
      </c>
      <c r="G211" t="s">
        <v>23</v>
      </c>
      <c r="H211">
        <v>767</v>
      </c>
      <c r="I211">
        <v>541</v>
      </c>
      <c r="J211">
        <v>58</v>
      </c>
      <c r="K211">
        <v>7.6</v>
      </c>
      <c r="L211">
        <v>2419</v>
      </c>
    </row>
    <row r="212" spans="1:12" x14ac:dyDescent="0.35">
      <c r="A212" s="1">
        <v>45341</v>
      </c>
      <c r="B212" t="s">
        <v>12</v>
      </c>
      <c r="C212" t="s">
        <v>13</v>
      </c>
      <c r="D212" t="s">
        <v>14</v>
      </c>
      <c r="E212" t="s">
        <v>15</v>
      </c>
      <c r="F212" t="s">
        <v>16</v>
      </c>
      <c r="G212" t="s">
        <v>17</v>
      </c>
      <c r="H212">
        <v>351</v>
      </c>
      <c r="I212">
        <v>302</v>
      </c>
      <c r="J212">
        <v>15</v>
      </c>
      <c r="K212">
        <v>4.3</v>
      </c>
      <c r="L212">
        <v>2538.06</v>
      </c>
    </row>
    <row r="213" spans="1:12" x14ac:dyDescent="0.35">
      <c r="A213" s="1">
        <v>45341</v>
      </c>
      <c r="B213" t="s">
        <v>12</v>
      </c>
      <c r="C213" t="s">
        <v>13</v>
      </c>
      <c r="D213" t="s">
        <v>14</v>
      </c>
      <c r="E213" t="s">
        <v>18</v>
      </c>
      <c r="F213" t="s">
        <v>19</v>
      </c>
      <c r="G213" t="s">
        <v>20</v>
      </c>
      <c r="H213">
        <v>333</v>
      </c>
      <c r="I213">
        <v>265</v>
      </c>
      <c r="J213">
        <v>17</v>
      </c>
      <c r="K213">
        <v>5.0999999999999996</v>
      </c>
      <c r="L213">
        <v>2040.15</v>
      </c>
    </row>
    <row r="214" spans="1:12" x14ac:dyDescent="0.35">
      <c r="A214" s="1">
        <v>45341</v>
      </c>
      <c r="B214" t="s">
        <v>12</v>
      </c>
      <c r="C214" t="s">
        <v>13</v>
      </c>
      <c r="D214" t="s">
        <v>14</v>
      </c>
      <c r="E214" t="s">
        <v>21</v>
      </c>
      <c r="F214" t="s">
        <v>22</v>
      </c>
      <c r="G214" t="s">
        <v>23</v>
      </c>
      <c r="H214">
        <v>334</v>
      </c>
      <c r="I214">
        <v>218</v>
      </c>
      <c r="J214">
        <v>28</v>
      </c>
      <c r="K214">
        <v>8.4</v>
      </c>
      <c r="L214">
        <v>968.49</v>
      </c>
    </row>
    <row r="215" spans="1:12" x14ac:dyDescent="0.35">
      <c r="A215" s="1">
        <v>45341</v>
      </c>
      <c r="B215" t="s">
        <v>12</v>
      </c>
      <c r="C215" t="s">
        <v>13</v>
      </c>
      <c r="D215" t="s">
        <v>14</v>
      </c>
      <c r="E215" t="s">
        <v>24</v>
      </c>
      <c r="F215" t="s">
        <v>25</v>
      </c>
      <c r="G215" t="s">
        <v>17</v>
      </c>
      <c r="H215">
        <v>378</v>
      </c>
      <c r="I215">
        <v>272</v>
      </c>
      <c r="J215">
        <v>18</v>
      </c>
      <c r="K215">
        <v>4.8</v>
      </c>
      <c r="L215">
        <v>865.48</v>
      </c>
    </row>
    <row r="216" spans="1:12" x14ac:dyDescent="0.35">
      <c r="A216" s="1">
        <v>45341</v>
      </c>
      <c r="B216" t="s">
        <v>12</v>
      </c>
      <c r="C216" t="s">
        <v>13</v>
      </c>
      <c r="D216" t="s">
        <v>14</v>
      </c>
      <c r="E216" t="s">
        <v>26</v>
      </c>
      <c r="F216" t="s">
        <v>27</v>
      </c>
      <c r="G216" t="s">
        <v>20</v>
      </c>
      <c r="H216">
        <v>265</v>
      </c>
      <c r="I216">
        <v>206</v>
      </c>
      <c r="J216">
        <v>20</v>
      </c>
      <c r="K216">
        <v>7.5</v>
      </c>
      <c r="L216">
        <v>649.79</v>
      </c>
    </row>
    <row r="217" spans="1:12" x14ac:dyDescent="0.35">
      <c r="A217" s="1">
        <v>45341</v>
      </c>
      <c r="B217" t="s">
        <v>12</v>
      </c>
      <c r="C217" t="s">
        <v>13</v>
      </c>
      <c r="D217" t="s">
        <v>14</v>
      </c>
      <c r="E217" t="s">
        <v>28</v>
      </c>
      <c r="F217" t="s">
        <v>29</v>
      </c>
      <c r="G217" t="s">
        <v>23</v>
      </c>
      <c r="H217">
        <v>715</v>
      </c>
      <c r="I217">
        <v>507</v>
      </c>
      <c r="J217">
        <v>64</v>
      </c>
      <c r="K217">
        <v>9</v>
      </c>
      <c r="L217">
        <v>4031.92</v>
      </c>
    </row>
    <row r="218" spans="1:12" x14ac:dyDescent="0.35">
      <c r="A218" s="1">
        <v>45341</v>
      </c>
      <c r="B218" t="s">
        <v>30</v>
      </c>
      <c r="C218" t="s">
        <v>31</v>
      </c>
      <c r="D218" t="s">
        <v>32</v>
      </c>
      <c r="E218" t="s">
        <v>15</v>
      </c>
      <c r="F218" t="s">
        <v>16</v>
      </c>
      <c r="G218" t="s">
        <v>17</v>
      </c>
      <c r="H218">
        <v>733</v>
      </c>
      <c r="I218">
        <v>536</v>
      </c>
      <c r="J218">
        <v>39</v>
      </c>
      <c r="K218">
        <v>5.3</v>
      </c>
      <c r="L218">
        <v>4551.46</v>
      </c>
    </row>
    <row r="219" spans="1:12" x14ac:dyDescent="0.35">
      <c r="A219" s="1">
        <v>45341</v>
      </c>
      <c r="B219" t="s">
        <v>30</v>
      </c>
      <c r="C219" t="s">
        <v>31</v>
      </c>
      <c r="D219" t="s">
        <v>32</v>
      </c>
      <c r="E219" t="s">
        <v>18</v>
      </c>
      <c r="F219" t="s">
        <v>19</v>
      </c>
      <c r="G219" t="s">
        <v>20</v>
      </c>
      <c r="H219">
        <v>611</v>
      </c>
      <c r="I219">
        <v>467</v>
      </c>
      <c r="J219">
        <v>36</v>
      </c>
      <c r="K219">
        <v>5.9</v>
      </c>
      <c r="L219">
        <v>2410.36</v>
      </c>
    </row>
    <row r="220" spans="1:12" x14ac:dyDescent="0.35">
      <c r="A220" s="1">
        <v>45341</v>
      </c>
      <c r="B220" t="s">
        <v>30</v>
      </c>
      <c r="C220" t="s">
        <v>31</v>
      </c>
      <c r="D220" t="s">
        <v>32</v>
      </c>
      <c r="E220" t="s">
        <v>21</v>
      </c>
      <c r="F220" t="s">
        <v>22</v>
      </c>
      <c r="G220" t="s">
        <v>23</v>
      </c>
      <c r="H220">
        <v>282</v>
      </c>
      <c r="I220">
        <v>207</v>
      </c>
      <c r="J220">
        <v>9</v>
      </c>
      <c r="K220">
        <v>3.2</v>
      </c>
      <c r="L220">
        <v>1292.9000000000001</v>
      </c>
    </row>
    <row r="221" spans="1:12" x14ac:dyDescent="0.35">
      <c r="A221" s="1">
        <v>45341</v>
      </c>
      <c r="B221" t="s">
        <v>30</v>
      </c>
      <c r="C221" t="s">
        <v>31</v>
      </c>
      <c r="D221" t="s">
        <v>32</v>
      </c>
      <c r="E221" t="s">
        <v>24</v>
      </c>
      <c r="F221" t="s">
        <v>25</v>
      </c>
      <c r="G221" t="s">
        <v>17</v>
      </c>
      <c r="H221">
        <v>799</v>
      </c>
      <c r="I221">
        <v>637</v>
      </c>
      <c r="J221">
        <v>63</v>
      </c>
      <c r="K221">
        <v>7.9</v>
      </c>
      <c r="L221">
        <v>3620.29</v>
      </c>
    </row>
    <row r="222" spans="1:12" x14ac:dyDescent="0.35">
      <c r="A222" s="1">
        <v>45341</v>
      </c>
      <c r="B222" t="s">
        <v>30</v>
      </c>
      <c r="C222" t="s">
        <v>31</v>
      </c>
      <c r="D222" t="s">
        <v>32</v>
      </c>
      <c r="E222" t="s">
        <v>26</v>
      </c>
      <c r="F222" t="s">
        <v>27</v>
      </c>
      <c r="G222" t="s">
        <v>20</v>
      </c>
      <c r="H222">
        <v>664</v>
      </c>
      <c r="I222">
        <v>522</v>
      </c>
      <c r="J222">
        <v>49</v>
      </c>
      <c r="K222">
        <v>7.4</v>
      </c>
      <c r="L222">
        <v>1663.34</v>
      </c>
    </row>
    <row r="223" spans="1:12" x14ac:dyDescent="0.35">
      <c r="A223" s="1">
        <v>45341</v>
      </c>
      <c r="B223" t="s">
        <v>30</v>
      </c>
      <c r="C223" t="s">
        <v>31</v>
      </c>
      <c r="D223" t="s">
        <v>32</v>
      </c>
      <c r="E223" t="s">
        <v>28</v>
      </c>
      <c r="F223" t="s">
        <v>29</v>
      </c>
      <c r="G223" t="s">
        <v>23</v>
      </c>
      <c r="H223">
        <v>764</v>
      </c>
      <c r="I223">
        <v>645</v>
      </c>
      <c r="J223">
        <v>34</v>
      </c>
      <c r="K223">
        <v>4.5</v>
      </c>
      <c r="L223">
        <v>2496.77</v>
      </c>
    </row>
    <row r="224" spans="1:12" x14ac:dyDescent="0.35">
      <c r="A224" s="1">
        <v>45341</v>
      </c>
      <c r="B224" t="s">
        <v>33</v>
      </c>
      <c r="C224" t="s">
        <v>34</v>
      </c>
      <c r="D224" t="s">
        <v>35</v>
      </c>
      <c r="E224" t="s">
        <v>15</v>
      </c>
      <c r="F224" t="s">
        <v>16</v>
      </c>
      <c r="G224" t="s">
        <v>17</v>
      </c>
      <c r="H224">
        <v>547</v>
      </c>
      <c r="I224">
        <v>477</v>
      </c>
      <c r="J224">
        <v>33</v>
      </c>
      <c r="K224">
        <v>6</v>
      </c>
      <c r="L224">
        <v>2087.0100000000002</v>
      </c>
    </row>
    <row r="225" spans="1:12" x14ac:dyDescent="0.35">
      <c r="A225" s="1">
        <v>45341</v>
      </c>
      <c r="B225" t="s">
        <v>33</v>
      </c>
      <c r="C225" t="s">
        <v>34</v>
      </c>
      <c r="D225" t="s">
        <v>35</v>
      </c>
      <c r="E225" t="s">
        <v>18</v>
      </c>
      <c r="F225" t="s">
        <v>19</v>
      </c>
      <c r="G225" t="s">
        <v>20</v>
      </c>
      <c r="H225">
        <v>520</v>
      </c>
      <c r="I225">
        <v>431</v>
      </c>
      <c r="J225">
        <v>18</v>
      </c>
      <c r="K225">
        <v>3.5</v>
      </c>
      <c r="L225">
        <v>3464.34</v>
      </c>
    </row>
    <row r="226" spans="1:12" x14ac:dyDescent="0.35">
      <c r="A226" s="1">
        <v>45341</v>
      </c>
      <c r="B226" t="s">
        <v>33</v>
      </c>
      <c r="C226" t="s">
        <v>34</v>
      </c>
      <c r="D226" t="s">
        <v>35</v>
      </c>
      <c r="E226" t="s">
        <v>21</v>
      </c>
      <c r="F226" t="s">
        <v>22</v>
      </c>
      <c r="G226" t="s">
        <v>23</v>
      </c>
      <c r="H226">
        <v>268</v>
      </c>
      <c r="I226">
        <v>180</v>
      </c>
      <c r="J226">
        <v>13</v>
      </c>
      <c r="K226">
        <v>4.9000000000000004</v>
      </c>
      <c r="L226">
        <v>1254.1600000000001</v>
      </c>
    </row>
    <row r="227" spans="1:12" x14ac:dyDescent="0.35">
      <c r="A227" s="1">
        <v>45341</v>
      </c>
      <c r="B227" t="s">
        <v>33</v>
      </c>
      <c r="C227" t="s">
        <v>34</v>
      </c>
      <c r="D227" t="s">
        <v>35</v>
      </c>
      <c r="E227" t="s">
        <v>24</v>
      </c>
      <c r="F227" t="s">
        <v>25</v>
      </c>
      <c r="G227" t="s">
        <v>17</v>
      </c>
      <c r="H227">
        <v>581</v>
      </c>
      <c r="I227">
        <v>504</v>
      </c>
      <c r="J227">
        <v>33</v>
      </c>
      <c r="K227">
        <v>5.7</v>
      </c>
      <c r="L227">
        <v>2958.24</v>
      </c>
    </row>
    <row r="228" spans="1:12" x14ac:dyDescent="0.35">
      <c r="A228" s="1">
        <v>45341</v>
      </c>
      <c r="B228" t="s">
        <v>33</v>
      </c>
      <c r="C228" t="s">
        <v>34</v>
      </c>
      <c r="D228" t="s">
        <v>35</v>
      </c>
      <c r="E228" t="s">
        <v>26</v>
      </c>
      <c r="F228" t="s">
        <v>27</v>
      </c>
      <c r="G228" t="s">
        <v>20</v>
      </c>
      <c r="H228">
        <v>537</v>
      </c>
      <c r="I228">
        <v>446</v>
      </c>
      <c r="J228">
        <v>39</v>
      </c>
      <c r="K228">
        <v>7.3</v>
      </c>
      <c r="L228">
        <v>3633.46</v>
      </c>
    </row>
    <row r="229" spans="1:12" x14ac:dyDescent="0.35">
      <c r="A229" s="1">
        <v>45341</v>
      </c>
      <c r="B229" t="s">
        <v>33</v>
      </c>
      <c r="C229" t="s">
        <v>34</v>
      </c>
      <c r="D229" t="s">
        <v>35</v>
      </c>
      <c r="E229" t="s">
        <v>28</v>
      </c>
      <c r="F229" t="s">
        <v>29</v>
      </c>
      <c r="G229" t="s">
        <v>23</v>
      </c>
      <c r="H229">
        <v>633</v>
      </c>
      <c r="I229">
        <v>559</v>
      </c>
      <c r="J229">
        <v>49</v>
      </c>
      <c r="K229">
        <v>7.7</v>
      </c>
      <c r="L229">
        <v>3411.28</v>
      </c>
    </row>
    <row r="230" spans="1:12" x14ac:dyDescent="0.35">
      <c r="A230" s="1">
        <v>45341</v>
      </c>
      <c r="B230" t="s">
        <v>36</v>
      </c>
      <c r="C230" t="s">
        <v>37</v>
      </c>
      <c r="D230" t="s">
        <v>38</v>
      </c>
      <c r="E230" t="s">
        <v>15</v>
      </c>
      <c r="F230" t="s">
        <v>16</v>
      </c>
      <c r="G230" t="s">
        <v>17</v>
      </c>
      <c r="H230">
        <v>560</v>
      </c>
      <c r="I230">
        <v>379</v>
      </c>
      <c r="J230">
        <v>33</v>
      </c>
      <c r="K230">
        <v>5.9</v>
      </c>
      <c r="L230">
        <v>2044</v>
      </c>
    </row>
    <row r="231" spans="1:12" x14ac:dyDescent="0.35">
      <c r="A231" s="1">
        <v>45341</v>
      </c>
      <c r="B231" t="s">
        <v>36</v>
      </c>
      <c r="C231" t="s">
        <v>37</v>
      </c>
      <c r="D231" t="s">
        <v>38</v>
      </c>
      <c r="E231" t="s">
        <v>18</v>
      </c>
      <c r="F231" t="s">
        <v>19</v>
      </c>
      <c r="G231" t="s">
        <v>20</v>
      </c>
      <c r="H231">
        <v>310</v>
      </c>
      <c r="I231">
        <v>230</v>
      </c>
      <c r="J231">
        <v>16</v>
      </c>
      <c r="K231">
        <v>5.2</v>
      </c>
      <c r="L231">
        <v>959.42</v>
      </c>
    </row>
    <row r="232" spans="1:12" x14ac:dyDescent="0.35">
      <c r="A232" s="1">
        <v>45341</v>
      </c>
      <c r="B232" t="s">
        <v>36</v>
      </c>
      <c r="C232" t="s">
        <v>37</v>
      </c>
      <c r="D232" t="s">
        <v>38</v>
      </c>
      <c r="E232" t="s">
        <v>21</v>
      </c>
      <c r="F232" t="s">
        <v>22</v>
      </c>
      <c r="G232" t="s">
        <v>23</v>
      </c>
      <c r="H232">
        <v>431</v>
      </c>
      <c r="I232">
        <v>374</v>
      </c>
      <c r="J232">
        <v>36</v>
      </c>
      <c r="K232">
        <v>8.4</v>
      </c>
      <c r="L232">
        <v>2771.55</v>
      </c>
    </row>
    <row r="233" spans="1:12" x14ac:dyDescent="0.35">
      <c r="A233" s="1">
        <v>45341</v>
      </c>
      <c r="B233" t="s">
        <v>36</v>
      </c>
      <c r="C233" t="s">
        <v>37</v>
      </c>
      <c r="D233" t="s">
        <v>38</v>
      </c>
      <c r="E233" t="s">
        <v>24</v>
      </c>
      <c r="F233" t="s">
        <v>25</v>
      </c>
      <c r="G233" t="s">
        <v>17</v>
      </c>
      <c r="H233">
        <v>770</v>
      </c>
      <c r="I233">
        <v>505</v>
      </c>
      <c r="J233">
        <v>94</v>
      </c>
      <c r="K233">
        <v>12.2</v>
      </c>
      <c r="L233">
        <v>2072.87</v>
      </c>
    </row>
    <row r="234" spans="1:12" x14ac:dyDescent="0.35">
      <c r="A234" s="1">
        <v>45341</v>
      </c>
      <c r="B234" t="s">
        <v>36</v>
      </c>
      <c r="C234" t="s">
        <v>37</v>
      </c>
      <c r="D234" t="s">
        <v>38</v>
      </c>
      <c r="E234" t="s">
        <v>26</v>
      </c>
      <c r="F234" t="s">
        <v>27</v>
      </c>
      <c r="G234" t="s">
        <v>20</v>
      </c>
      <c r="H234">
        <v>384</v>
      </c>
      <c r="I234">
        <v>277</v>
      </c>
      <c r="J234">
        <v>40</v>
      </c>
      <c r="K234">
        <v>10.4</v>
      </c>
      <c r="L234">
        <v>1275.9000000000001</v>
      </c>
    </row>
    <row r="235" spans="1:12" x14ac:dyDescent="0.35">
      <c r="A235" s="1">
        <v>45341</v>
      </c>
      <c r="B235" t="s">
        <v>36</v>
      </c>
      <c r="C235" t="s">
        <v>37</v>
      </c>
      <c r="D235" t="s">
        <v>38</v>
      </c>
      <c r="E235" t="s">
        <v>28</v>
      </c>
      <c r="F235" t="s">
        <v>29</v>
      </c>
      <c r="G235" t="s">
        <v>23</v>
      </c>
      <c r="H235">
        <v>385</v>
      </c>
      <c r="I235">
        <v>340</v>
      </c>
      <c r="J235">
        <v>17</v>
      </c>
      <c r="K235">
        <v>4.4000000000000004</v>
      </c>
      <c r="L235">
        <v>1139.42</v>
      </c>
    </row>
    <row r="236" spans="1:12" x14ac:dyDescent="0.35">
      <c r="A236" s="1">
        <v>45341</v>
      </c>
      <c r="B236" t="s">
        <v>39</v>
      </c>
      <c r="C236" t="s">
        <v>40</v>
      </c>
      <c r="D236" t="s">
        <v>14</v>
      </c>
      <c r="E236" t="s">
        <v>15</v>
      </c>
      <c r="F236" t="s">
        <v>16</v>
      </c>
      <c r="G236" t="s">
        <v>17</v>
      </c>
      <c r="H236">
        <v>231</v>
      </c>
      <c r="I236">
        <v>155</v>
      </c>
      <c r="J236">
        <v>16</v>
      </c>
      <c r="K236">
        <v>6.9</v>
      </c>
      <c r="L236">
        <v>809.39</v>
      </c>
    </row>
    <row r="237" spans="1:12" x14ac:dyDescent="0.35">
      <c r="A237" s="1">
        <v>45341</v>
      </c>
      <c r="B237" t="s">
        <v>39</v>
      </c>
      <c r="C237" t="s">
        <v>40</v>
      </c>
      <c r="D237" t="s">
        <v>14</v>
      </c>
      <c r="E237" t="s">
        <v>18</v>
      </c>
      <c r="F237" t="s">
        <v>19</v>
      </c>
      <c r="G237" t="s">
        <v>20</v>
      </c>
      <c r="H237">
        <v>361</v>
      </c>
      <c r="I237">
        <v>270</v>
      </c>
      <c r="J237">
        <v>33</v>
      </c>
      <c r="K237">
        <v>9.1</v>
      </c>
      <c r="L237">
        <v>1594.5</v>
      </c>
    </row>
    <row r="238" spans="1:12" x14ac:dyDescent="0.35">
      <c r="A238" s="1">
        <v>45341</v>
      </c>
      <c r="B238" t="s">
        <v>39</v>
      </c>
      <c r="C238" t="s">
        <v>40</v>
      </c>
      <c r="D238" t="s">
        <v>14</v>
      </c>
      <c r="E238" t="s">
        <v>21</v>
      </c>
      <c r="F238" t="s">
        <v>22</v>
      </c>
      <c r="G238" t="s">
        <v>23</v>
      </c>
      <c r="H238">
        <v>286</v>
      </c>
      <c r="I238">
        <v>254</v>
      </c>
      <c r="J238">
        <v>15</v>
      </c>
      <c r="K238">
        <v>5.2</v>
      </c>
      <c r="L238">
        <v>710.84</v>
      </c>
    </row>
    <row r="239" spans="1:12" x14ac:dyDescent="0.35">
      <c r="A239" s="1">
        <v>45341</v>
      </c>
      <c r="B239" t="s">
        <v>39</v>
      </c>
      <c r="C239" t="s">
        <v>40</v>
      </c>
      <c r="D239" t="s">
        <v>14</v>
      </c>
      <c r="E239" t="s">
        <v>24</v>
      </c>
      <c r="F239" t="s">
        <v>25</v>
      </c>
      <c r="G239" t="s">
        <v>17</v>
      </c>
      <c r="H239">
        <v>283</v>
      </c>
      <c r="I239">
        <v>204</v>
      </c>
      <c r="J239">
        <v>22</v>
      </c>
      <c r="K239">
        <v>7.8</v>
      </c>
      <c r="L239">
        <v>1051.06</v>
      </c>
    </row>
    <row r="240" spans="1:12" x14ac:dyDescent="0.35">
      <c r="A240" s="1">
        <v>45341</v>
      </c>
      <c r="B240" t="s">
        <v>39</v>
      </c>
      <c r="C240" t="s">
        <v>40</v>
      </c>
      <c r="D240" t="s">
        <v>14</v>
      </c>
      <c r="E240" t="s">
        <v>26</v>
      </c>
      <c r="F240" t="s">
        <v>27</v>
      </c>
      <c r="G240" t="s">
        <v>20</v>
      </c>
      <c r="H240">
        <v>479</v>
      </c>
      <c r="I240">
        <v>339</v>
      </c>
      <c r="J240">
        <v>31</v>
      </c>
      <c r="K240">
        <v>6.5</v>
      </c>
      <c r="L240">
        <v>1073.05</v>
      </c>
    </row>
    <row r="241" spans="1:12" x14ac:dyDescent="0.35">
      <c r="A241" s="1">
        <v>45341</v>
      </c>
      <c r="B241" t="s">
        <v>39</v>
      </c>
      <c r="C241" t="s">
        <v>40</v>
      </c>
      <c r="D241" t="s">
        <v>14</v>
      </c>
      <c r="E241" t="s">
        <v>28</v>
      </c>
      <c r="F241" t="s">
        <v>29</v>
      </c>
      <c r="G241" t="s">
        <v>23</v>
      </c>
      <c r="H241">
        <v>698</v>
      </c>
      <c r="I241">
        <v>553</v>
      </c>
      <c r="J241">
        <v>28</v>
      </c>
      <c r="K241">
        <v>4</v>
      </c>
      <c r="L241">
        <v>4648.8900000000003</v>
      </c>
    </row>
    <row r="242" spans="1:12" x14ac:dyDescent="0.35">
      <c r="A242" s="1">
        <v>45348</v>
      </c>
      <c r="B242" t="s">
        <v>12</v>
      </c>
      <c r="C242" t="s">
        <v>13</v>
      </c>
      <c r="D242" t="s">
        <v>14</v>
      </c>
      <c r="E242" t="s">
        <v>15</v>
      </c>
      <c r="F242" t="s">
        <v>16</v>
      </c>
      <c r="G242" t="s">
        <v>17</v>
      </c>
      <c r="H242">
        <v>256</v>
      </c>
      <c r="I242">
        <v>166</v>
      </c>
      <c r="J242">
        <v>13</v>
      </c>
      <c r="K242">
        <v>5.0999999999999996</v>
      </c>
      <c r="L242">
        <v>551.69000000000005</v>
      </c>
    </row>
    <row r="243" spans="1:12" x14ac:dyDescent="0.35">
      <c r="A243" s="1">
        <v>45348</v>
      </c>
      <c r="B243" t="s">
        <v>12</v>
      </c>
      <c r="C243" t="s">
        <v>13</v>
      </c>
      <c r="D243" t="s">
        <v>14</v>
      </c>
      <c r="E243" t="s">
        <v>18</v>
      </c>
      <c r="F243" t="s">
        <v>19</v>
      </c>
      <c r="G243" t="s">
        <v>20</v>
      </c>
      <c r="H243">
        <v>461</v>
      </c>
      <c r="I243">
        <v>335</v>
      </c>
      <c r="J243">
        <v>23</v>
      </c>
      <c r="K243">
        <v>5</v>
      </c>
      <c r="L243">
        <v>1703.12</v>
      </c>
    </row>
    <row r="244" spans="1:12" x14ac:dyDescent="0.35">
      <c r="A244" s="1">
        <v>45348</v>
      </c>
      <c r="B244" t="s">
        <v>12</v>
      </c>
      <c r="C244" t="s">
        <v>13</v>
      </c>
      <c r="D244" t="s">
        <v>14</v>
      </c>
      <c r="E244" t="s">
        <v>21</v>
      </c>
      <c r="F244" t="s">
        <v>22</v>
      </c>
      <c r="G244" t="s">
        <v>23</v>
      </c>
      <c r="H244">
        <v>332</v>
      </c>
      <c r="I244">
        <v>249</v>
      </c>
      <c r="J244">
        <v>25</v>
      </c>
      <c r="K244">
        <v>7.5</v>
      </c>
      <c r="L244">
        <v>1867.53</v>
      </c>
    </row>
    <row r="245" spans="1:12" x14ac:dyDescent="0.35">
      <c r="A245" s="1">
        <v>45348</v>
      </c>
      <c r="B245" t="s">
        <v>12</v>
      </c>
      <c r="C245" t="s">
        <v>13</v>
      </c>
      <c r="D245" t="s">
        <v>14</v>
      </c>
      <c r="E245" t="s">
        <v>24</v>
      </c>
      <c r="F245" t="s">
        <v>25</v>
      </c>
      <c r="G245" t="s">
        <v>17</v>
      </c>
      <c r="H245">
        <v>562</v>
      </c>
      <c r="I245">
        <v>376</v>
      </c>
      <c r="J245">
        <v>43</v>
      </c>
      <c r="K245">
        <v>7.7</v>
      </c>
      <c r="L245">
        <v>982.28</v>
      </c>
    </row>
    <row r="246" spans="1:12" x14ac:dyDescent="0.35">
      <c r="A246" s="1">
        <v>45348</v>
      </c>
      <c r="B246" t="s">
        <v>12</v>
      </c>
      <c r="C246" t="s">
        <v>13</v>
      </c>
      <c r="D246" t="s">
        <v>14</v>
      </c>
      <c r="E246" t="s">
        <v>26</v>
      </c>
      <c r="F246" t="s">
        <v>27</v>
      </c>
      <c r="G246" t="s">
        <v>20</v>
      </c>
      <c r="H246">
        <v>279</v>
      </c>
      <c r="I246">
        <v>246</v>
      </c>
      <c r="J246">
        <v>15</v>
      </c>
      <c r="K246">
        <v>5.4</v>
      </c>
      <c r="L246">
        <v>1662.22</v>
      </c>
    </row>
    <row r="247" spans="1:12" x14ac:dyDescent="0.35">
      <c r="A247" s="1">
        <v>45348</v>
      </c>
      <c r="B247" t="s">
        <v>12</v>
      </c>
      <c r="C247" t="s">
        <v>13</v>
      </c>
      <c r="D247" t="s">
        <v>14</v>
      </c>
      <c r="E247" t="s">
        <v>28</v>
      </c>
      <c r="F247" t="s">
        <v>29</v>
      </c>
      <c r="G247" t="s">
        <v>23</v>
      </c>
      <c r="H247">
        <v>627</v>
      </c>
      <c r="I247">
        <v>456</v>
      </c>
      <c r="J247">
        <v>55</v>
      </c>
      <c r="K247">
        <v>8.8000000000000007</v>
      </c>
      <c r="L247">
        <v>1610.25</v>
      </c>
    </row>
    <row r="248" spans="1:12" x14ac:dyDescent="0.35">
      <c r="A248" s="1">
        <v>45348</v>
      </c>
      <c r="B248" t="s">
        <v>30</v>
      </c>
      <c r="C248" t="s">
        <v>31</v>
      </c>
      <c r="D248" t="s">
        <v>32</v>
      </c>
      <c r="E248" t="s">
        <v>15</v>
      </c>
      <c r="F248" t="s">
        <v>16</v>
      </c>
      <c r="G248" t="s">
        <v>17</v>
      </c>
      <c r="H248">
        <v>671</v>
      </c>
      <c r="I248">
        <v>586</v>
      </c>
      <c r="J248">
        <v>27</v>
      </c>
      <c r="K248">
        <v>4</v>
      </c>
      <c r="L248">
        <v>4434.21</v>
      </c>
    </row>
    <row r="249" spans="1:12" x14ac:dyDescent="0.35">
      <c r="A249" s="1">
        <v>45348</v>
      </c>
      <c r="B249" t="s">
        <v>30</v>
      </c>
      <c r="C249" t="s">
        <v>31</v>
      </c>
      <c r="D249" t="s">
        <v>32</v>
      </c>
      <c r="E249" t="s">
        <v>18</v>
      </c>
      <c r="F249" t="s">
        <v>19</v>
      </c>
      <c r="G249" t="s">
        <v>20</v>
      </c>
      <c r="H249">
        <v>449</v>
      </c>
      <c r="I249">
        <v>344</v>
      </c>
      <c r="J249">
        <v>18</v>
      </c>
      <c r="K249">
        <v>4</v>
      </c>
      <c r="L249">
        <v>2656.76</v>
      </c>
    </row>
    <row r="250" spans="1:12" x14ac:dyDescent="0.35">
      <c r="A250" s="1">
        <v>45348</v>
      </c>
      <c r="B250" t="s">
        <v>30</v>
      </c>
      <c r="C250" t="s">
        <v>31</v>
      </c>
      <c r="D250" t="s">
        <v>32</v>
      </c>
      <c r="E250" t="s">
        <v>21</v>
      </c>
      <c r="F250" t="s">
        <v>22</v>
      </c>
      <c r="G250" t="s">
        <v>23</v>
      </c>
      <c r="H250">
        <v>547</v>
      </c>
      <c r="I250">
        <v>388</v>
      </c>
      <c r="J250">
        <v>36</v>
      </c>
      <c r="K250">
        <v>6.6</v>
      </c>
      <c r="L250">
        <v>2444.15</v>
      </c>
    </row>
    <row r="251" spans="1:12" x14ac:dyDescent="0.35">
      <c r="A251" s="1">
        <v>45348</v>
      </c>
      <c r="B251" t="s">
        <v>30</v>
      </c>
      <c r="C251" t="s">
        <v>31</v>
      </c>
      <c r="D251" t="s">
        <v>32</v>
      </c>
      <c r="E251" t="s">
        <v>24</v>
      </c>
      <c r="F251" t="s">
        <v>25</v>
      </c>
      <c r="G251" t="s">
        <v>17</v>
      </c>
      <c r="H251">
        <v>743</v>
      </c>
      <c r="I251">
        <v>585</v>
      </c>
      <c r="J251">
        <v>52</v>
      </c>
      <c r="K251">
        <v>7</v>
      </c>
      <c r="L251">
        <v>4015.6</v>
      </c>
    </row>
    <row r="252" spans="1:12" x14ac:dyDescent="0.35">
      <c r="A252" s="1">
        <v>45348</v>
      </c>
      <c r="B252" t="s">
        <v>30</v>
      </c>
      <c r="C252" t="s">
        <v>31</v>
      </c>
      <c r="D252" t="s">
        <v>32</v>
      </c>
      <c r="E252" t="s">
        <v>26</v>
      </c>
      <c r="F252" t="s">
        <v>27</v>
      </c>
      <c r="G252" t="s">
        <v>20</v>
      </c>
      <c r="H252">
        <v>351</v>
      </c>
      <c r="I252">
        <v>250</v>
      </c>
      <c r="J252">
        <v>13</v>
      </c>
      <c r="K252">
        <v>3.7</v>
      </c>
      <c r="L252">
        <v>1528.6</v>
      </c>
    </row>
    <row r="253" spans="1:12" x14ac:dyDescent="0.35">
      <c r="A253" s="1">
        <v>45348</v>
      </c>
      <c r="B253" t="s">
        <v>30</v>
      </c>
      <c r="C253" t="s">
        <v>31</v>
      </c>
      <c r="D253" t="s">
        <v>32</v>
      </c>
      <c r="E253" t="s">
        <v>28</v>
      </c>
      <c r="F253" t="s">
        <v>29</v>
      </c>
      <c r="G253" t="s">
        <v>23</v>
      </c>
      <c r="H253">
        <v>277</v>
      </c>
      <c r="I253">
        <v>193</v>
      </c>
      <c r="J253">
        <v>24</v>
      </c>
      <c r="K253">
        <v>8.6999999999999993</v>
      </c>
      <c r="L253">
        <v>1356.15</v>
      </c>
    </row>
    <row r="254" spans="1:12" x14ac:dyDescent="0.35">
      <c r="A254" s="1">
        <v>45348</v>
      </c>
      <c r="B254" t="s">
        <v>33</v>
      </c>
      <c r="C254" t="s">
        <v>34</v>
      </c>
      <c r="D254" t="s">
        <v>35</v>
      </c>
      <c r="E254" t="s">
        <v>15</v>
      </c>
      <c r="F254" t="s">
        <v>16</v>
      </c>
      <c r="G254" t="s">
        <v>17</v>
      </c>
      <c r="H254">
        <v>793</v>
      </c>
      <c r="I254">
        <v>611</v>
      </c>
      <c r="J254">
        <v>67</v>
      </c>
      <c r="K254">
        <v>8.4</v>
      </c>
      <c r="L254">
        <v>3856.5</v>
      </c>
    </row>
    <row r="255" spans="1:12" x14ac:dyDescent="0.35">
      <c r="A255" s="1">
        <v>45348</v>
      </c>
      <c r="B255" t="s">
        <v>33</v>
      </c>
      <c r="C255" t="s">
        <v>34</v>
      </c>
      <c r="D255" t="s">
        <v>35</v>
      </c>
      <c r="E255" t="s">
        <v>18</v>
      </c>
      <c r="F255" t="s">
        <v>19</v>
      </c>
      <c r="G255" t="s">
        <v>20</v>
      </c>
      <c r="H255">
        <v>530</v>
      </c>
      <c r="I255">
        <v>468</v>
      </c>
      <c r="J255">
        <v>18</v>
      </c>
      <c r="K255">
        <v>3.4</v>
      </c>
      <c r="L255">
        <v>1361.75</v>
      </c>
    </row>
    <row r="256" spans="1:12" x14ac:dyDescent="0.35">
      <c r="A256" s="1">
        <v>45348</v>
      </c>
      <c r="B256" t="s">
        <v>33</v>
      </c>
      <c r="C256" t="s">
        <v>34</v>
      </c>
      <c r="D256" t="s">
        <v>35</v>
      </c>
      <c r="E256" t="s">
        <v>21</v>
      </c>
      <c r="F256" t="s">
        <v>22</v>
      </c>
      <c r="G256" t="s">
        <v>23</v>
      </c>
      <c r="H256">
        <v>652</v>
      </c>
      <c r="I256">
        <v>534</v>
      </c>
      <c r="J256">
        <v>47</v>
      </c>
      <c r="K256">
        <v>7.2</v>
      </c>
      <c r="L256">
        <v>2462.62</v>
      </c>
    </row>
    <row r="257" spans="1:12" x14ac:dyDescent="0.35">
      <c r="A257" s="1">
        <v>45348</v>
      </c>
      <c r="B257" t="s">
        <v>33</v>
      </c>
      <c r="C257" t="s">
        <v>34</v>
      </c>
      <c r="D257" t="s">
        <v>35</v>
      </c>
      <c r="E257" t="s">
        <v>24</v>
      </c>
      <c r="F257" t="s">
        <v>25</v>
      </c>
      <c r="G257" t="s">
        <v>17</v>
      </c>
      <c r="H257">
        <v>275</v>
      </c>
      <c r="I257">
        <v>201</v>
      </c>
      <c r="J257">
        <v>12</v>
      </c>
      <c r="K257">
        <v>4.4000000000000004</v>
      </c>
      <c r="L257">
        <v>1505.53</v>
      </c>
    </row>
    <row r="258" spans="1:12" x14ac:dyDescent="0.35">
      <c r="A258" s="1">
        <v>45348</v>
      </c>
      <c r="B258" t="s">
        <v>33</v>
      </c>
      <c r="C258" t="s">
        <v>34</v>
      </c>
      <c r="D258" t="s">
        <v>35</v>
      </c>
      <c r="E258" t="s">
        <v>26</v>
      </c>
      <c r="F258" t="s">
        <v>27</v>
      </c>
      <c r="G258" t="s">
        <v>20</v>
      </c>
      <c r="H258">
        <v>278</v>
      </c>
      <c r="I258">
        <v>229</v>
      </c>
      <c r="J258">
        <v>14</v>
      </c>
      <c r="K258">
        <v>5</v>
      </c>
      <c r="L258">
        <v>1388.77</v>
      </c>
    </row>
    <row r="259" spans="1:12" x14ac:dyDescent="0.35">
      <c r="A259" s="1">
        <v>45348</v>
      </c>
      <c r="B259" t="s">
        <v>33</v>
      </c>
      <c r="C259" t="s">
        <v>34</v>
      </c>
      <c r="D259" t="s">
        <v>35</v>
      </c>
      <c r="E259" t="s">
        <v>28</v>
      </c>
      <c r="F259" t="s">
        <v>29</v>
      </c>
      <c r="G259" t="s">
        <v>23</v>
      </c>
      <c r="H259">
        <v>593</v>
      </c>
      <c r="I259">
        <v>459</v>
      </c>
      <c r="J259">
        <v>48</v>
      </c>
      <c r="K259">
        <v>8.1</v>
      </c>
      <c r="L259">
        <v>3614.74</v>
      </c>
    </row>
    <row r="260" spans="1:12" x14ac:dyDescent="0.35">
      <c r="A260" s="1">
        <v>45348</v>
      </c>
      <c r="B260" t="s">
        <v>36</v>
      </c>
      <c r="C260" t="s">
        <v>37</v>
      </c>
      <c r="D260" t="s">
        <v>38</v>
      </c>
      <c r="E260" t="s">
        <v>15</v>
      </c>
      <c r="F260" t="s">
        <v>16</v>
      </c>
      <c r="G260" t="s">
        <v>17</v>
      </c>
      <c r="H260">
        <v>660</v>
      </c>
      <c r="I260">
        <v>590</v>
      </c>
      <c r="J260">
        <v>22</v>
      </c>
      <c r="K260">
        <v>3.3</v>
      </c>
      <c r="L260">
        <v>3616.72</v>
      </c>
    </row>
    <row r="261" spans="1:12" x14ac:dyDescent="0.35">
      <c r="A261" s="1">
        <v>45348</v>
      </c>
      <c r="B261" t="s">
        <v>36</v>
      </c>
      <c r="C261" t="s">
        <v>37</v>
      </c>
      <c r="D261" t="s">
        <v>38</v>
      </c>
      <c r="E261" t="s">
        <v>18</v>
      </c>
      <c r="F261" t="s">
        <v>19</v>
      </c>
      <c r="G261" t="s">
        <v>20</v>
      </c>
      <c r="H261">
        <v>713</v>
      </c>
      <c r="I261">
        <v>492</v>
      </c>
      <c r="J261">
        <v>22</v>
      </c>
      <c r="K261">
        <v>3.1</v>
      </c>
      <c r="L261">
        <v>3884.22</v>
      </c>
    </row>
    <row r="262" spans="1:12" x14ac:dyDescent="0.35">
      <c r="A262" s="1">
        <v>45348</v>
      </c>
      <c r="B262" t="s">
        <v>36</v>
      </c>
      <c r="C262" t="s">
        <v>37</v>
      </c>
      <c r="D262" t="s">
        <v>38</v>
      </c>
      <c r="E262" t="s">
        <v>21</v>
      </c>
      <c r="F262" t="s">
        <v>22</v>
      </c>
      <c r="G262" t="s">
        <v>23</v>
      </c>
      <c r="H262">
        <v>551</v>
      </c>
      <c r="I262">
        <v>504</v>
      </c>
      <c r="J262">
        <v>25</v>
      </c>
      <c r="K262">
        <v>4.5</v>
      </c>
      <c r="L262">
        <v>1378.37</v>
      </c>
    </row>
    <row r="263" spans="1:12" x14ac:dyDescent="0.35">
      <c r="A263" s="1">
        <v>45348</v>
      </c>
      <c r="B263" t="s">
        <v>36</v>
      </c>
      <c r="C263" t="s">
        <v>37</v>
      </c>
      <c r="D263" t="s">
        <v>38</v>
      </c>
      <c r="E263" t="s">
        <v>24</v>
      </c>
      <c r="F263" t="s">
        <v>25</v>
      </c>
      <c r="G263" t="s">
        <v>17</v>
      </c>
      <c r="H263">
        <v>648</v>
      </c>
      <c r="I263">
        <v>594</v>
      </c>
      <c r="J263">
        <v>33</v>
      </c>
      <c r="K263">
        <v>5.0999999999999996</v>
      </c>
      <c r="L263">
        <v>2781.93</v>
      </c>
    </row>
    <row r="264" spans="1:12" x14ac:dyDescent="0.35">
      <c r="A264" s="1">
        <v>45348</v>
      </c>
      <c r="B264" t="s">
        <v>36</v>
      </c>
      <c r="C264" t="s">
        <v>37</v>
      </c>
      <c r="D264" t="s">
        <v>38</v>
      </c>
      <c r="E264" t="s">
        <v>26</v>
      </c>
      <c r="F264" t="s">
        <v>27</v>
      </c>
      <c r="G264" t="s">
        <v>20</v>
      </c>
      <c r="H264">
        <v>489</v>
      </c>
      <c r="I264">
        <v>369</v>
      </c>
      <c r="J264">
        <v>43</v>
      </c>
      <c r="K264">
        <v>8.8000000000000007</v>
      </c>
      <c r="L264">
        <v>1038.44</v>
      </c>
    </row>
    <row r="265" spans="1:12" x14ac:dyDescent="0.35">
      <c r="A265" s="1">
        <v>45348</v>
      </c>
      <c r="B265" t="s">
        <v>36</v>
      </c>
      <c r="C265" t="s">
        <v>37</v>
      </c>
      <c r="D265" t="s">
        <v>38</v>
      </c>
      <c r="E265" t="s">
        <v>28</v>
      </c>
      <c r="F265" t="s">
        <v>29</v>
      </c>
      <c r="G265" t="s">
        <v>23</v>
      </c>
      <c r="H265">
        <v>542</v>
      </c>
      <c r="I265">
        <v>361</v>
      </c>
      <c r="J265">
        <v>34</v>
      </c>
      <c r="K265">
        <v>6.3</v>
      </c>
      <c r="L265">
        <v>1517.96</v>
      </c>
    </row>
    <row r="266" spans="1:12" x14ac:dyDescent="0.35">
      <c r="A266" s="1">
        <v>45348</v>
      </c>
      <c r="B266" t="s">
        <v>39</v>
      </c>
      <c r="C266" t="s">
        <v>40</v>
      </c>
      <c r="D266" t="s">
        <v>14</v>
      </c>
      <c r="E266" t="s">
        <v>15</v>
      </c>
      <c r="F266" t="s">
        <v>16</v>
      </c>
      <c r="G266" t="s">
        <v>17</v>
      </c>
      <c r="H266">
        <v>353</v>
      </c>
      <c r="I266">
        <v>261</v>
      </c>
      <c r="J266">
        <v>19</v>
      </c>
      <c r="K266">
        <v>5.4</v>
      </c>
      <c r="L266">
        <v>1200.32</v>
      </c>
    </row>
    <row r="267" spans="1:12" x14ac:dyDescent="0.35">
      <c r="A267" s="1">
        <v>45348</v>
      </c>
      <c r="B267" t="s">
        <v>39</v>
      </c>
      <c r="C267" t="s">
        <v>40</v>
      </c>
      <c r="D267" t="s">
        <v>14</v>
      </c>
      <c r="E267" t="s">
        <v>18</v>
      </c>
      <c r="F267" t="s">
        <v>19</v>
      </c>
      <c r="G267" t="s">
        <v>20</v>
      </c>
      <c r="H267">
        <v>601</v>
      </c>
      <c r="I267">
        <v>411</v>
      </c>
      <c r="J267">
        <v>40</v>
      </c>
      <c r="K267">
        <v>6.7</v>
      </c>
      <c r="L267">
        <v>2405.8000000000002</v>
      </c>
    </row>
    <row r="268" spans="1:12" x14ac:dyDescent="0.35">
      <c r="A268" s="1">
        <v>45348</v>
      </c>
      <c r="B268" t="s">
        <v>39</v>
      </c>
      <c r="C268" t="s">
        <v>40</v>
      </c>
      <c r="D268" t="s">
        <v>14</v>
      </c>
      <c r="E268" t="s">
        <v>21</v>
      </c>
      <c r="F268" t="s">
        <v>22</v>
      </c>
      <c r="G268" t="s">
        <v>23</v>
      </c>
      <c r="H268">
        <v>536</v>
      </c>
      <c r="I268">
        <v>466</v>
      </c>
      <c r="J268">
        <v>38</v>
      </c>
      <c r="K268">
        <v>7.1</v>
      </c>
      <c r="L268">
        <v>3230.61</v>
      </c>
    </row>
    <row r="269" spans="1:12" x14ac:dyDescent="0.35">
      <c r="A269" s="1">
        <v>45348</v>
      </c>
      <c r="B269" t="s">
        <v>39</v>
      </c>
      <c r="C269" t="s">
        <v>40</v>
      </c>
      <c r="D269" t="s">
        <v>14</v>
      </c>
      <c r="E269" t="s">
        <v>24</v>
      </c>
      <c r="F269" t="s">
        <v>25</v>
      </c>
      <c r="G269" t="s">
        <v>17</v>
      </c>
      <c r="H269">
        <v>739</v>
      </c>
      <c r="I269">
        <v>498</v>
      </c>
      <c r="J269">
        <v>64</v>
      </c>
      <c r="K269">
        <v>8.6999999999999993</v>
      </c>
      <c r="L269">
        <v>1299.47</v>
      </c>
    </row>
    <row r="270" spans="1:12" x14ac:dyDescent="0.35">
      <c r="A270" s="1">
        <v>45348</v>
      </c>
      <c r="B270" t="s">
        <v>39</v>
      </c>
      <c r="C270" t="s">
        <v>40</v>
      </c>
      <c r="D270" t="s">
        <v>14</v>
      </c>
      <c r="E270" t="s">
        <v>26</v>
      </c>
      <c r="F270" t="s">
        <v>27</v>
      </c>
      <c r="G270" t="s">
        <v>20</v>
      </c>
      <c r="H270">
        <v>516</v>
      </c>
      <c r="I270">
        <v>360</v>
      </c>
      <c r="J270">
        <v>41</v>
      </c>
      <c r="K270">
        <v>7.9</v>
      </c>
      <c r="L270">
        <v>1950.35</v>
      </c>
    </row>
    <row r="271" spans="1:12" x14ac:dyDescent="0.35">
      <c r="A271" s="1">
        <v>45348</v>
      </c>
      <c r="B271" t="s">
        <v>39</v>
      </c>
      <c r="C271" t="s">
        <v>40</v>
      </c>
      <c r="D271" t="s">
        <v>14</v>
      </c>
      <c r="E271" t="s">
        <v>28</v>
      </c>
      <c r="F271" t="s">
        <v>29</v>
      </c>
      <c r="G271" t="s">
        <v>23</v>
      </c>
      <c r="H271">
        <v>431</v>
      </c>
      <c r="I271">
        <v>396</v>
      </c>
      <c r="J271">
        <v>13</v>
      </c>
      <c r="K271">
        <v>3</v>
      </c>
      <c r="L271">
        <v>2862.57</v>
      </c>
    </row>
    <row r="272" spans="1:12" x14ac:dyDescent="0.35">
      <c r="A272" s="1">
        <v>45355</v>
      </c>
      <c r="B272" t="s">
        <v>12</v>
      </c>
      <c r="C272" t="s">
        <v>13</v>
      </c>
      <c r="D272" t="s">
        <v>14</v>
      </c>
      <c r="E272" t="s">
        <v>15</v>
      </c>
      <c r="F272" t="s">
        <v>16</v>
      </c>
      <c r="G272" t="s">
        <v>17</v>
      </c>
      <c r="H272">
        <v>719</v>
      </c>
      <c r="I272">
        <v>616</v>
      </c>
      <c r="J272">
        <v>58</v>
      </c>
      <c r="K272">
        <v>8.1</v>
      </c>
      <c r="L272">
        <v>1679.51</v>
      </c>
    </row>
    <row r="273" spans="1:12" x14ac:dyDescent="0.35">
      <c r="A273" s="1">
        <v>45355</v>
      </c>
      <c r="B273" t="s">
        <v>12</v>
      </c>
      <c r="C273" t="s">
        <v>13</v>
      </c>
      <c r="D273" t="s">
        <v>14</v>
      </c>
      <c r="E273" t="s">
        <v>18</v>
      </c>
      <c r="F273" t="s">
        <v>19</v>
      </c>
      <c r="G273" t="s">
        <v>20</v>
      </c>
      <c r="H273">
        <v>544</v>
      </c>
      <c r="I273">
        <v>482</v>
      </c>
      <c r="J273">
        <v>31</v>
      </c>
      <c r="K273">
        <v>5.7</v>
      </c>
      <c r="L273">
        <v>1651.1</v>
      </c>
    </row>
    <row r="274" spans="1:12" x14ac:dyDescent="0.35">
      <c r="A274" s="1">
        <v>45355</v>
      </c>
      <c r="B274" t="s">
        <v>12</v>
      </c>
      <c r="C274" t="s">
        <v>13</v>
      </c>
      <c r="D274" t="s">
        <v>14</v>
      </c>
      <c r="E274" t="s">
        <v>21</v>
      </c>
      <c r="F274" t="s">
        <v>22</v>
      </c>
      <c r="G274" t="s">
        <v>23</v>
      </c>
      <c r="H274">
        <v>385</v>
      </c>
      <c r="I274">
        <v>336</v>
      </c>
      <c r="J274">
        <v>28</v>
      </c>
      <c r="K274">
        <v>7.3</v>
      </c>
      <c r="L274">
        <v>1173.73</v>
      </c>
    </row>
    <row r="275" spans="1:12" x14ac:dyDescent="0.35">
      <c r="A275" s="1">
        <v>45355</v>
      </c>
      <c r="B275" t="s">
        <v>12</v>
      </c>
      <c r="C275" t="s">
        <v>13</v>
      </c>
      <c r="D275" t="s">
        <v>14</v>
      </c>
      <c r="E275" t="s">
        <v>24</v>
      </c>
      <c r="F275" t="s">
        <v>25</v>
      </c>
      <c r="G275" t="s">
        <v>17</v>
      </c>
      <c r="H275">
        <v>648</v>
      </c>
      <c r="I275">
        <v>428</v>
      </c>
      <c r="J275">
        <v>53</v>
      </c>
      <c r="K275">
        <v>8.1999999999999993</v>
      </c>
      <c r="L275">
        <v>3559.9</v>
      </c>
    </row>
    <row r="276" spans="1:12" x14ac:dyDescent="0.35">
      <c r="A276" s="1">
        <v>45355</v>
      </c>
      <c r="B276" t="s">
        <v>12</v>
      </c>
      <c r="C276" t="s">
        <v>13</v>
      </c>
      <c r="D276" t="s">
        <v>14</v>
      </c>
      <c r="E276" t="s">
        <v>26</v>
      </c>
      <c r="F276" t="s">
        <v>27</v>
      </c>
      <c r="G276" t="s">
        <v>20</v>
      </c>
      <c r="H276">
        <v>491</v>
      </c>
      <c r="I276">
        <v>418</v>
      </c>
      <c r="J276">
        <v>23</v>
      </c>
      <c r="K276">
        <v>4.7</v>
      </c>
      <c r="L276">
        <v>1644.83</v>
      </c>
    </row>
    <row r="277" spans="1:12" x14ac:dyDescent="0.35">
      <c r="A277" s="1">
        <v>45355</v>
      </c>
      <c r="B277" t="s">
        <v>12</v>
      </c>
      <c r="C277" t="s">
        <v>13</v>
      </c>
      <c r="D277" t="s">
        <v>14</v>
      </c>
      <c r="E277" t="s">
        <v>28</v>
      </c>
      <c r="F277" t="s">
        <v>29</v>
      </c>
      <c r="G277" t="s">
        <v>23</v>
      </c>
      <c r="H277">
        <v>680</v>
      </c>
      <c r="I277">
        <v>607</v>
      </c>
      <c r="J277">
        <v>35</v>
      </c>
      <c r="K277">
        <v>5.0999999999999996</v>
      </c>
      <c r="L277">
        <v>3594.97</v>
      </c>
    </row>
    <row r="278" spans="1:12" x14ac:dyDescent="0.35">
      <c r="A278" s="1">
        <v>45355</v>
      </c>
      <c r="B278" t="s">
        <v>30</v>
      </c>
      <c r="C278" t="s">
        <v>31</v>
      </c>
      <c r="D278" t="s">
        <v>32</v>
      </c>
      <c r="E278" t="s">
        <v>15</v>
      </c>
      <c r="F278" t="s">
        <v>16</v>
      </c>
      <c r="G278" t="s">
        <v>17</v>
      </c>
      <c r="H278">
        <v>651</v>
      </c>
      <c r="I278">
        <v>504</v>
      </c>
      <c r="J278">
        <v>32</v>
      </c>
      <c r="K278">
        <v>4.9000000000000004</v>
      </c>
      <c r="L278">
        <v>2855.04</v>
      </c>
    </row>
    <row r="279" spans="1:12" x14ac:dyDescent="0.35">
      <c r="A279" s="1">
        <v>45355</v>
      </c>
      <c r="B279" t="s">
        <v>30</v>
      </c>
      <c r="C279" t="s">
        <v>31</v>
      </c>
      <c r="D279" t="s">
        <v>32</v>
      </c>
      <c r="E279" t="s">
        <v>18</v>
      </c>
      <c r="F279" t="s">
        <v>19</v>
      </c>
      <c r="G279" t="s">
        <v>20</v>
      </c>
      <c r="H279">
        <v>365</v>
      </c>
      <c r="I279">
        <v>317</v>
      </c>
      <c r="J279">
        <v>15</v>
      </c>
      <c r="K279">
        <v>4.0999999999999996</v>
      </c>
      <c r="L279">
        <v>1268.01</v>
      </c>
    </row>
    <row r="280" spans="1:12" x14ac:dyDescent="0.35">
      <c r="A280" s="1">
        <v>45355</v>
      </c>
      <c r="B280" t="s">
        <v>30</v>
      </c>
      <c r="C280" t="s">
        <v>31</v>
      </c>
      <c r="D280" t="s">
        <v>32</v>
      </c>
      <c r="E280" t="s">
        <v>21</v>
      </c>
      <c r="F280" t="s">
        <v>22</v>
      </c>
      <c r="G280" t="s">
        <v>23</v>
      </c>
      <c r="H280">
        <v>692</v>
      </c>
      <c r="I280">
        <v>613</v>
      </c>
      <c r="J280">
        <v>21</v>
      </c>
      <c r="K280">
        <v>3</v>
      </c>
      <c r="L280">
        <v>4643.6899999999996</v>
      </c>
    </row>
    <row r="281" spans="1:12" x14ac:dyDescent="0.35">
      <c r="A281" s="1">
        <v>45355</v>
      </c>
      <c r="B281" t="s">
        <v>30</v>
      </c>
      <c r="C281" t="s">
        <v>31</v>
      </c>
      <c r="D281" t="s">
        <v>32</v>
      </c>
      <c r="E281" t="s">
        <v>24</v>
      </c>
      <c r="F281" t="s">
        <v>25</v>
      </c>
      <c r="G281" t="s">
        <v>17</v>
      </c>
      <c r="H281">
        <v>327</v>
      </c>
      <c r="I281">
        <v>237</v>
      </c>
      <c r="J281">
        <v>23</v>
      </c>
      <c r="K281">
        <v>7</v>
      </c>
      <c r="L281">
        <v>1879.85</v>
      </c>
    </row>
    <row r="282" spans="1:12" x14ac:dyDescent="0.35">
      <c r="A282" s="1">
        <v>45355</v>
      </c>
      <c r="B282" t="s">
        <v>30</v>
      </c>
      <c r="C282" t="s">
        <v>31</v>
      </c>
      <c r="D282" t="s">
        <v>32</v>
      </c>
      <c r="E282" t="s">
        <v>26</v>
      </c>
      <c r="F282" t="s">
        <v>27</v>
      </c>
      <c r="G282" t="s">
        <v>20</v>
      </c>
      <c r="H282">
        <v>350</v>
      </c>
      <c r="I282">
        <v>306</v>
      </c>
      <c r="J282">
        <v>21</v>
      </c>
      <c r="K282">
        <v>6</v>
      </c>
      <c r="L282">
        <v>2264.4699999999998</v>
      </c>
    </row>
    <row r="283" spans="1:12" x14ac:dyDescent="0.35">
      <c r="A283" s="1">
        <v>45355</v>
      </c>
      <c r="B283" t="s">
        <v>30</v>
      </c>
      <c r="C283" t="s">
        <v>31</v>
      </c>
      <c r="D283" t="s">
        <v>32</v>
      </c>
      <c r="E283" t="s">
        <v>28</v>
      </c>
      <c r="F283" t="s">
        <v>29</v>
      </c>
      <c r="G283" t="s">
        <v>23</v>
      </c>
      <c r="H283">
        <v>557</v>
      </c>
      <c r="I283">
        <v>501</v>
      </c>
      <c r="J283">
        <v>23</v>
      </c>
      <c r="K283">
        <v>4.0999999999999996</v>
      </c>
      <c r="L283">
        <v>2376.63</v>
      </c>
    </row>
    <row r="284" spans="1:12" x14ac:dyDescent="0.35">
      <c r="A284" s="1">
        <v>45355</v>
      </c>
      <c r="B284" t="s">
        <v>33</v>
      </c>
      <c r="C284" t="s">
        <v>34</v>
      </c>
      <c r="D284" t="s">
        <v>35</v>
      </c>
      <c r="E284" t="s">
        <v>15</v>
      </c>
      <c r="F284" t="s">
        <v>16</v>
      </c>
      <c r="G284" t="s">
        <v>17</v>
      </c>
      <c r="H284">
        <v>595</v>
      </c>
      <c r="I284">
        <v>546</v>
      </c>
      <c r="J284">
        <v>12</v>
      </c>
      <c r="K284">
        <v>2</v>
      </c>
      <c r="L284">
        <v>4414.3900000000003</v>
      </c>
    </row>
    <row r="285" spans="1:12" x14ac:dyDescent="0.35">
      <c r="A285" s="1">
        <v>45355</v>
      </c>
      <c r="B285" t="s">
        <v>33</v>
      </c>
      <c r="C285" t="s">
        <v>34</v>
      </c>
      <c r="D285" t="s">
        <v>35</v>
      </c>
      <c r="E285" t="s">
        <v>18</v>
      </c>
      <c r="F285" t="s">
        <v>19</v>
      </c>
      <c r="G285" t="s">
        <v>20</v>
      </c>
      <c r="H285">
        <v>543</v>
      </c>
      <c r="I285">
        <v>468</v>
      </c>
      <c r="J285">
        <v>18</v>
      </c>
      <c r="K285">
        <v>3.3</v>
      </c>
      <c r="L285">
        <v>3499.97</v>
      </c>
    </row>
    <row r="286" spans="1:12" x14ac:dyDescent="0.35">
      <c r="A286" s="1">
        <v>45355</v>
      </c>
      <c r="B286" t="s">
        <v>33</v>
      </c>
      <c r="C286" t="s">
        <v>34</v>
      </c>
      <c r="D286" t="s">
        <v>35</v>
      </c>
      <c r="E286" t="s">
        <v>21</v>
      </c>
      <c r="F286" t="s">
        <v>22</v>
      </c>
      <c r="G286" t="s">
        <v>23</v>
      </c>
      <c r="H286">
        <v>342</v>
      </c>
      <c r="I286">
        <v>292</v>
      </c>
      <c r="J286">
        <v>20</v>
      </c>
      <c r="K286">
        <v>5.8</v>
      </c>
      <c r="L286">
        <v>2317.06</v>
      </c>
    </row>
    <row r="287" spans="1:12" x14ac:dyDescent="0.35">
      <c r="A287" s="1">
        <v>45355</v>
      </c>
      <c r="B287" t="s">
        <v>33</v>
      </c>
      <c r="C287" t="s">
        <v>34</v>
      </c>
      <c r="D287" t="s">
        <v>35</v>
      </c>
      <c r="E287" t="s">
        <v>24</v>
      </c>
      <c r="F287" t="s">
        <v>25</v>
      </c>
      <c r="G287" t="s">
        <v>17</v>
      </c>
      <c r="H287">
        <v>219</v>
      </c>
      <c r="I287">
        <v>157</v>
      </c>
      <c r="J287">
        <v>19</v>
      </c>
      <c r="K287">
        <v>8.6999999999999993</v>
      </c>
      <c r="L287">
        <v>1077.56</v>
      </c>
    </row>
    <row r="288" spans="1:12" x14ac:dyDescent="0.35">
      <c r="A288" s="1">
        <v>45355</v>
      </c>
      <c r="B288" t="s">
        <v>33</v>
      </c>
      <c r="C288" t="s">
        <v>34</v>
      </c>
      <c r="D288" t="s">
        <v>35</v>
      </c>
      <c r="E288" t="s">
        <v>26</v>
      </c>
      <c r="F288" t="s">
        <v>27</v>
      </c>
      <c r="G288" t="s">
        <v>20</v>
      </c>
      <c r="H288">
        <v>740</v>
      </c>
      <c r="I288">
        <v>565</v>
      </c>
      <c r="J288">
        <v>47</v>
      </c>
      <c r="K288">
        <v>6.4</v>
      </c>
      <c r="L288">
        <v>1825.57</v>
      </c>
    </row>
    <row r="289" spans="1:12" x14ac:dyDescent="0.35">
      <c r="A289" s="1">
        <v>45355</v>
      </c>
      <c r="B289" t="s">
        <v>33</v>
      </c>
      <c r="C289" t="s">
        <v>34</v>
      </c>
      <c r="D289" t="s">
        <v>35</v>
      </c>
      <c r="E289" t="s">
        <v>28</v>
      </c>
      <c r="F289" t="s">
        <v>29</v>
      </c>
      <c r="G289" t="s">
        <v>23</v>
      </c>
      <c r="H289">
        <v>444</v>
      </c>
      <c r="I289">
        <v>338</v>
      </c>
      <c r="J289">
        <v>33</v>
      </c>
      <c r="K289">
        <v>7.4</v>
      </c>
      <c r="L289">
        <v>1069.82</v>
      </c>
    </row>
    <row r="290" spans="1:12" x14ac:dyDescent="0.35">
      <c r="A290" s="1">
        <v>45355</v>
      </c>
      <c r="B290" t="s">
        <v>36</v>
      </c>
      <c r="C290" t="s">
        <v>37</v>
      </c>
      <c r="D290" t="s">
        <v>38</v>
      </c>
      <c r="E290" t="s">
        <v>15</v>
      </c>
      <c r="F290" t="s">
        <v>16</v>
      </c>
      <c r="G290" t="s">
        <v>17</v>
      </c>
      <c r="H290">
        <v>711</v>
      </c>
      <c r="I290">
        <v>576</v>
      </c>
      <c r="J290">
        <v>31</v>
      </c>
      <c r="K290">
        <v>4.4000000000000004</v>
      </c>
      <c r="L290">
        <v>2276.14</v>
      </c>
    </row>
    <row r="291" spans="1:12" x14ac:dyDescent="0.35">
      <c r="A291" s="1">
        <v>45355</v>
      </c>
      <c r="B291" t="s">
        <v>36</v>
      </c>
      <c r="C291" t="s">
        <v>37</v>
      </c>
      <c r="D291" t="s">
        <v>38</v>
      </c>
      <c r="E291" t="s">
        <v>18</v>
      </c>
      <c r="F291" t="s">
        <v>19</v>
      </c>
      <c r="G291" t="s">
        <v>20</v>
      </c>
      <c r="H291">
        <v>347</v>
      </c>
      <c r="I291">
        <v>252</v>
      </c>
      <c r="J291">
        <v>13</v>
      </c>
      <c r="K291">
        <v>3.7</v>
      </c>
      <c r="L291">
        <v>1492.84</v>
      </c>
    </row>
    <row r="292" spans="1:12" x14ac:dyDescent="0.35">
      <c r="A292" s="1">
        <v>45355</v>
      </c>
      <c r="B292" t="s">
        <v>36</v>
      </c>
      <c r="C292" t="s">
        <v>37</v>
      </c>
      <c r="D292" t="s">
        <v>38</v>
      </c>
      <c r="E292" t="s">
        <v>21</v>
      </c>
      <c r="F292" t="s">
        <v>22</v>
      </c>
      <c r="G292" t="s">
        <v>23</v>
      </c>
      <c r="H292">
        <v>391</v>
      </c>
      <c r="I292">
        <v>324</v>
      </c>
      <c r="J292">
        <v>26</v>
      </c>
      <c r="K292">
        <v>6.6</v>
      </c>
      <c r="L292">
        <v>941.57</v>
      </c>
    </row>
    <row r="293" spans="1:12" x14ac:dyDescent="0.35">
      <c r="A293" s="1">
        <v>45355</v>
      </c>
      <c r="B293" t="s">
        <v>36</v>
      </c>
      <c r="C293" t="s">
        <v>37</v>
      </c>
      <c r="D293" t="s">
        <v>38</v>
      </c>
      <c r="E293" t="s">
        <v>24</v>
      </c>
      <c r="F293" t="s">
        <v>25</v>
      </c>
      <c r="G293" t="s">
        <v>17</v>
      </c>
      <c r="H293">
        <v>738</v>
      </c>
      <c r="I293">
        <v>588</v>
      </c>
      <c r="J293">
        <v>53</v>
      </c>
      <c r="K293">
        <v>7.2</v>
      </c>
      <c r="L293">
        <v>1541.74</v>
      </c>
    </row>
    <row r="294" spans="1:12" x14ac:dyDescent="0.35">
      <c r="A294" s="1">
        <v>45355</v>
      </c>
      <c r="B294" t="s">
        <v>36</v>
      </c>
      <c r="C294" t="s">
        <v>37</v>
      </c>
      <c r="D294" t="s">
        <v>38</v>
      </c>
      <c r="E294" t="s">
        <v>26</v>
      </c>
      <c r="F294" t="s">
        <v>27</v>
      </c>
      <c r="G294" t="s">
        <v>20</v>
      </c>
      <c r="H294">
        <v>681</v>
      </c>
      <c r="I294">
        <v>450</v>
      </c>
      <c r="J294">
        <v>44</v>
      </c>
      <c r="K294">
        <v>6.5</v>
      </c>
      <c r="L294">
        <v>3142.75</v>
      </c>
    </row>
    <row r="295" spans="1:12" x14ac:dyDescent="0.35">
      <c r="A295" s="1">
        <v>45355</v>
      </c>
      <c r="B295" t="s">
        <v>36</v>
      </c>
      <c r="C295" t="s">
        <v>37</v>
      </c>
      <c r="D295" t="s">
        <v>38</v>
      </c>
      <c r="E295" t="s">
        <v>28</v>
      </c>
      <c r="F295" t="s">
        <v>29</v>
      </c>
      <c r="G295" t="s">
        <v>23</v>
      </c>
      <c r="H295">
        <v>565</v>
      </c>
      <c r="I295">
        <v>487</v>
      </c>
      <c r="J295">
        <v>34</v>
      </c>
      <c r="K295">
        <v>6</v>
      </c>
      <c r="L295">
        <v>3053.27</v>
      </c>
    </row>
    <row r="296" spans="1:12" x14ac:dyDescent="0.35">
      <c r="A296" s="1">
        <v>45355</v>
      </c>
      <c r="B296" t="s">
        <v>39</v>
      </c>
      <c r="C296" t="s">
        <v>40</v>
      </c>
      <c r="D296" t="s">
        <v>14</v>
      </c>
      <c r="E296" t="s">
        <v>15</v>
      </c>
      <c r="F296" t="s">
        <v>16</v>
      </c>
      <c r="G296" t="s">
        <v>17</v>
      </c>
      <c r="H296">
        <v>795</v>
      </c>
      <c r="I296">
        <v>674</v>
      </c>
      <c r="J296">
        <v>21</v>
      </c>
      <c r="K296">
        <v>2.6</v>
      </c>
      <c r="L296">
        <v>3893.08</v>
      </c>
    </row>
    <row r="297" spans="1:12" x14ac:dyDescent="0.35">
      <c r="A297" s="1">
        <v>45355</v>
      </c>
      <c r="B297" t="s">
        <v>39</v>
      </c>
      <c r="C297" t="s">
        <v>40</v>
      </c>
      <c r="D297" t="s">
        <v>14</v>
      </c>
      <c r="E297" t="s">
        <v>18</v>
      </c>
      <c r="F297" t="s">
        <v>19</v>
      </c>
      <c r="G297" t="s">
        <v>20</v>
      </c>
      <c r="H297">
        <v>379</v>
      </c>
      <c r="I297">
        <v>331</v>
      </c>
      <c r="J297">
        <v>30</v>
      </c>
      <c r="K297">
        <v>7.9</v>
      </c>
      <c r="L297">
        <v>1777.86</v>
      </c>
    </row>
    <row r="298" spans="1:12" x14ac:dyDescent="0.35">
      <c r="A298" s="1">
        <v>45355</v>
      </c>
      <c r="B298" t="s">
        <v>39</v>
      </c>
      <c r="C298" t="s">
        <v>40</v>
      </c>
      <c r="D298" t="s">
        <v>14</v>
      </c>
      <c r="E298" t="s">
        <v>21</v>
      </c>
      <c r="F298" t="s">
        <v>22</v>
      </c>
      <c r="G298" t="s">
        <v>23</v>
      </c>
      <c r="H298">
        <v>386</v>
      </c>
      <c r="I298">
        <v>335</v>
      </c>
      <c r="J298">
        <v>21</v>
      </c>
      <c r="K298">
        <v>5.4</v>
      </c>
      <c r="L298">
        <v>1757.44</v>
      </c>
    </row>
    <row r="299" spans="1:12" x14ac:dyDescent="0.35">
      <c r="A299" s="1">
        <v>45355</v>
      </c>
      <c r="B299" t="s">
        <v>39</v>
      </c>
      <c r="C299" t="s">
        <v>40</v>
      </c>
      <c r="D299" t="s">
        <v>14</v>
      </c>
      <c r="E299" t="s">
        <v>24</v>
      </c>
      <c r="F299" t="s">
        <v>25</v>
      </c>
      <c r="G299" t="s">
        <v>17</v>
      </c>
      <c r="H299">
        <v>500</v>
      </c>
      <c r="I299">
        <v>352</v>
      </c>
      <c r="J299">
        <v>54</v>
      </c>
      <c r="K299">
        <v>10.8</v>
      </c>
      <c r="L299">
        <v>1546.54</v>
      </c>
    </row>
    <row r="300" spans="1:12" x14ac:dyDescent="0.35">
      <c r="A300" s="1">
        <v>45355</v>
      </c>
      <c r="B300" t="s">
        <v>39</v>
      </c>
      <c r="C300" t="s">
        <v>40</v>
      </c>
      <c r="D300" t="s">
        <v>14</v>
      </c>
      <c r="E300" t="s">
        <v>26</v>
      </c>
      <c r="F300" t="s">
        <v>27</v>
      </c>
      <c r="G300" t="s">
        <v>20</v>
      </c>
      <c r="H300">
        <v>517</v>
      </c>
      <c r="I300">
        <v>407</v>
      </c>
      <c r="J300">
        <v>43</v>
      </c>
      <c r="K300">
        <v>8.3000000000000007</v>
      </c>
      <c r="L300">
        <v>1636.09</v>
      </c>
    </row>
    <row r="301" spans="1:12" x14ac:dyDescent="0.35">
      <c r="A301" s="1">
        <v>45355</v>
      </c>
      <c r="B301" t="s">
        <v>39</v>
      </c>
      <c r="C301" t="s">
        <v>40</v>
      </c>
      <c r="D301" t="s">
        <v>14</v>
      </c>
      <c r="E301" t="s">
        <v>28</v>
      </c>
      <c r="F301" t="s">
        <v>29</v>
      </c>
      <c r="G301" t="s">
        <v>23</v>
      </c>
      <c r="H301">
        <v>395</v>
      </c>
      <c r="I301">
        <v>287</v>
      </c>
      <c r="J301">
        <v>25</v>
      </c>
      <c r="K301">
        <v>6.3</v>
      </c>
      <c r="L301">
        <v>1846.67</v>
      </c>
    </row>
    <row r="302" spans="1:12" x14ac:dyDescent="0.35">
      <c r="A302" s="1">
        <v>45362</v>
      </c>
      <c r="B302" t="s">
        <v>12</v>
      </c>
      <c r="C302" t="s">
        <v>13</v>
      </c>
      <c r="D302" t="s">
        <v>14</v>
      </c>
      <c r="E302" t="s">
        <v>15</v>
      </c>
      <c r="F302" t="s">
        <v>16</v>
      </c>
      <c r="G302" t="s">
        <v>17</v>
      </c>
      <c r="H302">
        <v>479</v>
      </c>
      <c r="I302">
        <v>327</v>
      </c>
      <c r="J302">
        <v>42</v>
      </c>
      <c r="K302">
        <v>8.8000000000000007</v>
      </c>
      <c r="L302">
        <v>2275.87</v>
      </c>
    </row>
    <row r="303" spans="1:12" x14ac:dyDescent="0.35">
      <c r="A303" s="1">
        <v>45362</v>
      </c>
      <c r="B303" t="s">
        <v>12</v>
      </c>
      <c r="C303" t="s">
        <v>13</v>
      </c>
      <c r="D303" t="s">
        <v>14</v>
      </c>
      <c r="E303" t="s">
        <v>18</v>
      </c>
      <c r="F303" t="s">
        <v>19</v>
      </c>
      <c r="G303" t="s">
        <v>20</v>
      </c>
      <c r="H303">
        <v>595</v>
      </c>
      <c r="I303">
        <v>441</v>
      </c>
      <c r="J303">
        <v>37</v>
      </c>
      <c r="K303">
        <v>6.2</v>
      </c>
      <c r="L303">
        <v>2074.5</v>
      </c>
    </row>
    <row r="304" spans="1:12" x14ac:dyDescent="0.35">
      <c r="A304" s="1">
        <v>45362</v>
      </c>
      <c r="B304" t="s">
        <v>12</v>
      </c>
      <c r="C304" t="s">
        <v>13</v>
      </c>
      <c r="D304" t="s">
        <v>14</v>
      </c>
      <c r="E304" t="s">
        <v>21</v>
      </c>
      <c r="F304" t="s">
        <v>22</v>
      </c>
      <c r="G304" t="s">
        <v>23</v>
      </c>
      <c r="H304">
        <v>731</v>
      </c>
      <c r="I304">
        <v>527</v>
      </c>
      <c r="J304">
        <v>34</v>
      </c>
      <c r="K304">
        <v>4.7</v>
      </c>
      <c r="L304">
        <v>2679.08</v>
      </c>
    </row>
    <row r="305" spans="1:12" x14ac:dyDescent="0.35">
      <c r="A305" s="1">
        <v>45362</v>
      </c>
      <c r="B305" t="s">
        <v>12</v>
      </c>
      <c r="C305" t="s">
        <v>13</v>
      </c>
      <c r="D305" t="s">
        <v>14</v>
      </c>
      <c r="E305" t="s">
        <v>24</v>
      </c>
      <c r="F305" t="s">
        <v>25</v>
      </c>
      <c r="G305" t="s">
        <v>17</v>
      </c>
      <c r="H305">
        <v>384</v>
      </c>
      <c r="I305">
        <v>306</v>
      </c>
      <c r="J305">
        <v>13</v>
      </c>
      <c r="K305">
        <v>3.4</v>
      </c>
      <c r="L305">
        <v>1978.45</v>
      </c>
    </row>
    <row r="306" spans="1:12" x14ac:dyDescent="0.35">
      <c r="A306" s="1">
        <v>45362</v>
      </c>
      <c r="B306" t="s">
        <v>12</v>
      </c>
      <c r="C306" t="s">
        <v>13</v>
      </c>
      <c r="D306" t="s">
        <v>14</v>
      </c>
      <c r="E306" t="s">
        <v>26</v>
      </c>
      <c r="F306" t="s">
        <v>27</v>
      </c>
      <c r="G306" t="s">
        <v>20</v>
      </c>
      <c r="H306">
        <v>513</v>
      </c>
      <c r="I306">
        <v>395</v>
      </c>
      <c r="J306">
        <v>29</v>
      </c>
      <c r="K306">
        <v>5.7</v>
      </c>
      <c r="L306">
        <v>2039.56</v>
      </c>
    </row>
    <row r="307" spans="1:12" x14ac:dyDescent="0.35">
      <c r="A307" s="1">
        <v>45362</v>
      </c>
      <c r="B307" t="s">
        <v>12</v>
      </c>
      <c r="C307" t="s">
        <v>13</v>
      </c>
      <c r="D307" t="s">
        <v>14</v>
      </c>
      <c r="E307" t="s">
        <v>28</v>
      </c>
      <c r="F307" t="s">
        <v>29</v>
      </c>
      <c r="G307" t="s">
        <v>23</v>
      </c>
      <c r="H307">
        <v>657</v>
      </c>
      <c r="I307">
        <v>434</v>
      </c>
      <c r="J307">
        <v>61</v>
      </c>
      <c r="K307">
        <v>9.3000000000000007</v>
      </c>
      <c r="L307">
        <v>3684.18</v>
      </c>
    </row>
    <row r="308" spans="1:12" x14ac:dyDescent="0.35">
      <c r="A308" s="1">
        <v>45362</v>
      </c>
      <c r="B308" t="s">
        <v>30</v>
      </c>
      <c r="C308" t="s">
        <v>31</v>
      </c>
      <c r="D308" t="s">
        <v>32</v>
      </c>
      <c r="E308" t="s">
        <v>15</v>
      </c>
      <c r="F308" t="s">
        <v>16</v>
      </c>
      <c r="G308" t="s">
        <v>17</v>
      </c>
      <c r="H308">
        <v>481</v>
      </c>
      <c r="I308">
        <v>395</v>
      </c>
      <c r="J308">
        <v>21</v>
      </c>
      <c r="K308">
        <v>4.4000000000000004</v>
      </c>
      <c r="L308">
        <v>2578.21</v>
      </c>
    </row>
    <row r="309" spans="1:12" x14ac:dyDescent="0.35">
      <c r="A309" s="1">
        <v>45362</v>
      </c>
      <c r="B309" t="s">
        <v>30</v>
      </c>
      <c r="C309" t="s">
        <v>31</v>
      </c>
      <c r="D309" t="s">
        <v>32</v>
      </c>
      <c r="E309" t="s">
        <v>18</v>
      </c>
      <c r="F309" t="s">
        <v>19</v>
      </c>
      <c r="G309" t="s">
        <v>20</v>
      </c>
      <c r="H309">
        <v>615</v>
      </c>
      <c r="I309">
        <v>460</v>
      </c>
      <c r="J309">
        <v>55</v>
      </c>
      <c r="K309">
        <v>8.9</v>
      </c>
      <c r="L309">
        <v>3779.7</v>
      </c>
    </row>
    <row r="310" spans="1:12" x14ac:dyDescent="0.35">
      <c r="A310" s="1">
        <v>45362</v>
      </c>
      <c r="B310" t="s">
        <v>30</v>
      </c>
      <c r="C310" t="s">
        <v>31</v>
      </c>
      <c r="D310" t="s">
        <v>32</v>
      </c>
      <c r="E310" t="s">
        <v>21</v>
      </c>
      <c r="F310" t="s">
        <v>22</v>
      </c>
      <c r="G310" t="s">
        <v>23</v>
      </c>
      <c r="H310">
        <v>346</v>
      </c>
      <c r="I310">
        <v>304</v>
      </c>
      <c r="J310">
        <v>17</v>
      </c>
      <c r="K310">
        <v>4.9000000000000004</v>
      </c>
      <c r="L310">
        <v>990.24</v>
      </c>
    </row>
    <row r="311" spans="1:12" x14ac:dyDescent="0.35">
      <c r="A311" s="1">
        <v>45362</v>
      </c>
      <c r="B311" t="s">
        <v>30</v>
      </c>
      <c r="C311" t="s">
        <v>31</v>
      </c>
      <c r="D311" t="s">
        <v>32</v>
      </c>
      <c r="E311" t="s">
        <v>24</v>
      </c>
      <c r="F311" t="s">
        <v>25</v>
      </c>
      <c r="G311" t="s">
        <v>17</v>
      </c>
      <c r="H311">
        <v>441</v>
      </c>
      <c r="I311">
        <v>379</v>
      </c>
      <c r="J311">
        <v>19</v>
      </c>
      <c r="K311">
        <v>4.3</v>
      </c>
      <c r="L311">
        <v>2237.41</v>
      </c>
    </row>
    <row r="312" spans="1:12" x14ac:dyDescent="0.35">
      <c r="A312" s="1">
        <v>45362</v>
      </c>
      <c r="B312" t="s">
        <v>30</v>
      </c>
      <c r="C312" t="s">
        <v>31</v>
      </c>
      <c r="D312" t="s">
        <v>32</v>
      </c>
      <c r="E312" t="s">
        <v>26</v>
      </c>
      <c r="F312" t="s">
        <v>27</v>
      </c>
      <c r="G312" t="s">
        <v>20</v>
      </c>
      <c r="H312">
        <v>357</v>
      </c>
      <c r="I312">
        <v>297</v>
      </c>
      <c r="J312">
        <v>22</v>
      </c>
      <c r="K312">
        <v>6.2</v>
      </c>
      <c r="L312">
        <v>2102.3200000000002</v>
      </c>
    </row>
    <row r="313" spans="1:12" x14ac:dyDescent="0.35">
      <c r="A313" s="1">
        <v>45362</v>
      </c>
      <c r="B313" t="s">
        <v>30</v>
      </c>
      <c r="C313" t="s">
        <v>31</v>
      </c>
      <c r="D313" t="s">
        <v>32</v>
      </c>
      <c r="E313" t="s">
        <v>28</v>
      </c>
      <c r="F313" t="s">
        <v>29</v>
      </c>
      <c r="G313" t="s">
        <v>23</v>
      </c>
      <c r="H313">
        <v>787</v>
      </c>
      <c r="I313">
        <v>540</v>
      </c>
      <c r="J313">
        <v>46</v>
      </c>
      <c r="K313">
        <v>5.8</v>
      </c>
      <c r="L313">
        <v>2252.9499999999998</v>
      </c>
    </row>
    <row r="314" spans="1:12" x14ac:dyDescent="0.35">
      <c r="A314" s="1">
        <v>45362</v>
      </c>
      <c r="B314" t="s">
        <v>33</v>
      </c>
      <c r="C314" t="s">
        <v>34</v>
      </c>
      <c r="D314" t="s">
        <v>35</v>
      </c>
      <c r="E314" t="s">
        <v>15</v>
      </c>
      <c r="F314" t="s">
        <v>16</v>
      </c>
      <c r="G314" t="s">
        <v>17</v>
      </c>
      <c r="H314">
        <v>316</v>
      </c>
      <c r="I314">
        <v>207</v>
      </c>
      <c r="J314">
        <v>19</v>
      </c>
      <c r="K314">
        <v>6</v>
      </c>
      <c r="L314">
        <v>1652.12</v>
      </c>
    </row>
    <row r="315" spans="1:12" x14ac:dyDescent="0.35">
      <c r="A315" s="1">
        <v>45362</v>
      </c>
      <c r="B315" t="s">
        <v>33</v>
      </c>
      <c r="C315" t="s">
        <v>34</v>
      </c>
      <c r="D315" t="s">
        <v>35</v>
      </c>
      <c r="E315" t="s">
        <v>18</v>
      </c>
      <c r="F315" t="s">
        <v>19</v>
      </c>
      <c r="G315" t="s">
        <v>20</v>
      </c>
      <c r="H315">
        <v>320</v>
      </c>
      <c r="I315">
        <v>230</v>
      </c>
      <c r="J315">
        <v>18</v>
      </c>
      <c r="K315">
        <v>5.6</v>
      </c>
      <c r="L315">
        <v>1949.98</v>
      </c>
    </row>
    <row r="316" spans="1:12" x14ac:dyDescent="0.35">
      <c r="A316" s="1">
        <v>45362</v>
      </c>
      <c r="B316" t="s">
        <v>33</v>
      </c>
      <c r="C316" t="s">
        <v>34</v>
      </c>
      <c r="D316" t="s">
        <v>35</v>
      </c>
      <c r="E316" t="s">
        <v>21</v>
      </c>
      <c r="F316" t="s">
        <v>22</v>
      </c>
      <c r="G316" t="s">
        <v>23</v>
      </c>
      <c r="H316">
        <v>492</v>
      </c>
      <c r="I316">
        <v>411</v>
      </c>
      <c r="J316">
        <v>27</v>
      </c>
      <c r="K316">
        <v>5.5</v>
      </c>
      <c r="L316">
        <v>1362.21</v>
      </c>
    </row>
    <row r="317" spans="1:12" x14ac:dyDescent="0.35">
      <c r="A317" s="1">
        <v>45362</v>
      </c>
      <c r="B317" t="s">
        <v>33</v>
      </c>
      <c r="C317" t="s">
        <v>34</v>
      </c>
      <c r="D317" t="s">
        <v>35</v>
      </c>
      <c r="E317" t="s">
        <v>24</v>
      </c>
      <c r="F317" t="s">
        <v>25</v>
      </c>
      <c r="G317" t="s">
        <v>17</v>
      </c>
      <c r="H317">
        <v>275</v>
      </c>
      <c r="I317">
        <v>212</v>
      </c>
      <c r="J317">
        <v>21</v>
      </c>
      <c r="K317">
        <v>7.6</v>
      </c>
      <c r="L317">
        <v>641.66999999999996</v>
      </c>
    </row>
    <row r="318" spans="1:12" x14ac:dyDescent="0.35">
      <c r="A318" s="1">
        <v>45362</v>
      </c>
      <c r="B318" t="s">
        <v>33</v>
      </c>
      <c r="C318" t="s">
        <v>34</v>
      </c>
      <c r="D318" t="s">
        <v>35</v>
      </c>
      <c r="E318" t="s">
        <v>26</v>
      </c>
      <c r="F318" t="s">
        <v>27</v>
      </c>
      <c r="G318" t="s">
        <v>20</v>
      </c>
      <c r="H318">
        <v>527</v>
      </c>
      <c r="I318">
        <v>437</v>
      </c>
      <c r="J318">
        <v>34</v>
      </c>
      <c r="K318">
        <v>6.5</v>
      </c>
      <c r="L318">
        <v>1853.83</v>
      </c>
    </row>
    <row r="319" spans="1:12" x14ac:dyDescent="0.35">
      <c r="A319" s="1">
        <v>45362</v>
      </c>
      <c r="B319" t="s">
        <v>33</v>
      </c>
      <c r="C319" t="s">
        <v>34</v>
      </c>
      <c r="D319" t="s">
        <v>35</v>
      </c>
      <c r="E319" t="s">
        <v>28</v>
      </c>
      <c r="F319" t="s">
        <v>29</v>
      </c>
      <c r="G319" t="s">
        <v>23</v>
      </c>
      <c r="H319">
        <v>507</v>
      </c>
      <c r="I319">
        <v>446</v>
      </c>
      <c r="J319">
        <v>38</v>
      </c>
      <c r="K319">
        <v>7.5</v>
      </c>
      <c r="L319">
        <v>2821.49</v>
      </c>
    </row>
    <row r="320" spans="1:12" x14ac:dyDescent="0.35">
      <c r="A320" s="1">
        <v>45362</v>
      </c>
      <c r="B320" t="s">
        <v>36</v>
      </c>
      <c r="C320" t="s">
        <v>37</v>
      </c>
      <c r="D320" t="s">
        <v>38</v>
      </c>
      <c r="E320" t="s">
        <v>15</v>
      </c>
      <c r="F320" t="s">
        <v>16</v>
      </c>
      <c r="G320" t="s">
        <v>17</v>
      </c>
      <c r="H320">
        <v>570</v>
      </c>
      <c r="I320">
        <v>448</v>
      </c>
      <c r="J320">
        <v>18</v>
      </c>
      <c r="K320">
        <v>3.2</v>
      </c>
      <c r="L320">
        <v>1493.3</v>
      </c>
    </row>
    <row r="321" spans="1:12" x14ac:dyDescent="0.35">
      <c r="A321" s="1">
        <v>45362</v>
      </c>
      <c r="B321" t="s">
        <v>36</v>
      </c>
      <c r="C321" t="s">
        <v>37</v>
      </c>
      <c r="D321" t="s">
        <v>38</v>
      </c>
      <c r="E321" t="s">
        <v>18</v>
      </c>
      <c r="F321" t="s">
        <v>19</v>
      </c>
      <c r="G321" t="s">
        <v>20</v>
      </c>
      <c r="H321">
        <v>705</v>
      </c>
      <c r="I321">
        <v>463</v>
      </c>
      <c r="J321">
        <v>53</v>
      </c>
      <c r="K321">
        <v>7.5</v>
      </c>
      <c r="L321">
        <v>3390.07</v>
      </c>
    </row>
    <row r="322" spans="1:12" x14ac:dyDescent="0.35">
      <c r="A322" s="1">
        <v>45362</v>
      </c>
      <c r="B322" t="s">
        <v>36</v>
      </c>
      <c r="C322" t="s">
        <v>37</v>
      </c>
      <c r="D322" t="s">
        <v>38</v>
      </c>
      <c r="E322" t="s">
        <v>21</v>
      </c>
      <c r="F322" t="s">
        <v>22</v>
      </c>
      <c r="G322" t="s">
        <v>23</v>
      </c>
      <c r="H322">
        <v>764</v>
      </c>
      <c r="I322">
        <v>523</v>
      </c>
      <c r="J322">
        <v>58</v>
      </c>
      <c r="K322">
        <v>7.6</v>
      </c>
      <c r="L322">
        <v>2556.9299999999998</v>
      </c>
    </row>
    <row r="323" spans="1:12" x14ac:dyDescent="0.35">
      <c r="A323" s="1">
        <v>45362</v>
      </c>
      <c r="B323" t="s">
        <v>36</v>
      </c>
      <c r="C323" t="s">
        <v>37</v>
      </c>
      <c r="D323" t="s">
        <v>38</v>
      </c>
      <c r="E323" t="s">
        <v>24</v>
      </c>
      <c r="F323" t="s">
        <v>25</v>
      </c>
      <c r="G323" t="s">
        <v>17</v>
      </c>
      <c r="H323">
        <v>690</v>
      </c>
      <c r="I323">
        <v>546</v>
      </c>
      <c r="J323">
        <v>61</v>
      </c>
      <c r="K323">
        <v>8.8000000000000007</v>
      </c>
      <c r="L323">
        <v>1606.61</v>
      </c>
    </row>
    <row r="324" spans="1:12" x14ac:dyDescent="0.35">
      <c r="A324" s="1">
        <v>45362</v>
      </c>
      <c r="B324" t="s">
        <v>36</v>
      </c>
      <c r="C324" t="s">
        <v>37</v>
      </c>
      <c r="D324" t="s">
        <v>38</v>
      </c>
      <c r="E324" t="s">
        <v>26</v>
      </c>
      <c r="F324" t="s">
        <v>27</v>
      </c>
      <c r="G324" t="s">
        <v>20</v>
      </c>
      <c r="H324">
        <v>524</v>
      </c>
      <c r="I324">
        <v>431</v>
      </c>
      <c r="J324">
        <v>34</v>
      </c>
      <c r="K324">
        <v>6.5</v>
      </c>
      <c r="L324">
        <v>1968.42</v>
      </c>
    </row>
    <row r="325" spans="1:12" x14ac:dyDescent="0.35">
      <c r="A325" s="1">
        <v>45362</v>
      </c>
      <c r="B325" t="s">
        <v>36</v>
      </c>
      <c r="C325" t="s">
        <v>37</v>
      </c>
      <c r="D325" t="s">
        <v>38</v>
      </c>
      <c r="E325" t="s">
        <v>28</v>
      </c>
      <c r="F325" t="s">
        <v>29</v>
      </c>
      <c r="G325" t="s">
        <v>23</v>
      </c>
      <c r="H325">
        <v>764</v>
      </c>
      <c r="I325">
        <v>628</v>
      </c>
      <c r="J325">
        <v>54</v>
      </c>
      <c r="K325">
        <v>7.1</v>
      </c>
      <c r="L325">
        <v>3200.11</v>
      </c>
    </row>
    <row r="326" spans="1:12" x14ac:dyDescent="0.35">
      <c r="A326" s="1">
        <v>45362</v>
      </c>
      <c r="B326" t="s">
        <v>39</v>
      </c>
      <c r="C326" t="s">
        <v>40</v>
      </c>
      <c r="D326" t="s">
        <v>14</v>
      </c>
      <c r="E326" t="s">
        <v>15</v>
      </c>
      <c r="F326" t="s">
        <v>16</v>
      </c>
      <c r="G326" t="s">
        <v>17</v>
      </c>
      <c r="H326">
        <v>256</v>
      </c>
      <c r="I326">
        <v>223</v>
      </c>
      <c r="J326">
        <v>10</v>
      </c>
      <c r="K326">
        <v>3.9</v>
      </c>
      <c r="L326">
        <v>774.21</v>
      </c>
    </row>
    <row r="327" spans="1:12" x14ac:dyDescent="0.35">
      <c r="A327" s="1">
        <v>45362</v>
      </c>
      <c r="B327" t="s">
        <v>39</v>
      </c>
      <c r="C327" t="s">
        <v>40</v>
      </c>
      <c r="D327" t="s">
        <v>14</v>
      </c>
      <c r="E327" t="s">
        <v>18</v>
      </c>
      <c r="F327" t="s">
        <v>19</v>
      </c>
      <c r="G327" t="s">
        <v>20</v>
      </c>
      <c r="H327">
        <v>430</v>
      </c>
      <c r="I327">
        <v>319</v>
      </c>
      <c r="J327">
        <v>46</v>
      </c>
      <c r="K327">
        <v>10.7</v>
      </c>
      <c r="L327">
        <v>2416.62</v>
      </c>
    </row>
    <row r="328" spans="1:12" x14ac:dyDescent="0.35">
      <c r="A328" s="1">
        <v>45362</v>
      </c>
      <c r="B328" t="s">
        <v>39</v>
      </c>
      <c r="C328" t="s">
        <v>40</v>
      </c>
      <c r="D328" t="s">
        <v>14</v>
      </c>
      <c r="E328" t="s">
        <v>21</v>
      </c>
      <c r="F328" t="s">
        <v>22</v>
      </c>
      <c r="G328" t="s">
        <v>23</v>
      </c>
      <c r="H328">
        <v>456</v>
      </c>
      <c r="I328">
        <v>320</v>
      </c>
      <c r="J328">
        <v>39</v>
      </c>
      <c r="K328">
        <v>8.6</v>
      </c>
      <c r="L328">
        <v>2000.04</v>
      </c>
    </row>
    <row r="329" spans="1:12" x14ac:dyDescent="0.35">
      <c r="A329" s="1">
        <v>45362</v>
      </c>
      <c r="B329" t="s">
        <v>39</v>
      </c>
      <c r="C329" t="s">
        <v>40</v>
      </c>
      <c r="D329" t="s">
        <v>14</v>
      </c>
      <c r="E329" t="s">
        <v>24</v>
      </c>
      <c r="F329" t="s">
        <v>25</v>
      </c>
      <c r="G329" t="s">
        <v>17</v>
      </c>
      <c r="H329">
        <v>746</v>
      </c>
      <c r="I329">
        <v>503</v>
      </c>
      <c r="J329">
        <v>67</v>
      </c>
      <c r="K329">
        <v>9</v>
      </c>
      <c r="L329">
        <v>3009.89</v>
      </c>
    </row>
    <row r="330" spans="1:12" x14ac:dyDescent="0.35">
      <c r="A330" s="1">
        <v>45362</v>
      </c>
      <c r="B330" t="s">
        <v>39</v>
      </c>
      <c r="C330" t="s">
        <v>40</v>
      </c>
      <c r="D330" t="s">
        <v>14</v>
      </c>
      <c r="E330" t="s">
        <v>26</v>
      </c>
      <c r="F330" t="s">
        <v>27</v>
      </c>
      <c r="G330" t="s">
        <v>20</v>
      </c>
      <c r="H330">
        <v>375</v>
      </c>
      <c r="I330">
        <v>310</v>
      </c>
      <c r="J330">
        <v>26</v>
      </c>
      <c r="K330">
        <v>6.9</v>
      </c>
      <c r="L330">
        <v>2342.11</v>
      </c>
    </row>
    <row r="331" spans="1:12" x14ac:dyDescent="0.35">
      <c r="A331" s="1">
        <v>45362</v>
      </c>
      <c r="B331" t="s">
        <v>39</v>
      </c>
      <c r="C331" t="s">
        <v>40</v>
      </c>
      <c r="D331" t="s">
        <v>14</v>
      </c>
      <c r="E331" t="s">
        <v>28</v>
      </c>
      <c r="F331" t="s">
        <v>29</v>
      </c>
      <c r="G331" t="s">
        <v>23</v>
      </c>
      <c r="H331">
        <v>777</v>
      </c>
      <c r="I331">
        <v>513</v>
      </c>
      <c r="J331">
        <v>62</v>
      </c>
      <c r="K331">
        <v>8</v>
      </c>
      <c r="L331">
        <v>4202.13</v>
      </c>
    </row>
    <row r="332" spans="1:12" x14ac:dyDescent="0.35">
      <c r="A332" s="1">
        <v>45369</v>
      </c>
      <c r="B332" t="s">
        <v>12</v>
      </c>
      <c r="C332" t="s">
        <v>13</v>
      </c>
      <c r="D332" t="s">
        <v>14</v>
      </c>
      <c r="E332" t="s">
        <v>15</v>
      </c>
      <c r="F332" t="s">
        <v>16</v>
      </c>
      <c r="G332" t="s">
        <v>17</v>
      </c>
      <c r="H332">
        <v>790</v>
      </c>
      <c r="I332">
        <v>569</v>
      </c>
      <c r="J332">
        <v>47</v>
      </c>
      <c r="K332">
        <v>5.9</v>
      </c>
      <c r="L332">
        <v>3532.72</v>
      </c>
    </row>
    <row r="333" spans="1:12" x14ac:dyDescent="0.35">
      <c r="A333" s="1">
        <v>45369</v>
      </c>
      <c r="B333" t="s">
        <v>12</v>
      </c>
      <c r="C333" t="s">
        <v>13</v>
      </c>
      <c r="D333" t="s">
        <v>14</v>
      </c>
      <c r="E333" t="s">
        <v>18</v>
      </c>
      <c r="F333" t="s">
        <v>19</v>
      </c>
      <c r="G333" t="s">
        <v>20</v>
      </c>
      <c r="H333">
        <v>231</v>
      </c>
      <c r="I333">
        <v>181</v>
      </c>
      <c r="J333">
        <v>13</v>
      </c>
      <c r="K333">
        <v>5.6</v>
      </c>
      <c r="L333">
        <v>1491.42</v>
      </c>
    </row>
    <row r="334" spans="1:12" x14ac:dyDescent="0.35">
      <c r="A334" s="1">
        <v>45369</v>
      </c>
      <c r="B334" t="s">
        <v>12</v>
      </c>
      <c r="C334" t="s">
        <v>13</v>
      </c>
      <c r="D334" t="s">
        <v>14</v>
      </c>
      <c r="E334" t="s">
        <v>21</v>
      </c>
      <c r="F334" t="s">
        <v>22</v>
      </c>
      <c r="G334" t="s">
        <v>23</v>
      </c>
      <c r="H334">
        <v>694</v>
      </c>
      <c r="I334">
        <v>496</v>
      </c>
      <c r="J334">
        <v>57</v>
      </c>
      <c r="K334">
        <v>8.1999999999999993</v>
      </c>
      <c r="L334">
        <v>2589.75</v>
      </c>
    </row>
    <row r="335" spans="1:12" x14ac:dyDescent="0.35">
      <c r="A335" s="1">
        <v>45369</v>
      </c>
      <c r="B335" t="s">
        <v>12</v>
      </c>
      <c r="C335" t="s">
        <v>13</v>
      </c>
      <c r="D335" t="s">
        <v>14</v>
      </c>
      <c r="E335" t="s">
        <v>24</v>
      </c>
      <c r="F335" t="s">
        <v>25</v>
      </c>
      <c r="G335" t="s">
        <v>17</v>
      </c>
      <c r="H335">
        <v>261</v>
      </c>
      <c r="I335">
        <v>180</v>
      </c>
      <c r="J335">
        <v>17</v>
      </c>
      <c r="K335">
        <v>6.5</v>
      </c>
      <c r="L335">
        <v>817.41</v>
      </c>
    </row>
    <row r="336" spans="1:12" x14ac:dyDescent="0.35">
      <c r="A336" s="1">
        <v>45369</v>
      </c>
      <c r="B336" t="s">
        <v>12</v>
      </c>
      <c r="C336" t="s">
        <v>13</v>
      </c>
      <c r="D336" t="s">
        <v>14</v>
      </c>
      <c r="E336" t="s">
        <v>26</v>
      </c>
      <c r="F336" t="s">
        <v>27</v>
      </c>
      <c r="G336" t="s">
        <v>20</v>
      </c>
      <c r="H336">
        <v>347</v>
      </c>
      <c r="I336">
        <v>254</v>
      </c>
      <c r="J336">
        <v>31</v>
      </c>
      <c r="K336">
        <v>8.9</v>
      </c>
      <c r="L336">
        <v>1946.82</v>
      </c>
    </row>
    <row r="337" spans="1:12" x14ac:dyDescent="0.35">
      <c r="A337" s="1">
        <v>45369</v>
      </c>
      <c r="B337" t="s">
        <v>12</v>
      </c>
      <c r="C337" t="s">
        <v>13</v>
      </c>
      <c r="D337" t="s">
        <v>14</v>
      </c>
      <c r="E337" t="s">
        <v>28</v>
      </c>
      <c r="F337" t="s">
        <v>29</v>
      </c>
      <c r="G337" t="s">
        <v>23</v>
      </c>
      <c r="H337">
        <v>608</v>
      </c>
      <c r="I337">
        <v>416</v>
      </c>
      <c r="J337">
        <v>43</v>
      </c>
      <c r="K337">
        <v>7.1</v>
      </c>
      <c r="L337">
        <v>1836.51</v>
      </c>
    </row>
    <row r="338" spans="1:12" x14ac:dyDescent="0.35">
      <c r="A338" s="1">
        <v>45369</v>
      </c>
      <c r="B338" t="s">
        <v>30</v>
      </c>
      <c r="C338" t="s">
        <v>31</v>
      </c>
      <c r="D338" t="s">
        <v>32</v>
      </c>
      <c r="E338" t="s">
        <v>15</v>
      </c>
      <c r="F338" t="s">
        <v>16</v>
      </c>
      <c r="G338" t="s">
        <v>17</v>
      </c>
      <c r="H338">
        <v>677</v>
      </c>
      <c r="I338">
        <v>462</v>
      </c>
      <c r="J338">
        <v>37</v>
      </c>
      <c r="K338">
        <v>5.5</v>
      </c>
      <c r="L338">
        <v>1295.28</v>
      </c>
    </row>
    <row r="339" spans="1:12" x14ac:dyDescent="0.35">
      <c r="A339" s="1">
        <v>45369</v>
      </c>
      <c r="B339" t="s">
        <v>30</v>
      </c>
      <c r="C339" t="s">
        <v>31</v>
      </c>
      <c r="D339" t="s">
        <v>32</v>
      </c>
      <c r="E339" t="s">
        <v>18</v>
      </c>
      <c r="F339" t="s">
        <v>19</v>
      </c>
      <c r="G339" t="s">
        <v>20</v>
      </c>
      <c r="H339">
        <v>593</v>
      </c>
      <c r="I339">
        <v>523</v>
      </c>
      <c r="J339">
        <v>42</v>
      </c>
      <c r="K339">
        <v>7.1</v>
      </c>
      <c r="L339">
        <v>4138.95</v>
      </c>
    </row>
    <row r="340" spans="1:12" x14ac:dyDescent="0.35">
      <c r="A340" s="1">
        <v>45369</v>
      </c>
      <c r="B340" t="s">
        <v>30</v>
      </c>
      <c r="C340" t="s">
        <v>31</v>
      </c>
      <c r="D340" t="s">
        <v>32</v>
      </c>
      <c r="E340" t="s">
        <v>21</v>
      </c>
      <c r="F340" t="s">
        <v>22</v>
      </c>
      <c r="G340" t="s">
        <v>23</v>
      </c>
      <c r="H340">
        <v>535</v>
      </c>
      <c r="I340">
        <v>482</v>
      </c>
      <c r="J340">
        <v>19</v>
      </c>
      <c r="K340">
        <v>3.6</v>
      </c>
      <c r="L340">
        <v>1665.82</v>
      </c>
    </row>
    <row r="341" spans="1:12" x14ac:dyDescent="0.35">
      <c r="A341" s="1">
        <v>45369</v>
      </c>
      <c r="B341" t="s">
        <v>30</v>
      </c>
      <c r="C341" t="s">
        <v>31</v>
      </c>
      <c r="D341" t="s">
        <v>32</v>
      </c>
      <c r="E341" t="s">
        <v>24</v>
      </c>
      <c r="F341" t="s">
        <v>25</v>
      </c>
      <c r="G341" t="s">
        <v>17</v>
      </c>
      <c r="H341">
        <v>727</v>
      </c>
      <c r="I341">
        <v>564</v>
      </c>
      <c r="J341">
        <v>57</v>
      </c>
      <c r="K341">
        <v>7.8</v>
      </c>
      <c r="L341">
        <v>1714.73</v>
      </c>
    </row>
    <row r="342" spans="1:12" x14ac:dyDescent="0.35">
      <c r="A342" s="1">
        <v>45369</v>
      </c>
      <c r="B342" t="s">
        <v>30</v>
      </c>
      <c r="C342" t="s">
        <v>31</v>
      </c>
      <c r="D342" t="s">
        <v>32</v>
      </c>
      <c r="E342" t="s">
        <v>26</v>
      </c>
      <c r="F342" t="s">
        <v>27</v>
      </c>
      <c r="G342" t="s">
        <v>20</v>
      </c>
      <c r="H342">
        <v>602</v>
      </c>
      <c r="I342">
        <v>473</v>
      </c>
      <c r="J342">
        <v>40</v>
      </c>
      <c r="K342">
        <v>6.6</v>
      </c>
      <c r="L342">
        <v>2184.02</v>
      </c>
    </row>
    <row r="343" spans="1:12" x14ac:dyDescent="0.35">
      <c r="A343" s="1">
        <v>45369</v>
      </c>
      <c r="B343" t="s">
        <v>30</v>
      </c>
      <c r="C343" t="s">
        <v>31</v>
      </c>
      <c r="D343" t="s">
        <v>32</v>
      </c>
      <c r="E343" t="s">
        <v>28</v>
      </c>
      <c r="F343" t="s">
        <v>29</v>
      </c>
      <c r="G343" t="s">
        <v>23</v>
      </c>
      <c r="H343">
        <v>251</v>
      </c>
      <c r="I343">
        <v>182</v>
      </c>
      <c r="J343">
        <v>23</v>
      </c>
      <c r="K343">
        <v>9.1999999999999993</v>
      </c>
      <c r="L343">
        <v>1189.3900000000001</v>
      </c>
    </row>
    <row r="344" spans="1:12" x14ac:dyDescent="0.35">
      <c r="A344" s="1">
        <v>45369</v>
      </c>
      <c r="B344" t="s">
        <v>33</v>
      </c>
      <c r="C344" t="s">
        <v>34</v>
      </c>
      <c r="D344" t="s">
        <v>35</v>
      </c>
      <c r="E344" t="s">
        <v>15</v>
      </c>
      <c r="F344" t="s">
        <v>16</v>
      </c>
      <c r="G344" t="s">
        <v>17</v>
      </c>
      <c r="H344">
        <v>492</v>
      </c>
      <c r="I344">
        <v>391</v>
      </c>
      <c r="J344">
        <v>34</v>
      </c>
      <c r="K344">
        <v>6.9</v>
      </c>
      <c r="L344">
        <v>3047.74</v>
      </c>
    </row>
    <row r="345" spans="1:12" x14ac:dyDescent="0.35">
      <c r="A345" s="1">
        <v>45369</v>
      </c>
      <c r="B345" t="s">
        <v>33</v>
      </c>
      <c r="C345" t="s">
        <v>34</v>
      </c>
      <c r="D345" t="s">
        <v>35</v>
      </c>
      <c r="E345" t="s">
        <v>18</v>
      </c>
      <c r="F345" t="s">
        <v>19</v>
      </c>
      <c r="G345" t="s">
        <v>20</v>
      </c>
      <c r="H345">
        <v>574</v>
      </c>
      <c r="I345">
        <v>491</v>
      </c>
      <c r="J345">
        <v>26</v>
      </c>
      <c r="K345">
        <v>4.5</v>
      </c>
      <c r="L345">
        <v>2907.55</v>
      </c>
    </row>
    <row r="346" spans="1:12" x14ac:dyDescent="0.35">
      <c r="A346" s="1">
        <v>45369</v>
      </c>
      <c r="B346" t="s">
        <v>33</v>
      </c>
      <c r="C346" t="s">
        <v>34</v>
      </c>
      <c r="D346" t="s">
        <v>35</v>
      </c>
      <c r="E346" t="s">
        <v>21</v>
      </c>
      <c r="F346" t="s">
        <v>22</v>
      </c>
      <c r="G346" t="s">
        <v>23</v>
      </c>
      <c r="H346">
        <v>399</v>
      </c>
      <c r="I346">
        <v>298</v>
      </c>
      <c r="J346">
        <v>20</v>
      </c>
      <c r="K346">
        <v>5</v>
      </c>
      <c r="L346">
        <v>1550.23</v>
      </c>
    </row>
    <row r="347" spans="1:12" x14ac:dyDescent="0.35">
      <c r="A347" s="1">
        <v>45369</v>
      </c>
      <c r="B347" t="s">
        <v>33</v>
      </c>
      <c r="C347" t="s">
        <v>34</v>
      </c>
      <c r="D347" t="s">
        <v>35</v>
      </c>
      <c r="E347" t="s">
        <v>24</v>
      </c>
      <c r="F347" t="s">
        <v>25</v>
      </c>
      <c r="G347" t="s">
        <v>17</v>
      </c>
      <c r="H347">
        <v>763</v>
      </c>
      <c r="I347">
        <v>553</v>
      </c>
      <c r="J347">
        <v>79</v>
      </c>
      <c r="K347">
        <v>10.4</v>
      </c>
      <c r="L347">
        <v>1776.71</v>
      </c>
    </row>
    <row r="348" spans="1:12" x14ac:dyDescent="0.35">
      <c r="A348" s="1">
        <v>45369</v>
      </c>
      <c r="B348" t="s">
        <v>33</v>
      </c>
      <c r="C348" t="s">
        <v>34</v>
      </c>
      <c r="D348" t="s">
        <v>35</v>
      </c>
      <c r="E348" t="s">
        <v>26</v>
      </c>
      <c r="F348" t="s">
        <v>27</v>
      </c>
      <c r="G348" t="s">
        <v>20</v>
      </c>
      <c r="H348">
        <v>299</v>
      </c>
      <c r="I348">
        <v>226</v>
      </c>
      <c r="J348">
        <v>21</v>
      </c>
      <c r="K348">
        <v>7</v>
      </c>
      <c r="L348">
        <v>1838.21</v>
      </c>
    </row>
    <row r="349" spans="1:12" x14ac:dyDescent="0.35">
      <c r="A349" s="1">
        <v>45369</v>
      </c>
      <c r="B349" t="s">
        <v>33</v>
      </c>
      <c r="C349" t="s">
        <v>34</v>
      </c>
      <c r="D349" t="s">
        <v>35</v>
      </c>
      <c r="E349" t="s">
        <v>28</v>
      </c>
      <c r="F349" t="s">
        <v>29</v>
      </c>
      <c r="G349" t="s">
        <v>23</v>
      </c>
      <c r="H349">
        <v>347</v>
      </c>
      <c r="I349">
        <v>244</v>
      </c>
      <c r="J349">
        <v>25</v>
      </c>
      <c r="K349">
        <v>7.2</v>
      </c>
      <c r="L349">
        <v>676.32</v>
      </c>
    </row>
    <row r="350" spans="1:12" x14ac:dyDescent="0.35">
      <c r="A350" s="1">
        <v>45369</v>
      </c>
      <c r="B350" t="s">
        <v>36</v>
      </c>
      <c r="C350" t="s">
        <v>37</v>
      </c>
      <c r="D350" t="s">
        <v>38</v>
      </c>
      <c r="E350" t="s">
        <v>15</v>
      </c>
      <c r="F350" t="s">
        <v>16</v>
      </c>
      <c r="G350" t="s">
        <v>17</v>
      </c>
      <c r="H350">
        <v>340</v>
      </c>
      <c r="I350">
        <v>286</v>
      </c>
      <c r="J350">
        <v>22</v>
      </c>
      <c r="K350">
        <v>6.5</v>
      </c>
      <c r="L350">
        <v>970.58</v>
      </c>
    </row>
    <row r="351" spans="1:12" x14ac:dyDescent="0.35">
      <c r="A351" s="1">
        <v>45369</v>
      </c>
      <c r="B351" t="s">
        <v>36</v>
      </c>
      <c r="C351" t="s">
        <v>37</v>
      </c>
      <c r="D351" t="s">
        <v>38</v>
      </c>
      <c r="E351" t="s">
        <v>18</v>
      </c>
      <c r="F351" t="s">
        <v>19</v>
      </c>
      <c r="G351" t="s">
        <v>20</v>
      </c>
      <c r="H351">
        <v>727</v>
      </c>
      <c r="I351">
        <v>499</v>
      </c>
      <c r="J351">
        <v>66</v>
      </c>
      <c r="K351">
        <v>9.1</v>
      </c>
      <c r="L351">
        <v>2424.0100000000002</v>
      </c>
    </row>
    <row r="352" spans="1:12" x14ac:dyDescent="0.35">
      <c r="A352" s="1">
        <v>45369</v>
      </c>
      <c r="B352" t="s">
        <v>36</v>
      </c>
      <c r="C352" t="s">
        <v>37</v>
      </c>
      <c r="D352" t="s">
        <v>38</v>
      </c>
      <c r="E352" t="s">
        <v>21</v>
      </c>
      <c r="F352" t="s">
        <v>22</v>
      </c>
      <c r="G352" t="s">
        <v>23</v>
      </c>
      <c r="H352">
        <v>506</v>
      </c>
      <c r="I352">
        <v>410</v>
      </c>
      <c r="J352">
        <v>30</v>
      </c>
      <c r="K352">
        <v>5.9</v>
      </c>
      <c r="L352">
        <v>2230.02</v>
      </c>
    </row>
    <row r="353" spans="1:12" x14ac:dyDescent="0.35">
      <c r="A353" s="1">
        <v>45369</v>
      </c>
      <c r="B353" t="s">
        <v>36</v>
      </c>
      <c r="C353" t="s">
        <v>37</v>
      </c>
      <c r="D353" t="s">
        <v>38</v>
      </c>
      <c r="E353" t="s">
        <v>24</v>
      </c>
      <c r="F353" t="s">
        <v>25</v>
      </c>
      <c r="G353" t="s">
        <v>17</v>
      </c>
      <c r="H353">
        <v>776</v>
      </c>
      <c r="I353">
        <v>567</v>
      </c>
      <c r="J353">
        <v>61</v>
      </c>
      <c r="K353">
        <v>7.9</v>
      </c>
      <c r="L353">
        <v>3709.79</v>
      </c>
    </row>
    <row r="354" spans="1:12" x14ac:dyDescent="0.35">
      <c r="A354" s="1">
        <v>45369</v>
      </c>
      <c r="B354" t="s">
        <v>36</v>
      </c>
      <c r="C354" t="s">
        <v>37</v>
      </c>
      <c r="D354" t="s">
        <v>38</v>
      </c>
      <c r="E354" t="s">
        <v>26</v>
      </c>
      <c r="F354" t="s">
        <v>27</v>
      </c>
      <c r="G354" t="s">
        <v>20</v>
      </c>
      <c r="H354">
        <v>626</v>
      </c>
      <c r="I354">
        <v>505</v>
      </c>
      <c r="J354">
        <v>51</v>
      </c>
      <c r="K354">
        <v>8.1</v>
      </c>
      <c r="L354">
        <v>3347.27</v>
      </c>
    </row>
    <row r="355" spans="1:12" x14ac:dyDescent="0.35">
      <c r="A355" s="1">
        <v>45369</v>
      </c>
      <c r="B355" t="s">
        <v>36</v>
      </c>
      <c r="C355" t="s">
        <v>37</v>
      </c>
      <c r="D355" t="s">
        <v>38</v>
      </c>
      <c r="E355" t="s">
        <v>28</v>
      </c>
      <c r="F355" t="s">
        <v>29</v>
      </c>
      <c r="G355" t="s">
        <v>23</v>
      </c>
      <c r="H355">
        <v>227</v>
      </c>
      <c r="I355">
        <v>184</v>
      </c>
      <c r="J355">
        <v>13</v>
      </c>
      <c r="K355">
        <v>5.7</v>
      </c>
      <c r="L355">
        <v>1533.15</v>
      </c>
    </row>
    <row r="356" spans="1:12" x14ac:dyDescent="0.35">
      <c r="A356" s="1">
        <v>45369</v>
      </c>
      <c r="B356" t="s">
        <v>39</v>
      </c>
      <c r="C356" t="s">
        <v>40</v>
      </c>
      <c r="D356" t="s">
        <v>14</v>
      </c>
      <c r="E356" t="s">
        <v>15</v>
      </c>
      <c r="F356" t="s">
        <v>16</v>
      </c>
      <c r="G356" t="s">
        <v>17</v>
      </c>
      <c r="H356">
        <v>792</v>
      </c>
      <c r="I356">
        <v>638</v>
      </c>
      <c r="J356">
        <v>57</v>
      </c>
      <c r="K356">
        <v>7.2</v>
      </c>
      <c r="L356">
        <v>2247.7199999999998</v>
      </c>
    </row>
    <row r="357" spans="1:12" x14ac:dyDescent="0.35">
      <c r="A357" s="1">
        <v>45369</v>
      </c>
      <c r="B357" t="s">
        <v>39</v>
      </c>
      <c r="C357" t="s">
        <v>40</v>
      </c>
      <c r="D357" t="s">
        <v>14</v>
      </c>
      <c r="E357" t="s">
        <v>18</v>
      </c>
      <c r="F357" t="s">
        <v>19</v>
      </c>
      <c r="G357" t="s">
        <v>20</v>
      </c>
      <c r="H357">
        <v>589</v>
      </c>
      <c r="I357">
        <v>406</v>
      </c>
      <c r="J357">
        <v>36</v>
      </c>
      <c r="K357">
        <v>6.1</v>
      </c>
      <c r="L357">
        <v>3324.83</v>
      </c>
    </row>
    <row r="358" spans="1:12" x14ac:dyDescent="0.35">
      <c r="A358" s="1">
        <v>45369</v>
      </c>
      <c r="B358" t="s">
        <v>39</v>
      </c>
      <c r="C358" t="s">
        <v>40</v>
      </c>
      <c r="D358" t="s">
        <v>14</v>
      </c>
      <c r="E358" t="s">
        <v>21</v>
      </c>
      <c r="F358" t="s">
        <v>22</v>
      </c>
      <c r="G358" t="s">
        <v>23</v>
      </c>
      <c r="H358">
        <v>312</v>
      </c>
      <c r="I358">
        <v>218</v>
      </c>
      <c r="J358">
        <v>20</v>
      </c>
      <c r="K358">
        <v>6.4</v>
      </c>
      <c r="L358">
        <v>1085.1500000000001</v>
      </c>
    </row>
    <row r="359" spans="1:12" x14ac:dyDescent="0.35">
      <c r="A359" s="1">
        <v>45369</v>
      </c>
      <c r="B359" t="s">
        <v>39</v>
      </c>
      <c r="C359" t="s">
        <v>40</v>
      </c>
      <c r="D359" t="s">
        <v>14</v>
      </c>
      <c r="E359" t="s">
        <v>24</v>
      </c>
      <c r="F359" t="s">
        <v>25</v>
      </c>
      <c r="G359" t="s">
        <v>17</v>
      </c>
      <c r="H359">
        <v>408</v>
      </c>
      <c r="I359">
        <v>310</v>
      </c>
      <c r="J359">
        <v>40</v>
      </c>
      <c r="K359">
        <v>9.8000000000000007</v>
      </c>
      <c r="L359">
        <v>2398.44</v>
      </c>
    </row>
    <row r="360" spans="1:12" x14ac:dyDescent="0.35">
      <c r="A360" s="1">
        <v>45369</v>
      </c>
      <c r="B360" t="s">
        <v>39</v>
      </c>
      <c r="C360" t="s">
        <v>40</v>
      </c>
      <c r="D360" t="s">
        <v>14</v>
      </c>
      <c r="E360" t="s">
        <v>26</v>
      </c>
      <c r="F360" t="s">
        <v>27</v>
      </c>
      <c r="G360" t="s">
        <v>20</v>
      </c>
      <c r="H360">
        <v>263</v>
      </c>
      <c r="I360">
        <v>221</v>
      </c>
      <c r="J360">
        <v>15</v>
      </c>
      <c r="K360">
        <v>5.7</v>
      </c>
      <c r="L360">
        <v>1876.01</v>
      </c>
    </row>
    <row r="361" spans="1:12" x14ac:dyDescent="0.35">
      <c r="A361" s="1">
        <v>45369</v>
      </c>
      <c r="B361" t="s">
        <v>39</v>
      </c>
      <c r="C361" t="s">
        <v>40</v>
      </c>
      <c r="D361" t="s">
        <v>14</v>
      </c>
      <c r="E361" t="s">
        <v>28</v>
      </c>
      <c r="F361" t="s">
        <v>29</v>
      </c>
      <c r="G361" t="s">
        <v>23</v>
      </c>
      <c r="H361">
        <v>689</v>
      </c>
      <c r="I361">
        <v>545</v>
      </c>
      <c r="J361">
        <v>26</v>
      </c>
      <c r="K361">
        <v>3.8</v>
      </c>
      <c r="L361">
        <v>4345.1499999999996</v>
      </c>
    </row>
    <row r="362" spans="1:12" x14ac:dyDescent="0.35">
      <c r="A362" s="1">
        <v>45376</v>
      </c>
      <c r="B362" t="s">
        <v>12</v>
      </c>
      <c r="C362" t="s">
        <v>13</v>
      </c>
      <c r="D362" t="s">
        <v>14</v>
      </c>
      <c r="E362" t="s">
        <v>15</v>
      </c>
      <c r="F362" t="s">
        <v>16</v>
      </c>
      <c r="G362" t="s">
        <v>17</v>
      </c>
      <c r="H362">
        <v>550</v>
      </c>
      <c r="I362">
        <v>438</v>
      </c>
      <c r="J362">
        <v>47</v>
      </c>
      <c r="K362">
        <v>8.5</v>
      </c>
      <c r="L362">
        <v>2884</v>
      </c>
    </row>
    <row r="363" spans="1:12" x14ac:dyDescent="0.35">
      <c r="A363" s="1">
        <v>45376</v>
      </c>
      <c r="B363" t="s">
        <v>12</v>
      </c>
      <c r="C363" t="s">
        <v>13</v>
      </c>
      <c r="D363" t="s">
        <v>14</v>
      </c>
      <c r="E363" t="s">
        <v>18</v>
      </c>
      <c r="F363" t="s">
        <v>19</v>
      </c>
      <c r="G363" t="s">
        <v>20</v>
      </c>
      <c r="H363">
        <v>470</v>
      </c>
      <c r="I363">
        <v>382</v>
      </c>
      <c r="J363">
        <v>17</v>
      </c>
      <c r="K363">
        <v>3.6</v>
      </c>
      <c r="L363">
        <v>2234.13</v>
      </c>
    </row>
    <row r="364" spans="1:12" x14ac:dyDescent="0.35">
      <c r="A364" s="1">
        <v>45376</v>
      </c>
      <c r="B364" t="s">
        <v>12</v>
      </c>
      <c r="C364" t="s">
        <v>13</v>
      </c>
      <c r="D364" t="s">
        <v>14</v>
      </c>
      <c r="E364" t="s">
        <v>21</v>
      </c>
      <c r="F364" t="s">
        <v>22</v>
      </c>
      <c r="G364" t="s">
        <v>23</v>
      </c>
      <c r="H364">
        <v>430</v>
      </c>
      <c r="I364">
        <v>388</v>
      </c>
      <c r="J364">
        <v>29</v>
      </c>
      <c r="K364">
        <v>6.7</v>
      </c>
      <c r="L364">
        <v>2611.0100000000002</v>
      </c>
    </row>
    <row r="365" spans="1:12" x14ac:dyDescent="0.35">
      <c r="A365" s="1">
        <v>45376</v>
      </c>
      <c r="B365" t="s">
        <v>12</v>
      </c>
      <c r="C365" t="s">
        <v>13</v>
      </c>
      <c r="D365" t="s">
        <v>14</v>
      </c>
      <c r="E365" t="s">
        <v>24</v>
      </c>
      <c r="F365" t="s">
        <v>25</v>
      </c>
      <c r="G365" t="s">
        <v>17</v>
      </c>
      <c r="H365">
        <v>700</v>
      </c>
      <c r="I365">
        <v>514</v>
      </c>
      <c r="J365">
        <v>58</v>
      </c>
      <c r="K365">
        <v>8.3000000000000007</v>
      </c>
      <c r="L365">
        <v>3738.03</v>
      </c>
    </row>
    <row r="366" spans="1:12" x14ac:dyDescent="0.35">
      <c r="A366" s="1">
        <v>45376</v>
      </c>
      <c r="B366" t="s">
        <v>12</v>
      </c>
      <c r="C366" t="s">
        <v>13</v>
      </c>
      <c r="D366" t="s">
        <v>14</v>
      </c>
      <c r="E366" t="s">
        <v>26</v>
      </c>
      <c r="F366" t="s">
        <v>27</v>
      </c>
      <c r="G366" t="s">
        <v>20</v>
      </c>
      <c r="H366">
        <v>480</v>
      </c>
      <c r="I366">
        <v>349</v>
      </c>
      <c r="J366">
        <v>36</v>
      </c>
      <c r="K366">
        <v>7.5</v>
      </c>
      <c r="L366">
        <v>2748.22</v>
      </c>
    </row>
    <row r="367" spans="1:12" x14ac:dyDescent="0.35">
      <c r="A367" s="1">
        <v>45376</v>
      </c>
      <c r="B367" t="s">
        <v>12</v>
      </c>
      <c r="C367" t="s">
        <v>13</v>
      </c>
      <c r="D367" t="s">
        <v>14</v>
      </c>
      <c r="E367" t="s">
        <v>28</v>
      </c>
      <c r="F367" t="s">
        <v>29</v>
      </c>
      <c r="G367" t="s">
        <v>23</v>
      </c>
      <c r="H367">
        <v>604</v>
      </c>
      <c r="I367">
        <v>526</v>
      </c>
      <c r="J367">
        <v>46</v>
      </c>
      <c r="K367">
        <v>7.6</v>
      </c>
      <c r="L367">
        <v>2231.67</v>
      </c>
    </row>
    <row r="368" spans="1:12" x14ac:dyDescent="0.35">
      <c r="A368" s="1">
        <v>45376</v>
      </c>
      <c r="B368" t="s">
        <v>30</v>
      </c>
      <c r="C368" t="s">
        <v>31</v>
      </c>
      <c r="D368" t="s">
        <v>32</v>
      </c>
      <c r="E368" t="s">
        <v>15</v>
      </c>
      <c r="F368" t="s">
        <v>16</v>
      </c>
      <c r="G368" t="s">
        <v>17</v>
      </c>
      <c r="H368">
        <v>494</v>
      </c>
      <c r="I368">
        <v>448</v>
      </c>
      <c r="J368">
        <v>30</v>
      </c>
      <c r="K368">
        <v>6.1</v>
      </c>
      <c r="L368">
        <v>2883.25</v>
      </c>
    </row>
    <row r="369" spans="1:12" x14ac:dyDescent="0.35">
      <c r="A369" s="1">
        <v>45376</v>
      </c>
      <c r="B369" t="s">
        <v>30</v>
      </c>
      <c r="C369" t="s">
        <v>31</v>
      </c>
      <c r="D369" t="s">
        <v>32</v>
      </c>
      <c r="E369" t="s">
        <v>18</v>
      </c>
      <c r="F369" t="s">
        <v>19</v>
      </c>
      <c r="G369" t="s">
        <v>20</v>
      </c>
      <c r="H369">
        <v>690</v>
      </c>
      <c r="I369">
        <v>488</v>
      </c>
      <c r="J369">
        <v>54</v>
      </c>
      <c r="K369">
        <v>7.8</v>
      </c>
      <c r="L369">
        <v>2865.59</v>
      </c>
    </row>
    <row r="370" spans="1:12" x14ac:dyDescent="0.35">
      <c r="A370" s="1">
        <v>45376</v>
      </c>
      <c r="B370" t="s">
        <v>30</v>
      </c>
      <c r="C370" t="s">
        <v>31</v>
      </c>
      <c r="D370" t="s">
        <v>32</v>
      </c>
      <c r="E370" t="s">
        <v>21</v>
      </c>
      <c r="F370" t="s">
        <v>22</v>
      </c>
      <c r="G370" t="s">
        <v>23</v>
      </c>
      <c r="H370">
        <v>478</v>
      </c>
      <c r="I370">
        <v>328</v>
      </c>
      <c r="J370">
        <v>41</v>
      </c>
      <c r="K370">
        <v>8.6</v>
      </c>
      <c r="L370">
        <v>1297.1600000000001</v>
      </c>
    </row>
    <row r="371" spans="1:12" x14ac:dyDescent="0.35">
      <c r="A371" s="1">
        <v>45376</v>
      </c>
      <c r="B371" t="s">
        <v>30</v>
      </c>
      <c r="C371" t="s">
        <v>31</v>
      </c>
      <c r="D371" t="s">
        <v>32</v>
      </c>
      <c r="E371" t="s">
        <v>24</v>
      </c>
      <c r="F371" t="s">
        <v>25</v>
      </c>
      <c r="G371" t="s">
        <v>17</v>
      </c>
      <c r="H371">
        <v>743</v>
      </c>
      <c r="I371">
        <v>528</v>
      </c>
      <c r="J371">
        <v>28</v>
      </c>
      <c r="K371">
        <v>3.8</v>
      </c>
      <c r="L371">
        <v>2366.37</v>
      </c>
    </row>
    <row r="372" spans="1:12" x14ac:dyDescent="0.35">
      <c r="A372" s="1">
        <v>45376</v>
      </c>
      <c r="B372" t="s">
        <v>30</v>
      </c>
      <c r="C372" t="s">
        <v>31</v>
      </c>
      <c r="D372" t="s">
        <v>32</v>
      </c>
      <c r="E372" t="s">
        <v>26</v>
      </c>
      <c r="F372" t="s">
        <v>27</v>
      </c>
      <c r="G372" t="s">
        <v>20</v>
      </c>
      <c r="H372">
        <v>683</v>
      </c>
      <c r="I372">
        <v>462</v>
      </c>
      <c r="J372">
        <v>46</v>
      </c>
      <c r="K372">
        <v>6.7</v>
      </c>
      <c r="L372">
        <v>2680.58</v>
      </c>
    </row>
    <row r="373" spans="1:12" x14ac:dyDescent="0.35">
      <c r="A373" s="1">
        <v>45376</v>
      </c>
      <c r="B373" t="s">
        <v>30</v>
      </c>
      <c r="C373" t="s">
        <v>31</v>
      </c>
      <c r="D373" t="s">
        <v>32</v>
      </c>
      <c r="E373" t="s">
        <v>28</v>
      </c>
      <c r="F373" t="s">
        <v>29</v>
      </c>
      <c r="G373" t="s">
        <v>23</v>
      </c>
      <c r="H373">
        <v>361</v>
      </c>
      <c r="I373">
        <v>274</v>
      </c>
      <c r="J373">
        <v>37</v>
      </c>
      <c r="K373">
        <v>10.199999999999999</v>
      </c>
      <c r="L373">
        <v>1469.93</v>
      </c>
    </row>
    <row r="374" spans="1:12" x14ac:dyDescent="0.35">
      <c r="A374" s="1">
        <v>45376</v>
      </c>
      <c r="B374" t="s">
        <v>33</v>
      </c>
      <c r="C374" t="s">
        <v>34</v>
      </c>
      <c r="D374" t="s">
        <v>35</v>
      </c>
      <c r="E374" t="s">
        <v>15</v>
      </c>
      <c r="F374" t="s">
        <v>16</v>
      </c>
      <c r="G374" t="s">
        <v>17</v>
      </c>
      <c r="H374">
        <v>404</v>
      </c>
      <c r="I374">
        <v>345</v>
      </c>
      <c r="J374">
        <v>15</v>
      </c>
      <c r="K374">
        <v>3.7</v>
      </c>
      <c r="L374">
        <v>984.97</v>
      </c>
    </row>
    <row r="375" spans="1:12" x14ac:dyDescent="0.35">
      <c r="A375" s="1">
        <v>45376</v>
      </c>
      <c r="B375" t="s">
        <v>33</v>
      </c>
      <c r="C375" t="s">
        <v>34</v>
      </c>
      <c r="D375" t="s">
        <v>35</v>
      </c>
      <c r="E375" t="s">
        <v>18</v>
      </c>
      <c r="F375" t="s">
        <v>19</v>
      </c>
      <c r="G375" t="s">
        <v>20</v>
      </c>
      <c r="H375">
        <v>291</v>
      </c>
      <c r="I375">
        <v>240</v>
      </c>
      <c r="J375">
        <v>17</v>
      </c>
      <c r="K375">
        <v>5.8</v>
      </c>
      <c r="L375">
        <v>1824.48</v>
      </c>
    </row>
    <row r="376" spans="1:12" x14ac:dyDescent="0.35">
      <c r="A376" s="1">
        <v>45376</v>
      </c>
      <c r="B376" t="s">
        <v>33</v>
      </c>
      <c r="C376" t="s">
        <v>34</v>
      </c>
      <c r="D376" t="s">
        <v>35</v>
      </c>
      <c r="E376" t="s">
        <v>21</v>
      </c>
      <c r="F376" t="s">
        <v>22</v>
      </c>
      <c r="G376" t="s">
        <v>23</v>
      </c>
      <c r="H376">
        <v>238</v>
      </c>
      <c r="I376">
        <v>213</v>
      </c>
      <c r="J376">
        <v>14</v>
      </c>
      <c r="K376">
        <v>5.9</v>
      </c>
      <c r="L376">
        <v>757.16</v>
      </c>
    </row>
    <row r="377" spans="1:12" x14ac:dyDescent="0.35">
      <c r="A377" s="1">
        <v>45376</v>
      </c>
      <c r="B377" t="s">
        <v>33</v>
      </c>
      <c r="C377" t="s">
        <v>34</v>
      </c>
      <c r="D377" t="s">
        <v>35</v>
      </c>
      <c r="E377" t="s">
        <v>24</v>
      </c>
      <c r="F377" t="s">
        <v>25</v>
      </c>
      <c r="G377" t="s">
        <v>17</v>
      </c>
      <c r="H377">
        <v>237</v>
      </c>
      <c r="I377">
        <v>217</v>
      </c>
      <c r="J377">
        <v>10</v>
      </c>
      <c r="K377">
        <v>4.2</v>
      </c>
      <c r="L377">
        <v>1761.96</v>
      </c>
    </row>
    <row r="378" spans="1:12" x14ac:dyDescent="0.35">
      <c r="A378" s="1">
        <v>45376</v>
      </c>
      <c r="B378" t="s">
        <v>33</v>
      </c>
      <c r="C378" t="s">
        <v>34</v>
      </c>
      <c r="D378" t="s">
        <v>35</v>
      </c>
      <c r="E378" t="s">
        <v>26</v>
      </c>
      <c r="F378" t="s">
        <v>27</v>
      </c>
      <c r="G378" t="s">
        <v>20</v>
      </c>
      <c r="H378">
        <v>496</v>
      </c>
      <c r="I378">
        <v>439</v>
      </c>
      <c r="J378">
        <v>21</v>
      </c>
      <c r="K378">
        <v>4.2</v>
      </c>
      <c r="L378">
        <v>1380.13</v>
      </c>
    </row>
    <row r="379" spans="1:12" x14ac:dyDescent="0.35">
      <c r="A379" s="1">
        <v>45376</v>
      </c>
      <c r="B379" t="s">
        <v>33</v>
      </c>
      <c r="C379" t="s">
        <v>34</v>
      </c>
      <c r="D379" t="s">
        <v>35</v>
      </c>
      <c r="E379" t="s">
        <v>28</v>
      </c>
      <c r="F379" t="s">
        <v>29</v>
      </c>
      <c r="G379" t="s">
        <v>23</v>
      </c>
      <c r="H379">
        <v>543</v>
      </c>
      <c r="I379">
        <v>394</v>
      </c>
      <c r="J379">
        <v>52</v>
      </c>
      <c r="K379">
        <v>9.6</v>
      </c>
      <c r="L379">
        <v>2152.61</v>
      </c>
    </row>
    <row r="380" spans="1:12" x14ac:dyDescent="0.35">
      <c r="A380" s="1">
        <v>45376</v>
      </c>
      <c r="B380" t="s">
        <v>36</v>
      </c>
      <c r="C380" t="s">
        <v>37</v>
      </c>
      <c r="D380" t="s">
        <v>38</v>
      </c>
      <c r="E380" t="s">
        <v>15</v>
      </c>
      <c r="F380" t="s">
        <v>16</v>
      </c>
      <c r="G380" t="s">
        <v>17</v>
      </c>
      <c r="H380">
        <v>337</v>
      </c>
      <c r="I380">
        <v>296</v>
      </c>
      <c r="J380">
        <v>11</v>
      </c>
      <c r="K380">
        <v>3.3</v>
      </c>
      <c r="L380">
        <v>940.06</v>
      </c>
    </row>
    <row r="381" spans="1:12" x14ac:dyDescent="0.35">
      <c r="A381" s="1">
        <v>45376</v>
      </c>
      <c r="B381" t="s">
        <v>36</v>
      </c>
      <c r="C381" t="s">
        <v>37</v>
      </c>
      <c r="D381" t="s">
        <v>38</v>
      </c>
      <c r="E381" t="s">
        <v>18</v>
      </c>
      <c r="F381" t="s">
        <v>19</v>
      </c>
      <c r="G381" t="s">
        <v>20</v>
      </c>
      <c r="H381">
        <v>366</v>
      </c>
      <c r="I381">
        <v>310</v>
      </c>
      <c r="J381">
        <v>25</v>
      </c>
      <c r="K381">
        <v>6.8</v>
      </c>
      <c r="L381">
        <v>801.2</v>
      </c>
    </row>
    <row r="382" spans="1:12" x14ac:dyDescent="0.35">
      <c r="A382" s="1">
        <v>45376</v>
      </c>
      <c r="B382" t="s">
        <v>36</v>
      </c>
      <c r="C382" t="s">
        <v>37</v>
      </c>
      <c r="D382" t="s">
        <v>38</v>
      </c>
      <c r="E382" t="s">
        <v>21</v>
      </c>
      <c r="F382" t="s">
        <v>22</v>
      </c>
      <c r="G382" t="s">
        <v>23</v>
      </c>
      <c r="H382">
        <v>545</v>
      </c>
      <c r="I382">
        <v>470</v>
      </c>
      <c r="J382">
        <v>36</v>
      </c>
      <c r="K382">
        <v>6.6</v>
      </c>
      <c r="L382">
        <v>1669.9</v>
      </c>
    </row>
    <row r="383" spans="1:12" x14ac:dyDescent="0.35">
      <c r="A383" s="1">
        <v>45376</v>
      </c>
      <c r="B383" t="s">
        <v>36</v>
      </c>
      <c r="C383" t="s">
        <v>37</v>
      </c>
      <c r="D383" t="s">
        <v>38</v>
      </c>
      <c r="E383" t="s">
        <v>24</v>
      </c>
      <c r="F383" t="s">
        <v>25</v>
      </c>
      <c r="G383" t="s">
        <v>17</v>
      </c>
      <c r="H383">
        <v>615</v>
      </c>
      <c r="I383">
        <v>537</v>
      </c>
      <c r="J383">
        <v>19</v>
      </c>
      <c r="K383">
        <v>3.1</v>
      </c>
      <c r="L383">
        <v>3498.84</v>
      </c>
    </row>
    <row r="384" spans="1:12" x14ac:dyDescent="0.35">
      <c r="A384" s="1">
        <v>45376</v>
      </c>
      <c r="B384" t="s">
        <v>36</v>
      </c>
      <c r="C384" t="s">
        <v>37</v>
      </c>
      <c r="D384" t="s">
        <v>38</v>
      </c>
      <c r="E384" t="s">
        <v>26</v>
      </c>
      <c r="F384" t="s">
        <v>27</v>
      </c>
      <c r="G384" t="s">
        <v>20</v>
      </c>
      <c r="H384">
        <v>389</v>
      </c>
      <c r="I384">
        <v>355</v>
      </c>
      <c r="J384">
        <v>26</v>
      </c>
      <c r="K384">
        <v>6.7</v>
      </c>
      <c r="L384">
        <v>902.05</v>
      </c>
    </row>
    <row r="385" spans="1:12" x14ac:dyDescent="0.35">
      <c r="A385" s="1">
        <v>45376</v>
      </c>
      <c r="B385" t="s">
        <v>36</v>
      </c>
      <c r="C385" t="s">
        <v>37</v>
      </c>
      <c r="D385" t="s">
        <v>38</v>
      </c>
      <c r="E385" t="s">
        <v>28</v>
      </c>
      <c r="F385" t="s">
        <v>29</v>
      </c>
      <c r="G385" t="s">
        <v>23</v>
      </c>
      <c r="H385">
        <v>592</v>
      </c>
      <c r="I385">
        <v>422</v>
      </c>
      <c r="J385">
        <v>64</v>
      </c>
      <c r="K385">
        <v>10.8</v>
      </c>
      <c r="L385">
        <v>1819.53</v>
      </c>
    </row>
    <row r="386" spans="1:12" x14ac:dyDescent="0.35">
      <c r="A386" s="1">
        <v>45376</v>
      </c>
      <c r="B386" t="s">
        <v>39</v>
      </c>
      <c r="C386" t="s">
        <v>40</v>
      </c>
      <c r="D386" t="s">
        <v>14</v>
      </c>
      <c r="E386" t="s">
        <v>15</v>
      </c>
      <c r="F386" t="s">
        <v>16</v>
      </c>
      <c r="G386" t="s">
        <v>17</v>
      </c>
      <c r="H386">
        <v>786</v>
      </c>
      <c r="I386">
        <v>513</v>
      </c>
      <c r="J386">
        <v>78</v>
      </c>
      <c r="K386">
        <v>9.9</v>
      </c>
      <c r="L386">
        <v>1473.72</v>
      </c>
    </row>
    <row r="387" spans="1:12" x14ac:dyDescent="0.35">
      <c r="A387" s="1">
        <v>45376</v>
      </c>
      <c r="B387" t="s">
        <v>39</v>
      </c>
      <c r="C387" t="s">
        <v>40</v>
      </c>
      <c r="D387" t="s">
        <v>14</v>
      </c>
      <c r="E387" t="s">
        <v>18</v>
      </c>
      <c r="F387" t="s">
        <v>19</v>
      </c>
      <c r="G387" t="s">
        <v>20</v>
      </c>
      <c r="H387">
        <v>321</v>
      </c>
      <c r="I387">
        <v>248</v>
      </c>
      <c r="J387">
        <v>19</v>
      </c>
      <c r="K387">
        <v>5.9</v>
      </c>
      <c r="L387">
        <v>1993.58</v>
      </c>
    </row>
    <row r="388" spans="1:12" x14ac:dyDescent="0.35">
      <c r="A388" s="1">
        <v>45376</v>
      </c>
      <c r="B388" t="s">
        <v>39</v>
      </c>
      <c r="C388" t="s">
        <v>40</v>
      </c>
      <c r="D388" t="s">
        <v>14</v>
      </c>
      <c r="E388" t="s">
        <v>21</v>
      </c>
      <c r="F388" t="s">
        <v>22</v>
      </c>
      <c r="G388" t="s">
        <v>23</v>
      </c>
      <c r="H388">
        <v>518</v>
      </c>
      <c r="I388">
        <v>433</v>
      </c>
      <c r="J388">
        <v>42</v>
      </c>
      <c r="K388">
        <v>8.1</v>
      </c>
      <c r="L388">
        <v>2037.38</v>
      </c>
    </row>
    <row r="389" spans="1:12" x14ac:dyDescent="0.35">
      <c r="A389" s="1">
        <v>45376</v>
      </c>
      <c r="B389" t="s">
        <v>39</v>
      </c>
      <c r="C389" t="s">
        <v>40</v>
      </c>
      <c r="D389" t="s">
        <v>14</v>
      </c>
      <c r="E389" t="s">
        <v>24</v>
      </c>
      <c r="F389" t="s">
        <v>25</v>
      </c>
      <c r="G389" t="s">
        <v>17</v>
      </c>
      <c r="H389">
        <v>426</v>
      </c>
      <c r="I389">
        <v>302</v>
      </c>
      <c r="J389">
        <v>15</v>
      </c>
      <c r="K389">
        <v>3.5</v>
      </c>
      <c r="L389">
        <v>2109.9</v>
      </c>
    </row>
    <row r="390" spans="1:12" x14ac:dyDescent="0.35">
      <c r="A390" s="1">
        <v>45376</v>
      </c>
      <c r="B390" t="s">
        <v>39</v>
      </c>
      <c r="C390" t="s">
        <v>40</v>
      </c>
      <c r="D390" t="s">
        <v>14</v>
      </c>
      <c r="E390" t="s">
        <v>26</v>
      </c>
      <c r="F390" t="s">
        <v>27</v>
      </c>
      <c r="G390" t="s">
        <v>20</v>
      </c>
      <c r="H390">
        <v>582</v>
      </c>
      <c r="I390">
        <v>443</v>
      </c>
      <c r="J390">
        <v>38</v>
      </c>
      <c r="K390">
        <v>6.5</v>
      </c>
      <c r="L390">
        <v>2536.2199999999998</v>
      </c>
    </row>
    <row r="391" spans="1:12" x14ac:dyDescent="0.35">
      <c r="A391" s="1">
        <v>45376</v>
      </c>
      <c r="B391" t="s">
        <v>39</v>
      </c>
      <c r="C391" t="s">
        <v>40</v>
      </c>
      <c r="D391" t="s">
        <v>14</v>
      </c>
      <c r="E391" t="s">
        <v>28</v>
      </c>
      <c r="F391" t="s">
        <v>29</v>
      </c>
      <c r="G391" t="s">
        <v>23</v>
      </c>
      <c r="H391">
        <v>423</v>
      </c>
      <c r="I391">
        <v>361</v>
      </c>
      <c r="J391">
        <v>26</v>
      </c>
      <c r="K391">
        <v>6.1</v>
      </c>
      <c r="L391">
        <v>2607.94</v>
      </c>
    </row>
    <row r="392" spans="1:12" x14ac:dyDescent="0.35">
      <c r="A392" s="1">
        <v>45383</v>
      </c>
      <c r="B392" t="s">
        <v>12</v>
      </c>
      <c r="C392" t="s">
        <v>13</v>
      </c>
      <c r="D392" t="s">
        <v>14</v>
      </c>
      <c r="E392" t="s">
        <v>15</v>
      </c>
      <c r="F392" t="s">
        <v>16</v>
      </c>
      <c r="G392" t="s">
        <v>17</v>
      </c>
      <c r="H392">
        <v>738</v>
      </c>
      <c r="I392">
        <v>568</v>
      </c>
      <c r="J392">
        <v>38</v>
      </c>
      <c r="K392">
        <v>5.0999999999999996</v>
      </c>
      <c r="L392">
        <v>3342.69</v>
      </c>
    </row>
    <row r="393" spans="1:12" x14ac:dyDescent="0.35">
      <c r="A393" s="1">
        <v>45383</v>
      </c>
      <c r="B393" t="s">
        <v>12</v>
      </c>
      <c r="C393" t="s">
        <v>13</v>
      </c>
      <c r="D393" t="s">
        <v>14</v>
      </c>
      <c r="E393" t="s">
        <v>18</v>
      </c>
      <c r="F393" t="s">
        <v>19</v>
      </c>
      <c r="G393" t="s">
        <v>20</v>
      </c>
      <c r="H393">
        <v>263</v>
      </c>
      <c r="I393">
        <v>229</v>
      </c>
      <c r="J393">
        <v>12</v>
      </c>
      <c r="K393">
        <v>4.5999999999999996</v>
      </c>
      <c r="L393">
        <v>1309.8699999999999</v>
      </c>
    </row>
    <row r="394" spans="1:12" x14ac:dyDescent="0.35">
      <c r="A394" s="1">
        <v>45383</v>
      </c>
      <c r="B394" t="s">
        <v>12</v>
      </c>
      <c r="C394" t="s">
        <v>13</v>
      </c>
      <c r="D394" t="s">
        <v>14</v>
      </c>
      <c r="E394" t="s">
        <v>21</v>
      </c>
      <c r="F394" t="s">
        <v>22</v>
      </c>
      <c r="G394" t="s">
        <v>23</v>
      </c>
      <c r="H394">
        <v>368</v>
      </c>
      <c r="I394">
        <v>271</v>
      </c>
      <c r="J394">
        <v>18</v>
      </c>
      <c r="K394">
        <v>4.9000000000000004</v>
      </c>
      <c r="L394">
        <v>1011.48</v>
      </c>
    </row>
    <row r="395" spans="1:12" x14ac:dyDescent="0.35">
      <c r="A395" s="1">
        <v>45383</v>
      </c>
      <c r="B395" t="s">
        <v>12</v>
      </c>
      <c r="C395" t="s">
        <v>13</v>
      </c>
      <c r="D395" t="s">
        <v>14</v>
      </c>
      <c r="E395" t="s">
        <v>24</v>
      </c>
      <c r="F395" t="s">
        <v>25</v>
      </c>
      <c r="G395" t="s">
        <v>17</v>
      </c>
      <c r="H395">
        <v>797</v>
      </c>
      <c r="I395">
        <v>623</v>
      </c>
      <c r="J395">
        <v>60</v>
      </c>
      <c r="K395">
        <v>7.5</v>
      </c>
      <c r="L395">
        <v>1765.47</v>
      </c>
    </row>
    <row r="396" spans="1:12" x14ac:dyDescent="0.35">
      <c r="A396" s="1">
        <v>45383</v>
      </c>
      <c r="B396" t="s">
        <v>12</v>
      </c>
      <c r="C396" t="s">
        <v>13</v>
      </c>
      <c r="D396" t="s">
        <v>14</v>
      </c>
      <c r="E396" t="s">
        <v>26</v>
      </c>
      <c r="F396" t="s">
        <v>27</v>
      </c>
      <c r="G396" t="s">
        <v>20</v>
      </c>
      <c r="H396">
        <v>335</v>
      </c>
      <c r="I396">
        <v>264</v>
      </c>
      <c r="J396">
        <v>12</v>
      </c>
      <c r="K396">
        <v>3.6</v>
      </c>
      <c r="L396">
        <v>1392.41</v>
      </c>
    </row>
    <row r="397" spans="1:12" x14ac:dyDescent="0.35">
      <c r="A397" s="1">
        <v>45383</v>
      </c>
      <c r="B397" t="s">
        <v>12</v>
      </c>
      <c r="C397" t="s">
        <v>13</v>
      </c>
      <c r="D397" t="s">
        <v>14</v>
      </c>
      <c r="E397" t="s">
        <v>28</v>
      </c>
      <c r="F397" t="s">
        <v>29</v>
      </c>
      <c r="G397" t="s">
        <v>23</v>
      </c>
      <c r="H397">
        <v>515</v>
      </c>
      <c r="I397">
        <v>435</v>
      </c>
      <c r="J397">
        <v>35</v>
      </c>
      <c r="K397">
        <v>6.8</v>
      </c>
      <c r="L397">
        <v>3034.05</v>
      </c>
    </row>
    <row r="398" spans="1:12" x14ac:dyDescent="0.35">
      <c r="A398" s="1">
        <v>45383</v>
      </c>
      <c r="B398" t="s">
        <v>30</v>
      </c>
      <c r="C398" t="s">
        <v>31</v>
      </c>
      <c r="D398" t="s">
        <v>32</v>
      </c>
      <c r="E398" t="s">
        <v>15</v>
      </c>
      <c r="F398" t="s">
        <v>16</v>
      </c>
      <c r="G398" t="s">
        <v>17</v>
      </c>
      <c r="H398">
        <v>792</v>
      </c>
      <c r="I398">
        <v>530</v>
      </c>
      <c r="J398">
        <v>66</v>
      </c>
      <c r="K398">
        <v>8.3000000000000007</v>
      </c>
      <c r="L398">
        <v>3045.9</v>
      </c>
    </row>
    <row r="399" spans="1:12" x14ac:dyDescent="0.35">
      <c r="A399" s="1">
        <v>45383</v>
      </c>
      <c r="B399" t="s">
        <v>30</v>
      </c>
      <c r="C399" t="s">
        <v>31</v>
      </c>
      <c r="D399" t="s">
        <v>32</v>
      </c>
      <c r="E399" t="s">
        <v>18</v>
      </c>
      <c r="F399" t="s">
        <v>19</v>
      </c>
      <c r="G399" t="s">
        <v>20</v>
      </c>
      <c r="H399">
        <v>261</v>
      </c>
      <c r="I399">
        <v>235</v>
      </c>
      <c r="J399">
        <v>16</v>
      </c>
      <c r="K399">
        <v>6.1</v>
      </c>
      <c r="L399">
        <v>632.25</v>
      </c>
    </row>
    <row r="400" spans="1:12" x14ac:dyDescent="0.35">
      <c r="A400" s="1">
        <v>45383</v>
      </c>
      <c r="B400" t="s">
        <v>30</v>
      </c>
      <c r="C400" t="s">
        <v>31</v>
      </c>
      <c r="D400" t="s">
        <v>32</v>
      </c>
      <c r="E400" t="s">
        <v>21</v>
      </c>
      <c r="F400" t="s">
        <v>22</v>
      </c>
      <c r="G400" t="s">
        <v>23</v>
      </c>
      <c r="H400">
        <v>618</v>
      </c>
      <c r="I400">
        <v>431</v>
      </c>
      <c r="J400">
        <v>38</v>
      </c>
      <c r="K400">
        <v>6.1</v>
      </c>
      <c r="L400">
        <v>2963.44</v>
      </c>
    </row>
    <row r="401" spans="1:12" x14ac:dyDescent="0.35">
      <c r="A401" s="1">
        <v>45383</v>
      </c>
      <c r="B401" t="s">
        <v>30</v>
      </c>
      <c r="C401" t="s">
        <v>31</v>
      </c>
      <c r="D401" t="s">
        <v>32</v>
      </c>
      <c r="E401" t="s">
        <v>24</v>
      </c>
      <c r="F401" t="s">
        <v>25</v>
      </c>
      <c r="G401" t="s">
        <v>17</v>
      </c>
      <c r="H401">
        <v>630</v>
      </c>
      <c r="I401">
        <v>473</v>
      </c>
      <c r="J401">
        <v>51</v>
      </c>
      <c r="K401">
        <v>8.1</v>
      </c>
      <c r="L401">
        <v>3785.27</v>
      </c>
    </row>
    <row r="402" spans="1:12" x14ac:dyDescent="0.35">
      <c r="A402" s="1">
        <v>45383</v>
      </c>
      <c r="B402" t="s">
        <v>30</v>
      </c>
      <c r="C402" t="s">
        <v>31</v>
      </c>
      <c r="D402" t="s">
        <v>32</v>
      </c>
      <c r="E402" t="s">
        <v>26</v>
      </c>
      <c r="F402" t="s">
        <v>27</v>
      </c>
      <c r="G402" t="s">
        <v>20</v>
      </c>
      <c r="H402">
        <v>586</v>
      </c>
      <c r="I402">
        <v>440</v>
      </c>
      <c r="J402">
        <v>49</v>
      </c>
      <c r="K402">
        <v>8.4</v>
      </c>
      <c r="L402">
        <v>2523.75</v>
      </c>
    </row>
    <row r="403" spans="1:12" x14ac:dyDescent="0.35">
      <c r="A403" s="1">
        <v>45383</v>
      </c>
      <c r="B403" t="s">
        <v>30</v>
      </c>
      <c r="C403" t="s">
        <v>31</v>
      </c>
      <c r="D403" t="s">
        <v>32</v>
      </c>
      <c r="E403" t="s">
        <v>28</v>
      </c>
      <c r="F403" t="s">
        <v>29</v>
      </c>
      <c r="G403" t="s">
        <v>23</v>
      </c>
      <c r="H403">
        <v>556</v>
      </c>
      <c r="I403">
        <v>379</v>
      </c>
      <c r="J403">
        <v>55</v>
      </c>
      <c r="K403">
        <v>9.9</v>
      </c>
      <c r="L403">
        <v>1237.0899999999999</v>
      </c>
    </row>
    <row r="404" spans="1:12" x14ac:dyDescent="0.35">
      <c r="A404" s="1">
        <v>45383</v>
      </c>
      <c r="B404" t="s">
        <v>33</v>
      </c>
      <c r="C404" t="s">
        <v>34</v>
      </c>
      <c r="D404" t="s">
        <v>35</v>
      </c>
      <c r="E404" t="s">
        <v>15</v>
      </c>
      <c r="F404" t="s">
        <v>16</v>
      </c>
      <c r="G404" t="s">
        <v>17</v>
      </c>
      <c r="H404">
        <v>428</v>
      </c>
      <c r="I404">
        <v>374</v>
      </c>
      <c r="J404">
        <v>34</v>
      </c>
      <c r="K404">
        <v>7.9</v>
      </c>
      <c r="L404">
        <v>1973.98</v>
      </c>
    </row>
    <row r="405" spans="1:12" x14ac:dyDescent="0.35">
      <c r="A405" s="1">
        <v>45383</v>
      </c>
      <c r="B405" t="s">
        <v>33</v>
      </c>
      <c r="C405" t="s">
        <v>34</v>
      </c>
      <c r="D405" t="s">
        <v>35</v>
      </c>
      <c r="E405" t="s">
        <v>18</v>
      </c>
      <c r="F405" t="s">
        <v>19</v>
      </c>
      <c r="G405" t="s">
        <v>20</v>
      </c>
      <c r="H405">
        <v>757</v>
      </c>
      <c r="I405">
        <v>578</v>
      </c>
      <c r="J405">
        <v>35</v>
      </c>
      <c r="K405">
        <v>4.5999999999999996</v>
      </c>
      <c r="L405">
        <v>3042.45</v>
      </c>
    </row>
    <row r="406" spans="1:12" x14ac:dyDescent="0.35">
      <c r="A406" s="1">
        <v>45383</v>
      </c>
      <c r="B406" t="s">
        <v>33</v>
      </c>
      <c r="C406" t="s">
        <v>34</v>
      </c>
      <c r="D406" t="s">
        <v>35</v>
      </c>
      <c r="E406" t="s">
        <v>21</v>
      </c>
      <c r="F406" t="s">
        <v>22</v>
      </c>
      <c r="G406" t="s">
        <v>23</v>
      </c>
      <c r="H406">
        <v>358</v>
      </c>
      <c r="I406">
        <v>259</v>
      </c>
      <c r="J406">
        <v>37</v>
      </c>
      <c r="K406">
        <v>10.3</v>
      </c>
      <c r="L406">
        <v>822.86</v>
      </c>
    </row>
    <row r="407" spans="1:12" x14ac:dyDescent="0.35">
      <c r="A407" s="1">
        <v>45383</v>
      </c>
      <c r="B407" t="s">
        <v>33</v>
      </c>
      <c r="C407" t="s">
        <v>34</v>
      </c>
      <c r="D407" t="s">
        <v>35</v>
      </c>
      <c r="E407" t="s">
        <v>24</v>
      </c>
      <c r="F407" t="s">
        <v>25</v>
      </c>
      <c r="G407" t="s">
        <v>17</v>
      </c>
      <c r="H407">
        <v>629</v>
      </c>
      <c r="I407">
        <v>513</v>
      </c>
      <c r="J407">
        <v>58</v>
      </c>
      <c r="K407">
        <v>9.1999999999999993</v>
      </c>
      <c r="L407">
        <v>2023.27</v>
      </c>
    </row>
    <row r="408" spans="1:12" x14ac:dyDescent="0.35">
      <c r="A408" s="1">
        <v>45383</v>
      </c>
      <c r="B408" t="s">
        <v>33</v>
      </c>
      <c r="C408" t="s">
        <v>34</v>
      </c>
      <c r="D408" t="s">
        <v>35</v>
      </c>
      <c r="E408" t="s">
        <v>26</v>
      </c>
      <c r="F408" t="s">
        <v>27</v>
      </c>
      <c r="G408" t="s">
        <v>20</v>
      </c>
      <c r="H408">
        <v>268</v>
      </c>
      <c r="I408">
        <v>181</v>
      </c>
      <c r="J408">
        <v>14</v>
      </c>
      <c r="K408">
        <v>5.2</v>
      </c>
      <c r="L408">
        <v>1216.27</v>
      </c>
    </row>
    <row r="409" spans="1:12" x14ac:dyDescent="0.35">
      <c r="A409" s="1">
        <v>45383</v>
      </c>
      <c r="B409" t="s">
        <v>33</v>
      </c>
      <c r="C409" t="s">
        <v>34</v>
      </c>
      <c r="D409" t="s">
        <v>35</v>
      </c>
      <c r="E409" t="s">
        <v>28</v>
      </c>
      <c r="F409" t="s">
        <v>29</v>
      </c>
      <c r="G409" t="s">
        <v>23</v>
      </c>
      <c r="H409">
        <v>249</v>
      </c>
      <c r="I409">
        <v>178</v>
      </c>
      <c r="J409">
        <v>11</v>
      </c>
      <c r="K409">
        <v>4.4000000000000004</v>
      </c>
      <c r="L409">
        <v>1021.46</v>
      </c>
    </row>
    <row r="410" spans="1:12" x14ac:dyDescent="0.35">
      <c r="A410" s="1">
        <v>45383</v>
      </c>
      <c r="B410" t="s">
        <v>36</v>
      </c>
      <c r="C410" t="s">
        <v>37</v>
      </c>
      <c r="D410" t="s">
        <v>38</v>
      </c>
      <c r="E410" t="s">
        <v>15</v>
      </c>
      <c r="F410" t="s">
        <v>16</v>
      </c>
      <c r="G410" t="s">
        <v>17</v>
      </c>
      <c r="H410">
        <v>257</v>
      </c>
      <c r="I410">
        <v>176</v>
      </c>
      <c r="J410">
        <v>23</v>
      </c>
      <c r="K410">
        <v>8.9</v>
      </c>
      <c r="L410">
        <v>1407.72</v>
      </c>
    </row>
    <row r="411" spans="1:12" x14ac:dyDescent="0.35">
      <c r="A411" s="1">
        <v>45383</v>
      </c>
      <c r="B411" t="s">
        <v>36</v>
      </c>
      <c r="C411" t="s">
        <v>37</v>
      </c>
      <c r="D411" t="s">
        <v>38</v>
      </c>
      <c r="E411" t="s">
        <v>18</v>
      </c>
      <c r="F411" t="s">
        <v>19</v>
      </c>
      <c r="G411" t="s">
        <v>20</v>
      </c>
      <c r="H411">
        <v>789</v>
      </c>
      <c r="I411">
        <v>580</v>
      </c>
      <c r="J411">
        <v>65</v>
      </c>
      <c r="K411">
        <v>8.1999999999999993</v>
      </c>
      <c r="L411">
        <v>2565.91</v>
      </c>
    </row>
    <row r="412" spans="1:12" x14ac:dyDescent="0.35">
      <c r="A412" s="1">
        <v>45383</v>
      </c>
      <c r="B412" t="s">
        <v>36</v>
      </c>
      <c r="C412" t="s">
        <v>37</v>
      </c>
      <c r="D412" t="s">
        <v>38</v>
      </c>
      <c r="E412" t="s">
        <v>21</v>
      </c>
      <c r="F412" t="s">
        <v>22</v>
      </c>
      <c r="G412" t="s">
        <v>23</v>
      </c>
      <c r="H412">
        <v>509</v>
      </c>
      <c r="I412">
        <v>451</v>
      </c>
      <c r="J412">
        <v>30</v>
      </c>
      <c r="K412">
        <v>5.9</v>
      </c>
      <c r="L412">
        <v>2246.59</v>
      </c>
    </row>
    <row r="413" spans="1:12" x14ac:dyDescent="0.35">
      <c r="A413" s="1">
        <v>45383</v>
      </c>
      <c r="B413" t="s">
        <v>36</v>
      </c>
      <c r="C413" t="s">
        <v>37</v>
      </c>
      <c r="D413" t="s">
        <v>38</v>
      </c>
      <c r="E413" t="s">
        <v>24</v>
      </c>
      <c r="F413" t="s">
        <v>25</v>
      </c>
      <c r="G413" t="s">
        <v>17</v>
      </c>
      <c r="H413">
        <v>481</v>
      </c>
      <c r="I413">
        <v>320</v>
      </c>
      <c r="J413">
        <v>59</v>
      </c>
      <c r="K413">
        <v>12.3</v>
      </c>
      <c r="L413">
        <v>2550.23</v>
      </c>
    </row>
    <row r="414" spans="1:12" x14ac:dyDescent="0.35">
      <c r="A414" s="1">
        <v>45383</v>
      </c>
      <c r="B414" t="s">
        <v>36</v>
      </c>
      <c r="C414" t="s">
        <v>37</v>
      </c>
      <c r="D414" t="s">
        <v>38</v>
      </c>
      <c r="E414" t="s">
        <v>26</v>
      </c>
      <c r="F414" t="s">
        <v>27</v>
      </c>
      <c r="G414" t="s">
        <v>20</v>
      </c>
      <c r="H414">
        <v>637</v>
      </c>
      <c r="I414">
        <v>509</v>
      </c>
      <c r="J414">
        <v>23</v>
      </c>
      <c r="K414">
        <v>3.6</v>
      </c>
      <c r="L414">
        <v>3237.19</v>
      </c>
    </row>
    <row r="415" spans="1:12" x14ac:dyDescent="0.35">
      <c r="A415" s="1">
        <v>45383</v>
      </c>
      <c r="B415" t="s">
        <v>36</v>
      </c>
      <c r="C415" t="s">
        <v>37</v>
      </c>
      <c r="D415" t="s">
        <v>38</v>
      </c>
      <c r="E415" t="s">
        <v>28</v>
      </c>
      <c r="F415" t="s">
        <v>29</v>
      </c>
      <c r="G415" t="s">
        <v>23</v>
      </c>
      <c r="H415">
        <v>590</v>
      </c>
      <c r="I415">
        <v>508</v>
      </c>
      <c r="J415">
        <v>26</v>
      </c>
      <c r="K415">
        <v>4.4000000000000004</v>
      </c>
      <c r="L415">
        <v>1724.82</v>
      </c>
    </row>
    <row r="416" spans="1:12" x14ac:dyDescent="0.35">
      <c r="A416" s="1">
        <v>45383</v>
      </c>
      <c r="B416" t="s">
        <v>39</v>
      </c>
      <c r="C416" t="s">
        <v>40</v>
      </c>
      <c r="D416" t="s">
        <v>14</v>
      </c>
      <c r="E416" t="s">
        <v>15</v>
      </c>
      <c r="F416" t="s">
        <v>16</v>
      </c>
      <c r="G416" t="s">
        <v>17</v>
      </c>
      <c r="H416">
        <v>585</v>
      </c>
      <c r="I416">
        <v>409</v>
      </c>
      <c r="J416">
        <v>36</v>
      </c>
      <c r="K416">
        <v>6.2</v>
      </c>
      <c r="L416">
        <v>1575.5</v>
      </c>
    </row>
    <row r="417" spans="1:12" x14ac:dyDescent="0.35">
      <c r="A417" s="1">
        <v>45383</v>
      </c>
      <c r="B417" t="s">
        <v>39</v>
      </c>
      <c r="C417" t="s">
        <v>40</v>
      </c>
      <c r="D417" t="s">
        <v>14</v>
      </c>
      <c r="E417" t="s">
        <v>18</v>
      </c>
      <c r="F417" t="s">
        <v>19</v>
      </c>
      <c r="G417" t="s">
        <v>20</v>
      </c>
      <c r="H417">
        <v>347</v>
      </c>
      <c r="I417">
        <v>301</v>
      </c>
      <c r="J417">
        <v>22</v>
      </c>
      <c r="K417">
        <v>6.3</v>
      </c>
      <c r="L417">
        <v>2500.3200000000002</v>
      </c>
    </row>
    <row r="418" spans="1:12" x14ac:dyDescent="0.35">
      <c r="A418" s="1">
        <v>45383</v>
      </c>
      <c r="B418" t="s">
        <v>39</v>
      </c>
      <c r="C418" t="s">
        <v>40</v>
      </c>
      <c r="D418" t="s">
        <v>14</v>
      </c>
      <c r="E418" t="s">
        <v>21</v>
      </c>
      <c r="F418" t="s">
        <v>22</v>
      </c>
      <c r="G418" t="s">
        <v>23</v>
      </c>
      <c r="H418">
        <v>770</v>
      </c>
      <c r="I418">
        <v>610</v>
      </c>
      <c r="J418">
        <v>35</v>
      </c>
      <c r="K418">
        <v>4.5</v>
      </c>
      <c r="L418">
        <v>2733.76</v>
      </c>
    </row>
    <row r="419" spans="1:12" x14ac:dyDescent="0.35">
      <c r="A419" s="1">
        <v>45383</v>
      </c>
      <c r="B419" t="s">
        <v>39</v>
      </c>
      <c r="C419" t="s">
        <v>40</v>
      </c>
      <c r="D419" t="s">
        <v>14</v>
      </c>
      <c r="E419" t="s">
        <v>24</v>
      </c>
      <c r="F419" t="s">
        <v>25</v>
      </c>
      <c r="G419" t="s">
        <v>17</v>
      </c>
      <c r="H419">
        <v>280</v>
      </c>
      <c r="I419">
        <v>251</v>
      </c>
      <c r="J419">
        <v>9</v>
      </c>
      <c r="K419">
        <v>3.2</v>
      </c>
      <c r="L419">
        <v>1718.72</v>
      </c>
    </row>
    <row r="420" spans="1:12" x14ac:dyDescent="0.35">
      <c r="A420" s="1">
        <v>45383</v>
      </c>
      <c r="B420" t="s">
        <v>39</v>
      </c>
      <c r="C420" t="s">
        <v>40</v>
      </c>
      <c r="D420" t="s">
        <v>14</v>
      </c>
      <c r="E420" t="s">
        <v>26</v>
      </c>
      <c r="F420" t="s">
        <v>27</v>
      </c>
      <c r="G420" t="s">
        <v>20</v>
      </c>
      <c r="H420">
        <v>395</v>
      </c>
      <c r="I420">
        <v>262</v>
      </c>
      <c r="J420">
        <v>30</v>
      </c>
      <c r="K420">
        <v>7.6</v>
      </c>
      <c r="L420">
        <v>717.17</v>
      </c>
    </row>
    <row r="421" spans="1:12" x14ac:dyDescent="0.35">
      <c r="A421" s="1">
        <v>45383</v>
      </c>
      <c r="B421" t="s">
        <v>39</v>
      </c>
      <c r="C421" t="s">
        <v>40</v>
      </c>
      <c r="D421" t="s">
        <v>14</v>
      </c>
      <c r="E421" t="s">
        <v>28</v>
      </c>
      <c r="F421" t="s">
        <v>29</v>
      </c>
      <c r="G421" t="s">
        <v>23</v>
      </c>
      <c r="H421">
        <v>274</v>
      </c>
      <c r="I421">
        <v>192</v>
      </c>
      <c r="J421">
        <v>27</v>
      </c>
      <c r="K421">
        <v>9.9</v>
      </c>
      <c r="L421">
        <v>1123.8</v>
      </c>
    </row>
    <row r="422" spans="1:12" x14ac:dyDescent="0.35">
      <c r="A422" s="1">
        <v>45390</v>
      </c>
      <c r="B422" t="s">
        <v>12</v>
      </c>
      <c r="C422" t="s">
        <v>13</v>
      </c>
      <c r="D422" t="s">
        <v>14</v>
      </c>
      <c r="E422" t="s">
        <v>15</v>
      </c>
      <c r="F422" t="s">
        <v>16</v>
      </c>
      <c r="G422" t="s">
        <v>17</v>
      </c>
      <c r="H422">
        <v>690</v>
      </c>
      <c r="I422">
        <v>487</v>
      </c>
      <c r="J422">
        <v>58</v>
      </c>
      <c r="K422">
        <v>8.4</v>
      </c>
      <c r="L422">
        <v>3873.58</v>
      </c>
    </row>
    <row r="423" spans="1:12" x14ac:dyDescent="0.35">
      <c r="A423" s="1">
        <v>45390</v>
      </c>
      <c r="B423" t="s">
        <v>12</v>
      </c>
      <c r="C423" t="s">
        <v>13</v>
      </c>
      <c r="D423" t="s">
        <v>14</v>
      </c>
      <c r="E423" t="s">
        <v>18</v>
      </c>
      <c r="F423" t="s">
        <v>19</v>
      </c>
      <c r="G423" t="s">
        <v>20</v>
      </c>
      <c r="H423">
        <v>416</v>
      </c>
      <c r="I423">
        <v>375</v>
      </c>
      <c r="J423">
        <v>15</v>
      </c>
      <c r="K423">
        <v>3.6</v>
      </c>
      <c r="L423">
        <v>3186.54</v>
      </c>
    </row>
    <row r="424" spans="1:12" x14ac:dyDescent="0.35">
      <c r="A424" s="1">
        <v>45390</v>
      </c>
      <c r="B424" t="s">
        <v>12</v>
      </c>
      <c r="C424" t="s">
        <v>13</v>
      </c>
      <c r="D424" t="s">
        <v>14</v>
      </c>
      <c r="E424" t="s">
        <v>21</v>
      </c>
      <c r="F424" t="s">
        <v>22</v>
      </c>
      <c r="G424" t="s">
        <v>23</v>
      </c>
      <c r="H424">
        <v>690</v>
      </c>
      <c r="I424">
        <v>618</v>
      </c>
      <c r="J424">
        <v>43</v>
      </c>
      <c r="K424">
        <v>6.2</v>
      </c>
      <c r="L424">
        <v>3015.71</v>
      </c>
    </row>
    <row r="425" spans="1:12" x14ac:dyDescent="0.35">
      <c r="A425" s="1">
        <v>45390</v>
      </c>
      <c r="B425" t="s">
        <v>12</v>
      </c>
      <c r="C425" t="s">
        <v>13</v>
      </c>
      <c r="D425" t="s">
        <v>14</v>
      </c>
      <c r="E425" t="s">
        <v>24</v>
      </c>
      <c r="F425" t="s">
        <v>25</v>
      </c>
      <c r="G425" t="s">
        <v>17</v>
      </c>
      <c r="H425">
        <v>445</v>
      </c>
      <c r="I425">
        <v>355</v>
      </c>
      <c r="J425">
        <v>29</v>
      </c>
      <c r="K425">
        <v>6.5</v>
      </c>
      <c r="L425">
        <v>2024.17</v>
      </c>
    </row>
    <row r="426" spans="1:12" x14ac:dyDescent="0.35">
      <c r="A426" s="1">
        <v>45390</v>
      </c>
      <c r="B426" t="s">
        <v>12</v>
      </c>
      <c r="C426" t="s">
        <v>13</v>
      </c>
      <c r="D426" t="s">
        <v>14</v>
      </c>
      <c r="E426" t="s">
        <v>26</v>
      </c>
      <c r="F426" t="s">
        <v>27</v>
      </c>
      <c r="G426" t="s">
        <v>20</v>
      </c>
      <c r="H426">
        <v>567</v>
      </c>
      <c r="I426">
        <v>415</v>
      </c>
      <c r="J426">
        <v>46</v>
      </c>
      <c r="K426">
        <v>8.1</v>
      </c>
      <c r="L426">
        <v>2197.85</v>
      </c>
    </row>
    <row r="427" spans="1:12" x14ac:dyDescent="0.35">
      <c r="A427" s="1">
        <v>45390</v>
      </c>
      <c r="B427" t="s">
        <v>12</v>
      </c>
      <c r="C427" t="s">
        <v>13</v>
      </c>
      <c r="D427" t="s">
        <v>14</v>
      </c>
      <c r="E427" t="s">
        <v>28</v>
      </c>
      <c r="F427" t="s">
        <v>29</v>
      </c>
      <c r="G427" t="s">
        <v>23</v>
      </c>
      <c r="H427">
        <v>680</v>
      </c>
      <c r="I427">
        <v>581</v>
      </c>
      <c r="J427">
        <v>23</v>
      </c>
      <c r="K427">
        <v>3.4</v>
      </c>
      <c r="L427">
        <v>2543.35</v>
      </c>
    </row>
    <row r="428" spans="1:12" x14ac:dyDescent="0.35">
      <c r="A428" s="1">
        <v>45390</v>
      </c>
      <c r="B428" t="s">
        <v>30</v>
      </c>
      <c r="C428" t="s">
        <v>31</v>
      </c>
      <c r="D428" t="s">
        <v>32</v>
      </c>
      <c r="E428" t="s">
        <v>15</v>
      </c>
      <c r="F428" t="s">
        <v>16</v>
      </c>
      <c r="G428" t="s">
        <v>17</v>
      </c>
      <c r="H428">
        <v>246</v>
      </c>
      <c r="I428">
        <v>197</v>
      </c>
      <c r="J428">
        <v>8</v>
      </c>
      <c r="K428">
        <v>3.3</v>
      </c>
      <c r="L428">
        <v>800.73</v>
      </c>
    </row>
    <row r="429" spans="1:12" x14ac:dyDescent="0.35">
      <c r="A429" s="1">
        <v>45390</v>
      </c>
      <c r="B429" t="s">
        <v>30</v>
      </c>
      <c r="C429" t="s">
        <v>31</v>
      </c>
      <c r="D429" t="s">
        <v>32</v>
      </c>
      <c r="E429" t="s">
        <v>18</v>
      </c>
      <c r="F429" t="s">
        <v>19</v>
      </c>
      <c r="G429" t="s">
        <v>20</v>
      </c>
      <c r="H429">
        <v>798</v>
      </c>
      <c r="I429">
        <v>643</v>
      </c>
      <c r="J429">
        <v>31</v>
      </c>
      <c r="K429">
        <v>3.9</v>
      </c>
      <c r="L429">
        <v>2880.12</v>
      </c>
    </row>
    <row r="430" spans="1:12" x14ac:dyDescent="0.35">
      <c r="A430" s="1">
        <v>45390</v>
      </c>
      <c r="B430" t="s">
        <v>30</v>
      </c>
      <c r="C430" t="s">
        <v>31</v>
      </c>
      <c r="D430" t="s">
        <v>32</v>
      </c>
      <c r="E430" t="s">
        <v>21</v>
      </c>
      <c r="F430" t="s">
        <v>22</v>
      </c>
      <c r="G430" t="s">
        <v>23</v>
      </c>
      <c r="H430">
        <v>588</v>
      </c>
      <c r="I430">
        <v>472</v>
      </c>
      <c r="J430">
        <v>31</v>
      </c>
      <c r="K430">
        <v>5.3</v>
      </c>
      <c r="L430">
        <v>3851.89</v>
      </c>
    </row>
    <row r="431" spans="1:12" x14ac:dyDescent="0.35">
      <c r="A431" s="1">
        <v>45390</v>
      </c>
      <c r="B431" t="s">
        <v>30</v>
      </c>
      <c r="C431" t="s">
        <v>31</v>
      </c>
      <c r="D431" t="s">
        <v>32</v>
      </c>
      <c r="E431" t="s">
        <v>24</v>
      </c>
      <c r="F431" t="s">
        <v>25</v>
      </c>
      <c r="G431" t="s">
        <v>17</v>
      </c>
      <c r="H431">
        <v>545</v>
      </c>
      <c r="I431">
        <v>392</v>
      </c>
      <c r="J431">
        <v>60</v>
      </c>
      <c r="K431">
        <v>11</v>
      </c>
      <c r="L431">
        <v>2489.27</v>
      </c>
    </row>
    <row r="432" spans="1:12" x14ac:dyDescent="0.35">
      <c r="A432" s="1">
        <v>45390</v>
      </c>
      <c r="B432" t="s">
        <v>30</v>
      </c>
      <c r="C432" t="s">
        <v>31</v>
      </c>
      <c r="D432" t="s">
        <v>32</v>
      </c>
      <c r="E432" t="s">
        <v>26</v>
      </c>
      <c r="F432" t="s">
        <v>27</v>
      </c>
      <c r="G432" t="s">
        <v>20</v>
      </c>
      <c r="H432">
        <v>702</v>
      </c>
      <c r="I432">
        <v>543</v>
      </c>
      <c r="J432">
        <v>46</v>
      </c>
      <c r="K432">
        <v>6.6</v>
      </c>
      <c r="L432">
        <v>1813.48</v>
      </c>
    </row>
    <row r="433" spans="1:12" x14ac:dyDescent="0.35">
      <c r="A433" s="1">
        <v>45390</v>
      </c>
      <c r="B433" t="s">
        <v>30</v>
      </c>
      <c r="C433" t="s">
        <v>31</v>
      </c>
      <c r="D433" t="s">
        <v>32</v>
      </c>
      <c r="E433" t="s">
        <v>28</v>
      </c>
      <c r="F433" t="s">
        <v>29</v>
      </c>
      <c r="G433" t="s">
        <v>23</v>
      </c>
      <c r="H433">
        <v>759</v>
      </c>
      <c r="I433">
        <v>593</v>
      </c>
      <c r="J433">
        <v>62</v>
      </c>
      <c r="K433">
        <v>8.1999999999999993</v>
      </c>
      <c r="L433">
        <v>3766.06</v>
      </c>
    </row>
    <row r="434" spans="1:12" x14ac:dyDescent="0.35">
      <c r="A434" s="1">
        <v>45390</v>
      </c>
      <c r="B434" t="s">
        <v>33</v>
      </c>
      <c r="C434" t="s">
        <v>34</v>
      </c>
      <c r="D434" t="s">
        <v>35</v>
      </c>
      <c r="E434" t="s">
        <v>15</v>
      </c>
      <c r="F434" t="s">
        <v>16</v>
      </c>
      <c r="G434" t="s">
        <v>17</v>
      </c>
      <c r="H434">
        <v>260</v>
      </c>
      <c r="I434">
        <v>205</v>
      </c>
      <c r="J434">
        <v>14</v>
      </c>
      <c r="K434">
        <v>5.4</v>
      </c>
      <c r="L434">
        <v>1518.63</v>
      </c>
    </row>
    <row r="435" spans="1:12" x14ac:dyDescent="0.35">
      <c r="A435" s="1">
        <v>45390</v>
      </c>
      <c r="B435" t="s">
        <v>33</v>
      </c>
      <c r="C435" t="s">
        <v>34</v>
      </c>
      <c r="D435" t="s">
        <v>35</v>
      </c>
      <c r="E435" t="s">
        <v>18</v>
      </c>
      <c r="F435" t="s">
        <v>19</v>
      </c>
      <c r="G435" t="s">
        <v>20</v>
      </c>
      <c r="H435">
        <v>249</v>
      </c>
      <c r="I435">
        <v>213</v>
      </c>
      <c r="J435">
        <v>17</v>
      </c>
      <c r="K435">
        <v>6.8</v>
      </c>
      <c r="L435">
        <v>828.27</v>
      </c>
    </row>
    <row r="436" spans="1:12" x14ac:dyDescent="0.35">
      <c r="A436" s="1">
        <v>45390</v>
      </c>
      <c r="B436" t="s">
        <v>33</v>
      </c>
      <c r="C436" t="s">
        <v>34</v>
      </c>
      <c r="D436" t="s">
        <v>35</v>
      </c>
      <c r="E436" t="s">
        <v>21</v>
      </c>
      <c r="F436" t="s">
        <v>22</v>
      </c>
      <c r="G436" t="s">
        <v>23</v>
      </c>
      <c r="H436">
        <v>354</v>
      </c>
      <c r="I436">
        <v>230</v>
      </c>
      <c r="J436">
        <v>26</v>
      </c>
      <c r="K436">
        <v>7.3</v>
      </c>
      <c r="L436">
        <v>1427.61</v>
      </c>
    </row>
    <row r="437" spans="1:12" x14ac:dyDescent="0.35">
      <c r="A437" s="1">
        <v>45390</v>
      </c>
      <c r="B437" t="s">
        <v>33</v>
      </c>
      <c r="C437" t="s">
        <v>34</v>
      </c>
      <c r="D437" t="s">
        <v>35</v>
      </c>
      <c r="E437" t="s">
        <v>24</v>
      </c>
      <c r="F437" t="s">
        <v>25</v>
      </c>
      <c r="G437" t="s">
        <v>17</v>
      </c>
      <c r="H437">
        <v>694</v>
      </c>
      <c r="I437">
        <v>574</v>
      </c>
      <c r="J437">
        <v>30</v>
      </c>
      <c r="K437">
        <v>4.3</v>
      </c>
      <c r="L437">
        <v>2851.65</v>
      </c>
    </row>
    <row r="438" spans="1:12" x14ac:dyDescent="0.35">
      <c r="A438" s="1">
        <v>45390</v>
      </c>
      <c r="B438" t="s">
        <v>33</v>
      </c>
      <c r="C438" t="s">
        <v>34</v>
      </c>
      <c r="D438" t="s">
        <v>35</v>
      </c>
      <c r="E438" t="s">
        <v>26</v>
      </c>
      <c r="F438" t="s">
        <v>27</v>
      </c>
      <c r="G438" t="s">
        <v>20</v>
      </c>
      <c r="H438">
        <v>217</v>
      </c>
      <c r="I438">
        <v>172</v>
      </c>
      <c r="J438">
        <v>16</v>
      </c>
      <c r="K438">
        <v>7.4</v>
      </c>
      <c r="L438">
        <v>447.69</v>
      </c>
    </row>
    <row r="439" spans="1:12" x14ac:dyDescent="0.35">
      <c r="A439" s="1">
        <v>45390</v>
      </c>
      <c r="B439" t="s">
        <v>33</v>
      </c>
      <c r="C439" t="s">
        <v>34</v>
      </c>
      <c r="D439" t="s">
        <v>35</v>
      </c>
      <c r="E439" t="s">
        <v>28</v>
      </c>
      <c r="F439" t="s">
        <v>29</v>
      </c>
      <c r="G439" t="s">
        <v>23</v>
      </c>
      <c r="H439">
        <v>640</v>
      </c>
      <c r="I439">
        <v>555</v>
      </c>
      <c r="J439">
        <v>27</v>
      </c>
      <c r="K439">
        <v>4.2</v>
      </c>
      <c r="L439">
        <v>1708.23</v>
      </c>
    </row>
    <row r="440" spans="1:12" x14ac:dyDescent="0.35">
      <c r="A440" s="1">
        <v>45390</v>
      </c>
      <c r="B440" t="s">
        <v>36</v>
      </c>
      <c r="C440" t="s">
        <v>37</v>
      </c>
      <c r="D440" t="s">
        <v>38</v>
      </c>
      <c r="E440" t="s">
        <v>15</v>
      </c>
      <c r="F440" t="s">
        <v>16</v>
      </c>
      <c r="G440" t="s">
        <v>17</v>
      </c>
      <c r="H440">
        <v>352</v>
      </c>
      <c r="I440">
        <v>251</v>
      </c>
      <c r="J440">
        <v>23</v>
      </c>
      <c r="K440">
        <v>6.5</v>
      </c>
      <c r="L440">
        <v>1161.29</v>
      </c>
    </row>
    <row r="441" spans="1:12" x14ac:dyDescent="0.35">
      <c r="A441" s="1">
        <v>45390</v>
      </c>
      <c r="B441" t="s">
        <v>36</v>
      </c>
      <c r="C441" t="s">
        <v>37</v>
      </c>
      <c r="D441" t="s">
        <v>38</v>
      </c>
      <c r="E441" t="s">
        <v>18</v>
      </c>
      <c r="F441" t="s">
        <v>19</v>
      </c>
      <c r="G441" t="s">
        <v>20</v>
      </c>
      <c r="H441">
        <v>606</v>
      </c>
      <c r="I441">
        <v>406</v>
      </c>
      <c r="J441">
        <v>62</v>
      </c>
      <c r="K441">
        <v>10.199999999999999</v>
      </c>
      <c r="L441">
        <v>1607.45</v>
      </c>
    </row>
    <row r="442" spans="1:12" x14ac:dyDescent="0.35">
      <c r="A442" s="1">
        <v>45390</v>
      </c>
      <c r="B442" t="s">
        <v>36</v>
      </c>
      <c r="C442" t="s">
        <v>37</v>
      </c>
      <c r="D442" t="s">
        <v>38</v>
      </c>
      <c r="E442" t="s">
        <v>21</v>
      </c>
      <c r="F442" t="s">
        <v>22</v>
      </c>
      <c r="G442" t="s">
        <v>23</v>
      </c>
      <c r="H442">
        <v>431</v>
      </c>
      <c r="I442">
        <v>315</v>
      </c>
      <c r="J442">
        <v>27</v>
      </c>
      <c r="K442">
        <v>6.3</v>
      </c>
      <c r="L442">
        <v>2661.77</v>
      </c>
    </row>
    <row r="443" spans="1:12" x14ac:dyDescent="0.35">
      <c r="A443" s="1">
        <v>45390</v>
      </c>
      <c r="B443" t="s">
        <v>36</v>
      </c>
      <c r="C443" t="s">
        <v>37</v>
      </c>
      <c r="D443" t="s">
        <v>38</v>
      </c>
      <c r="E443" t="s">
        <v>24</v>
      </c>
      <c r="F443" t="s">
        <v>25</v>
      </c>
      <c r="G443" t="s">
        <v>17</v>
      </c>
      <c r="H443">
        <v>232</v>
      </c>
      <c r="I443">
        <v>156</v>
      </c>
      <c r="J443">
        <v>16</v>
      </c>
      <c r="K443">
        <v>6.9</v>
      </c>
      <c r="L443">
        <v>442.52</v>
      </c>
    </row>
    <row r="444" spans="1:12" x14ac:dyDescent="0.35">
      <c r="A444" s="1">
        <v>45390</v>
      </c>
      <c r="B444" t="s">
        <v>36</v>
      </c>
      <c r="C444" t="s">
        <v>37</v>
      </c>
      <c r="D444" t="s">
        <v>38</v>
      </c>
      <c r="E444" t="s">
        <v>26</v>
      </c>
      <c r="F444" t="s">
        <v>27</v>
      </c>
      <c r="G444" t="s">
        <v>20</v>
      </c>
      <c r="H444">
        <v>209</v>
      </c>
      <c r="I444">
        <v>175</v>
      </c>
      <c r="J444">
        <v>12</v>
      </c>
      <c r="K444">
        <v>5.7</v>
      </c>
      <c r="L444">
        <v>1114.6500000000001</v>
      </c>
    </row>
    <row r="445" spans="1:12" x14ac:dyDescent="0.35">
      <c r="A445" s="1">
        <v>45390</v>
      </c>
      <c r="B445" t="s">
        <v>36</v>
      </c>
      <c r="C445" t="s">
        <v>37</v>
      </c>
      <c r="D445" t="s">
        <v>38</v>
      </c>
      <c r="E445" t="s">
        <v>28</v>
      </c>
      <c r="F445" t="s">
        <v>29</v>
      </c>
      <c r="G445" t="s">
        <v>23</v>
      </c>
      <c r="H445">
        <v>539</v>
      </c>
      <c r="I445">
        <v>432</v>
      </c>
      <c r="J445">
        <v>28</v>
      </c>
      <c r="K445">
        <v>5.2</v>
      </c>
      <c r="L445">
        <v>2448.9899999999998</v>
      </c>
    </row>
    <row r="446" spans="1:12" x14ac:dyDescent="0.35">
      <c r="A446" s="1">
        <v>45390</v>
      </c>
      <c r="B446" t="s">
        <v>39</v>
      </c>
      <c r="C446" t="s">
        <v>40</v>
      </c>
      <c r="D446" t="s">
        <v>14</v>
      </c>
      <c r="E446" t="s">
        <v>15</v>
      </c>
      <c r="F446" t="s">
        <v>16</v>
      </c>
      <c r="G446" t="s">
        <v>17</v>
      </c>
      <c r="H446">
        <v>243</v>
      </c>
      <c r="I446">
        <v>173</v>
      </c>
      <c r="J446">
        <v>24</v>
      </c>
      <c r="K446">
        <v>9.9</v>
      </c>
      <c r="L446">
        <v>1020.82</v>
      </c>
    </row>
    <row r="447" spans="1:12" x14ac:dyDescent="0.35">
      <c r="A447" s="1">
        <v>45390</v>
      </c>
      <c r="B447" t="s">
        <v>39</v>
      </c>
      <c r="C447" t="s">
        <v>40</v>
      </c>
      <c r="D447" t="s">
        <v>14</v>
      </c>
      <c r="E447" t="s">
        <v>18</v>
      </c>
      <c r="F447" t="s">
        <v>19</v>
      </c>
      <c r="G447" t="s">
        <v>20</v>
      </c>
      <c r="H447">
        <v>477</v>
      </c>
      <c r="I447">
        <v>316</v>
      </c>
      <c r="J447">
        <v>35</v>
      </c>
      <c r="K447">
        <v>7.3</v>
      </c>
      <c r="L447">
        <v>2495.09</v>
      </c>
    </row>
    <row r="448" spans="1:12" x14ac:dyDescent="0.35">
      <c r="A448" s="1">
        <v>45390</v>
      </c>
      <c r="B448" t="s">
        <v>39</v>
      </c>
      <c r="C448" t="s">
        <v>40</v>
      </c>
      <c r="D448" t="s">
        <v>14</v>
      </c>
      <c r="E448" t="s">
        <v>21</v>
      </c>
      <c r="F448" t="s">
        <v>22</v>
      </c>
      <c r="G448" t="s">
        <v>23</v>
      </c>
      <c r="H448">
        <v>777</v>
      </c>
      <c r="I448">
        <v>643</v>
      </c>
      <c r="J448">
        <v>50</v>
      </c>
      <c r="K448">
        <v>6.4</v>
      </c>
      <c r="L448">
        <v>1667.91</v>
      </c>
    </row>
    <row r="449" spans="1:12" x14ac:dyDescent="0.35">
      <c r="A449" s="1">
        <v>45390</v>
      </c>
      <c r="B449" t="s">
        <v>39</v>
      </c>
      <c r="C449" t="s">
        <v>40</v>
      </c>
      <c r="D449" t="s">
        <v>14</v>
      </c>
      <c r="E449" t="s">
        <v>24</v>
      </c>
      <c r="F449" t="s">
        <v>25</v>
      </c>
      <c r="G449" t="s">
        <v>17</v>
      </c>
      <c r="H449">
        <v>412</v>
      </c>
      <c r="I449">
        <v>333</v>
      </c>
      <c r="J449">
        <v>32</v>
      </c>
      <c r="K449">
        <v>7.8</v>
      </c>
      <c r="L449">
        <v>1628.3</v>
      </c>
    </row>
    <row r="450" spans="1:12" x14ac:dyDescent="0.35">
      <c r="A450" s="1">
        <v>45390</v>
      </c>
      <c r="B450" t="s">
        <v>39</v>
      </c>
      <c r="C450" t="s">
        <v>40</v>
      </c>
      <c r="D450" t="s">
        <v>14</v>
      </c>
      <c r="E450" t="s">
        <v>26</v>
      </c>
      <c r="F450" t="s">
        <v>27</v>
      </c>
      <c r="G450" t="s">
        <v>20</v>
      </c>
      <c r="H450">
        <v>278</v>
      </c>
      <c r="I450">
        <v>203</v>
      </c>
      <c r="J450">
        <v>21</v>
      </c>
      <c r="K450">
        <v>7.6</v>
      </c>
      <c r="L450">
        <v>1542.12</v>
      </c>
    </row>
    <row r="451" spans="1:12" x14ac:dyDescent="0.35">
      <c r="A451" s="1">
        <v>45390</v>
      </c>
      <c r="B451" t="s">
        <v>39</v>
      </c>
      <c r="C451" t="s">
        <v>40</v>
      </c>
      <c r="D451" t="s">
        <v>14</v>
      </c>
      <c r="E451" t="s">
        <v>28</v>
      </c>
      <c r="F451" t="s">
        <v>29</v>
      </c>
      <c r="G451" t="s">
        <v>23</v>
      </c>
      <c r="H451">
        <v>753</v>
      </c>
      <c r="I451">
        <v>556</v>
      </c>
      <c r="J451">
        <v>47</v>
      </c>
      <c r="K451">
        <v>6.2</v>
      </c>
      <c r="L451">
        <v>4687.5600000000004</v>
      </c>
    </row>
    <row r="452" spans="1:12" x14ac:dyDescent="0.35">
      <c r="A452" s="1">
        <v>45397</v>
      </c>
      <c r="B452" t="s">
        <v>12</v>
      </c>
      <c r="C452" t="s">
        <v>13</v>
      </c>
      <c r="D452" t="s">
        <v>14</v>
      </c>
      <c r="E452" t="s">
        <v>15</v>
      </c>
      <c r="F452" t="s">
        <v>16</v>
      </c>
      <c r="G452" t="s">
        <v>17</v>
      </c>
      <c r="H452">
        <v>280</v>
      </c>
      <c r="I452">
        <v>219</v>
      </c>
      <c r="J452">
        <v>16</v>
      </c>
      <c r="K452">
        <v>5.7</v>
      </c>
      <c r="L452">
        <v>1121.83</v>
      </c>
    </row>
    <row r="453" spans="1:12" x14ac:dyDescent="0.35">
      <c r="A453" s="1">
        <v>45397</v>
      </c>
      <c r="B453" t="s">
        <v>12</v>
      </c>
      <c r="C453" t="s">
        <v>13</v>
      </c>
      <c r="D453" t="s">
        <v>14</v>
      </c>
      <c r="E453" t="s">
        <v>18</v>
      </c>
      <c r="F453" t="s">
        <v>19</v>
      </c>
      <c r="G453" t="s">
        <v>20</v>
      </c>
      <c r="H453">
        <v>277</v>
      </c>
      <c r="I453">
        <v>205</v>
      </c>
      <c r="J453">
        <v>28</v>
      </c>
      <c r="K453">
        <v>10.1</v>
      </c>
      <c r="L453">
        <v>1000.44</v>
      </c>
    </row>
    <row r="454" spans="1:12" x14ac:dyDescent="0.35">
      <c r="A454" s="1">
        <v>45397</v>
      </c>
      <c r="B454" t="s">
        <v>12</v>
      </c>
      <c r="C454" t="s">
        <v>13</v>
      </c>
      <c r="D454" t="s">
        <v>14</v>
      </c>
      <c r="E454" t="s">
        <v>21</v>
      </c>
      <c r="F454" t="s">
        <v>22</v>
      </c>
      <c r="G454" t="s">
        <v>23</v>
      </c>
      <c r="H454">
        <v>534</v>
      </c>
      <c r="I454">
        <v>351</v>
      </c>
      <c r="J454">
        <v>48</v>
      </c>
      <c r="K454">
        <v>9</v>
      </c>
      <c r="L454">
        <v>1910.71</v>
      </c>
    </row>
    <row r="455" spans="1:12" x14ac:dyDescent="0.35">
      <c r="A455" s="1">
        <v>45397</v>
      </c>
      <c r="B455" t="s">
        <v>12</v>
      </c>
      <c r="C455" t="s">
        <v>13</v>
      </c>
      <c r="D455" t="s">
        <v>14</v>
      </c>
      <c r="E455" t="s">
        <v>24</v>
      </c>
      <c r="F455" t="s">
        <v>25</v>
      </c>
      <c r="G455" t="s">
        <v>17</v>
      </c>
      <c r="H455">
        <v>564</v>
      </c>
      <c r="I455">
        <v>450</v>
      </c>
      <c r="J455">
        <v>23</v>
      </c>
      <c r="K455">
        <v>4.0999999999999996</v>
      </c>
      <c r="L455">
        <v>2706.86</v>
      </c>
    </row>
    <row r="456" spans="1:12" x14ac:dyDescent="0.35">
      <c r="A456" s="1">
        <v>45397</v>
      </c>
      <c r="B456" t="s">
        <v>12</v>
      </c>
      <c r="C456" t="s">
        <v>13</v>
      </c>
      <c r="D456" t="s">
        <v>14</v>
      </c>
      <c r="E456" t="s">
        <v>26</v>
      </c>
      <c r="F456" t="s">
        <v>27</v>
      </c>
      <c r="G456" t="s">
        <v>20</v>
      </c>
      <c r="H456">
        <v>589</v>
      </c>
      <c r="I456">
        <v>396</v>
      </c>
      <c r="J456">
        <v>58</v>
      </c>
      <c r="K456">
        <v>9.8000000000000007</v>
      </c>
      <c r="L456">
        <v>2684.35</v>
      </c>
    </row>
    <row r="457" spans="1:12" x14ac:dyDescent="0.35">
      <c r="A457" s="1">
        <v>45397</v>
      </c>
      <c r="B457" t="s">
        <v>12</v>
      </c>
      <c r="C457" t="s">
        <v>13</v>
      </c>
      <c r="D457" t="s">
        <v>14</v>
      </c>
      <c r="E457" t="s">
        <v>28</v>
      </c>
      <c r="F457" t="s">
        <v>29</v>
      </c>
      <c r="G457" t="s">
        <v>23</v>
      </c>
      <c r="H457">
        <v>284</v>
      </c>
      <c r="I457">
        <v>205</v>
      </c>
      <c r="J457">
        <v>22</v>
      </c>
      <c r="K457">
        <v>7.7</v>
      </c>
      <c r="L457">
        <v>702.26</v>
      </c>
    </row>
    <row r="458" spans="1:12" x14ac:dyDescent="0.35">
      <c r="A458" s="1">
        <v>45397</v>
      </c>
      <c r="B458" t="s">
        <v>30</v>
      </c>
      <c r="C458" t="s">
        <v>31</v>
      </c>
      <c r="D458" t="s">
        <v>32</v>
      </c>
      <c r="E458" t="s">
        <v>15</v>
      </c>
      <c r="F458" t="s">
        <v>16</v>
      </c>
      <c r="G458" t="s">
        <v>17</v>
      </c>
      <c r="H458">
        <v>598</v>
      </c>
      <c r="I458">
        <v>439</v>
      </c>
      <c r="J458">
        <v>15</v>
      </c>
      <c r="K458">
        <v>2.5</v>
      </c>
      <c r="L458">
        <v>1909.48</v>
      </c>
    </row>
    <row r="459" spans="1:12" x14ac:dyDescent="0.35">
      <c r="A459" s="1">
        <v>45397</v>
      </c>
      <c r="B459" t="s">
        <v>30</v>
      </c>
      <c r="C459" t="s">
        <v>31</v>
      </c>
      <c r="D459" t="s">
        <v>32</v>
      </c>
      <c r="E459" t="s">
        <v>18</v>
      </c>
      <c r="F459" t="s">
        <v>19</v>
      </c>
      <c r="G459" t="s">
        <v>20</v>
      </c>
      <c r="H459">
        <v>568</v>
      </c>
      <c r="I459">
        <v>485</v>
      </c>
      <c r="J459">
        <v>13</v>
      </c>
      <c r="K459">
        <v>2.2999999999999998</v>
      </c>
      <c r="L459">
        <v>2466.65</v>
      </c>
    </row>
    <row r="460" spans="1:12" x14ac:dyDescent="0.35">
      <c r="A460" s="1">
        <v>45397</v>
      </c>
      <c r="B460" t="s">
        <v>30</v>
      </c>
      <c r="C460" t="s">
        <v>31</v>
      </c>
      <c r="D460" t="s">
        <v>32</v>
      </c>
      <c r="E460" t="s">
        <v>21</v>
      </c>
      <c r="F460" t="s">
        <v>22</v>
      </c>
      <c r="G460" t="s">
        <v>23</v>
      </c>
      <c r="H460">
        <v>770</v>
      </c>
      <c r="I460">
        <v>615</v>
      </c>
      <c r="J460">
        <v>26</v>
      </c>
      <c r="K460">
        <v>3.4</v>
      </c>
      <c r="L460">
        <v>2843.44</v>
      </c>
    </row>
    <row r="461" spans="1:12" x14ac:dyDescent="0.35">
      <c r="A461" s="1">
        <v>45397</v>
      </c>
      <c r="B461" t="s">
        <v>30</v>
      </c>
      <c r="C461" t="s">
        <v>31</v>
      </c>
      <c r="D461" t="s">
        <v>32</v>
      </c>
      <c r="E461" t="s">
        <v>24</v>
      </c>
      <c r="F461" t="s">
        <v>25</v>
      </c>
      <c r="G461" t="s">
        <v>17</v>
      </c>
      <c r="H461">
        <v>295</v>
      </c>
      <c r="I461">
        <v>239</v>
      </c>
      <c r="J461">
        <v>25</v>
      </c>
      <c r="K461">
        <v>8.5</v>
      </c>
      <c r="L461">
        <v>615.20000000000005</v>
      </c>
    </row>
    <row r="462" spans="1:12" x14ac:dyDescent="0.35">
      <c r="A462" s="1">
        <v>45397</v>
      </c>
      <c r="B462" t="s">
        <v>30</v>
      </c>
      <c r="C462" t="s">
        <v>31</v>
      </c>
      <c r="D462" t="s">
        <v>32</v>
      </c>
      <c r="E462" t="s">
        <v>26</v>
      </c>
      <c r="F462" t="s">
        <v>27</v>
      </c>
      <c r="G462" t="s">
        <v>20</v>
      </c>
      <c r="H462">
        <v>623</v>
      </c>
      <c r="I462">
        <v>470</v>
      </c>
      <c r="J462">
        <v>42</v>
      </c>
      <c r="K462">
        <v>6.7</v>
      </c>
      <c r="L462">
        <v>3727.69</v>
      </c>
    </row>
    <row r="463" spans="1:12" x14ac:dyDescent="0.35">
      <c r="A463" s="1">
        <v>45397</v>
      </c>
      <c r="B463" t="s">
        <v>30</v>
      </c>
      <c r="C463" t="s">
        <v>31</v>
      </c>
      <c r="D463" t="s">
        <v>32</v>
      </c>
      <c r="E463" t="s">
        <v>28</v>
      </c>
      <c r="F463" t="s">
        <v>29</v>
      </c>
      <c r="G463" t="s">
        <v>23</v>
      </c>
      <c r="H463">
        <v>448</v>
      </c>
      <c r="I463">
        <v>360</v>
      </c>
      <c r="J463">
        <v>19</v>
      </c>
      <c r="K463">
        <v>4.2</v>
      </c>
      <c r="L463">
        <v>1199.8900000000001</v>
      </c>
    </row>
    <row r="464" spans="1:12" x14ac:dyDescent="0.35">
      <c r="A464" s="1">
        <v>45397</v>
      </c>
      <c r="B464" t="s">
        <v>33</v>
      </c>
      <c r="C464" t="s">
        <v>34</v>
      </c>
      <c r="D464" t="s">
        <v>35</v>
      </c>
      <c r="E464" t="s">
        <v>15</v>
      </c>
      <c r="F464" t="s">
        <v>16</v>
      </c>
      <c r="G464" t="s">
        <v>17</v>
      </c>
      <c r="H464">
        <v>508</v>
      </c>
      <c r="I464">
        <v>367</v>
      </c>
      <c r="J464">
        <v>18</v>
      </c>
      <c r="K464">
        <v>3.5</v>
      </c>
      <c r="L464">
        <v>1525.17</v>
      </c>
    </row>
    <row r="465" spans="1:12" x14ac:dyDescent="0.35">
      <c r="A465" s="1">
        <v>45397</v>
      </c>
      <c r="B465" t="s">
        <v>33</v>
      </c>
      <c r="C465" t="s">
        <v>34</v>
      </c>
      <c r="D465" t="s">
        <v>35</v>
      </c>
      <c r="E465" t="s">
        <v>18</v>
      </c>
      <c r="F465" t="s">
        <v>19</v>
      </c>
      <c r="G465" t="s">
        <v>20</v>
      </c>
      <c r="H465">
        <v>506</v>
      </c>
      <c r="I465">
        <v>395</v>
      </c>
      <c r="J465">
        <v>17</v>
      </c>
      <c r="K465">
        <v>3.4</v>
      </c>
      <c r="L465">
        <v>1571.92</v>
      </c>
    </row>
    <row r="466" spans="1:12" x14ac:dyDescent="0.35">
      <c r="A466" s="1">
        <v>45397</v>
      </c>
      <c r="B466" t="s">
        <v>33</v>
      </c>
      <c r="C466" t="s">
        <v>34</v>
      </c>
      <c r="D466" t="s">
        <v>35</v>
      </c>
      <c r="E466" t="s">
        <v>21</v>
      </c>
      <c r="F466" t="s">
        <v>22</v>
      </c>
      <c r="G466" t="s">
        <v>23</v>
      </c>
      <c r="H466">
        <v>707</v>
      </c>
      <c r="I466">
        <v>572</v>
      </c>
      <c r="J466">
        <v>21</v>
      </c>
      <c r="K466">
        <v>3</v>
      </c>
      <c r="L466">
        <v>2475.59</v>
      </c>
    </row>
    <row r="467" spans="1:12" x14ac:dyDescent="0.35">
      <c r="A467" s="1">
        <v>45397</v>
      </c>
      <c r="B467" t="s">
        <v>33</v>
      </c>
      <c r="C467" t="s">
        <v>34</v>
      </c>
      <c r="D467" t="s">
        <v>35</v>
      </c>
      <c r="E467" t="s">
        <v>24</v>
      </c>
      <c r="F467" t="s">
        <v>25</v>
      </c>
      <c r="G467" t="s">
        <v>17</v>
      </c>
      <c r="H467">
        <v>605</v>
      </c>
      <c r="I467">
        <v>447</v>
      </c>
      <c r="J467">
        <v>54</v>
      </c>
      <c r="K467">
        <v>8.9</v>
      </c>
      <c r="L467">
        <v>2001.33</v>
      </c>
    </row>
    <row r="468" spans="1:12" x14ac:dyDescent="0.35">
      <c r="A468" s="1">
        <v>45397</v>
      </c>
      <c r="B468" t="s">
        <v>33</v>
      </c>
      <c r="C468" t="s">
        <v>34</v>
      </c>
      <c r="D468" t="s">
        <v>35</v>
      </c>
      <c r="E468" t="s">
        <v>26</v>
      </c>
      <c r="F468" t="s">
        <v>27</v>
      </c>
      <c r="G468" t="s">
        <v>20</v>
      </c>
      <c r="H468">
        <v>542</v>
      </c>
      <c r="I468">
        <v>415</v>
      </c>
      <c r="J468">
        <v>46</v>
      </c>
      <c r="K468">
        <v>8.5</v>
      </c>
      <c r="L468">
        <v>2517.54</v>
      </c>
    </row>
    <row r="469" spans="1:12" x14ac:dyDescent="0.35">
      <c r="A469" s="1">
        <v>45397</v>
      </c>
      <c r="B469" t="s">
        <v>33</v>
      </c>
      <c r="C469" t="s">
        <v>34</v>
      </c>
      <c r="D469" t="s">
        <v>35</v>
      </c>
      <c r="E469" t="s">
        <v>28</v>
      </c>
      <c r="F469" t="s">
        <v>29</v>
      </c>
      <c r="G469" t="s">
        <v>23</v>
      </c>
      <c r="H469">
        <v>507</v>
      </c>
      <c r="I469">
        <v>373</v>
      </c>
      <c r="J469">
        <v>38</v>
      </c>
      <c r="K469">
        <v>7.5</v>
      </c>
      <c r="L469">
        <v>1635.64</v>
      </c>
    </row>
    <row r="470" spans="1:12" x14ac:dyDescent="0.35">
      <c r="A470" s="1">
        <v>45397</v>
      </c>
      <c r="B470" t="s">
        <v>36</v>
      </c>
      <c r="C470" t="s">
        <v>37</v>
      </c>
      <c r="D470" t="s">
        <v>38</v>
      </c>
      <c r="E470" t="s">
        <v>15</v>
      </c>
      <c r="F470" t="s">
        <v>16</v>
      </c>
      <c r="G470" t="s">
        <v>17</v>
      </c>
      <c r="H470">
        <v>607</v>
      </c>
      <c r="I470">
        <v>553</v>
      </c>
      <c r="J470">
        <v>32</v>
      </c>
      <c r="K470">
        <v>5.3</v>
      </c>
      <c r="L470">
        <v>3011.66</v>
      </c>
    </row>
    <row r="471" spans="1:12" x14ac:dyDescent="0.35">
      <c r="A471" s="1">
        <v>45397</v>
      </c>
      <c r="B471" t="s">
        <v>36</v>
      </c>
      <c r="C471" t="s">
        <v>37</v>
      </c>
      <c r="D471" t="s">
        <v>38</v>
      </c>
      <c r="E471" t="s">
        <v>18</v>
      </c>
      <c r="F471" t="s">
        <v>19</v>
      </c>
      <c r="G471" t="s">
        <v>20</v>
      </c>
      <c r="H471">
        <v>789</v>
      </c>
      <c r="I471">
        <v>679</v>
      </c>
      <c r="J471">
        <v>29</v>
      </c>
      <c r="K471">
        <v>3.7</v>
      </c>
      <c r="L471">
        <v>4899.12</v>
      </c>
    </row>
    <row r="472" spans="1:12" x14ac:dyDescent="0.35">
      <c r="A472" s="1">
        <v>45397</v>
      </c>
      <c r="B472" t="s">
        <v>36</v>
      </c>
      <c r="C472" t="s">
        <v>37</v>
      </c>
      <c r="D472" t="s">
        <v>38</v>
      </c>
      <c r="E472" t="s">
        <v>21</v>
      </c>
      <c r="F472" t="s">
        <v>22</v>
      </c>
      <c r="G472" t="s">
        <v>23</v>
      </c>
      <c r="H472">
        <v>573</v>
      </c>
      <c r="I472">
        <v>390</v>
      </c>
      <c r="J472">
        <v>48</v>
      </c>
      <c r="K472">
        <v>8.4</v>
      </c>
      <c r="L472">
        <v>2251.77</v>
      </c>
    </row>
    <row r="473" spans="1:12" x14ac:dyDescent="0.35">
      <c r="A473" s="1">
        <v>45397</v>
      </c>
      <c r="B473" t="s">
        <v>36</v>
      </c>
      <c r="C473" t="s">
        <v>37</v>
      </c>
      <c r="D473" t="s">
        <v>38</v>
      </c>
      <c r="E473" t="s">
        <v>24</v>
      </c>
      <c r="F473" t="s">
        <v>25</v>
      </c>
      <c r="G473" t="s">
        <v>17</v>
      </c>
      <c r="H473">
        <v>763</v>
      </c>
      <c r="I473">
        <v>501</v>
      </c>
      <c r="J473">
        <v>88</v>
      </c>
      <c r="K473">
        <v>11.5</v>
      </c>
      <c r="L473">
        <v>1882.7</v>
      </c>
    </row>
    <row r="474" spans="1:12" x14ac:dyDescent="0.35">
      <c r="A474" s="1">
        <v>45397</v>
      </c>
      <c r="B474" t="s">
        <v>36</v>
      </c>
      <c r="C474" t="s">
        <v>37</v>
      </c>
      <c r="D474" t="s">
        <v>38</v>
      </c>
      <c r="E474" t="s">
        <v>26</v>
      </c>
      <c r="F474" t="s">
        <v>27</v>
      </c>
      <c r="G474" t="s">
        <v>20</v>
      </c>
      <c r="H474">
        <v>498</v>
      </c>
      <c r="I474">
        <v>435</v>
      </c>
      <c r="J474">
        <v>29</v>
      </c>
      <c r="K474">
        <v>5.8</v>
      </c>
      <c r="L474">
        <v>3162.57</v>
      </c>
    </row>
    <row r="475" spans="1:12" x14ac:dyDescent="0.35">
      <c r="A475" s="1">
        <v>45397</v>
      </c>
      <c r="B475" t="s">
        <v>36</v>
      </c>
      <c r="C475" t="s">
        <v>37</v>
      </c>
      <c r="D475" t="s">
        <v>38</v>
      </c>
      <c r="E475" t="s">
        <v>28</v>
      </c>
      <c r="F475" t="s">
        <v>29</v>
      </c>
      <c r="G475" t="s">
        <v>23</v>
      </c>
      <c r="H475">
        <v>711</v>
      </c>
      <c r="I475">
        <v>488</v>
      </c>
      <c r="J475">
        <v>37</v>
      </c>
      <c r="K475">
        <v>5.2</v>
      </c>
      <c r="L475">
        <v>1671.33</v>
      </c>
    </row>
    <row r="476" spans="1:12" x14ac:dyDescent="0.35">
      <c r="A476" s="1">
        <v>45397</v>
      </c>
      <c r="B476" t="s">
        <v>39</v>
      </c>
      <c r="C476" t="s">
        <v>40</v>
      </c>
      <c r="D476" t="s">
        <v>14</v>
      </c>
      <c r="E476" t="s">
        <v>15</v>
      </c>
      <c r="F476" t="s">
        <v>16</v>
      </c>
      <c r="G476" t="s">
        <v>17</v>
      </c>
      <c r="H476">
        <v>633</v>
      </c>
      <c r="I476">
        <v>546</v>
      </c>
      <c r="J476">
        <v>42</v>
      </c>
      <c r="K476">
        <v>6.6</v>
      </c>
      <c r="L476">
        <v>2934.97</v>
      </c>
    </row>
    <row r="477" spans="1:12" x14ac:dyDescent="0.35">
      <c r="A477" s="1">
        <v>45397</v>
      </c>
      <c r="B477" t="s">
        <v>39</v>
      </c>
      <c r="C477" t="s">
        <v>40</v>
      </c>
      <c r="D477" t="s">
        <v>14</v>
      </c>
      <c r="E477" t="s">
        <v>18</v>
      </c>
      <c r="F477" t="s">
        <v>19</v>
      </c>
      <c r="G477" t="s">
        <v>20</v>
      </c>
      <c r="H477">
        <v>610</v>
      </c>
      <c r="I477">
        <v>484</v>
      </c>
      <c r="J477">
        <v>58</v>
      </c>
      <c r="K477">
        <v>9.5</v>
      </c>
      <c r="L477">
        <v>2424.75</v>
      </c>
    </row>
    <row r="478" spans="1:12" x14ac:dyDescent="0.35">
      <c r="A478" s="1">
        <v>45397</v>
      </c>
      <c r="B478" t="s">
        <v>39</v>
      </c>
      <c r="C478" t="s">
        <v>40</v>
      </c>
      <c r="D478" t="s">
        <v>14</v>
      </c>
      <c r="E478" t="s">
        <v>21</v>
      </c>
      <c r="F478" t="s">
        <v>22</v>
      </c>
      <c r="G478" t="s">
        <v>23</v>
      </c>
      <c r="H478">
        <v>237</v>
      </c>
      <c r="I478">
        <v>204</v>
      </c>
      <c r="J478">
        <v>16</v>
      </c>
      <c r="K478">
        <v>6.8</v>
      </c>
      <c r="L478">
        <v>1167.17</v>
      </c>
    </row>
    <row r="479" spans="1:12" x14ac:dyDescent="0.35">
      <c r="A479" s="1">
        <v>45397</v>
      </c>
      <c r="B479" t="s">
        <v>39</v>
      </c>
      <c r="C479" t="s">
        <v>40</v>
      </c>
      <c r="D479" t="s">
        <v>14</v>
      </c>
      <c r="E479" t="s">
        <v>24</v>
      </c>
      <c r="F479" t="s">
        <v>25</v>
      </c>
      <c r="G479" t="s">
        <v>17</v>
      </c>
      <c r="H479">
        <v>287</v>
      </c>
      <c r="I479">
        <v>195</v>
      </c>
      <c r="J479">
        <v>20</v>
      </c>
      <c r="K479">
        <v>7</v>
      </c>
      <c r="L479">
        <v>682.12</v>
      </c>
    </row>
    <row r="480" spans="1:12" x14ac:dyDescent="0.35">
      <c r="A480" s="1">
        <v>45397</v>
      </c>
      <c r="B480" t="s">
        <v>39</v>
      </c>
      <c r="C480" t="s">
        <v>40</v>
      </c>
      <c r="D480" t="s">
        <v>14</v>
      </c>
      <c r="E480" t="s">
        <v>26</v>
      </c>
      <c r="F480" t="s">
        <v>27</v>
      </c>
      <c r="G480" t="s">
        <v>20</v>
      </c>
      <c r="H480">
        <v>245</v>
      </c>
      <c r="I480">
        <v>196</v>
      </c>
      <c r="J480">
        <v>18</v>
      </c>
      <c r="K480">
        <v>7.3</v>
      </c>
      <c r="L480">
        <v>1626.97</v>
      </c>
    </row>
    <row r="481" spans="1:12" x14ac:dyDescent="0.35">
      <c r="A481" s="1">
        <v>45397</v>
      </c>
      <c r="B481" t="s">
        <v>39</v>
      </c>
      <c r="C481" t="s">
        <v>40</v>
      </c>
      <c r="D481" t="s">
        <v>14</v>
      </c>
      <c r="E481" t="s">
        <v>28</v>
      </c>
      <c r="F481" t="s">
        <v>29</v>
      </c>
      <c r="G481" t="s">
        <v>23</v>
      </c>
      <c r="H481">
        <v>539</v>
      </c>
      <c r="I481">
        <v>490</v>
      </c>
      <c r="J481">
        <v>11</v>
      </c>
      <c r="K481">
        <v>2</v>
      </c>
      <c r="L481">
        <v>1985.69</v>
      </c>
    </row>
    <row r="482" spans="1:12" x14ac:dyDescent="0.35">
      <c r="A482" s="1">
        <v>45404</v>
      </c>
      <c r="B482" t="s">
        <v>12</v>
      </c>
      <c r="C482" t="s">
        <v>13</v>
      </c>
      <c r="D482" t="s">
        <v>14</v>
      </c>
      <c r="E482" t="s">
        <v>15</v>
      </c>
      <c r="F482" t="s">
        <v>16</v>
      </c>
      <c r="G482" t="s">
        <v>17</v>
      </c>
      <c r="H482">
        <v>722</v>
      </c>
      <c r="I482">
        <v>614</v>
      </c>
      <c r="J482">
        <v>47</v>
      </c>
      <c r="K482">
        <v>6.5</v>
      </c>
      <c r="L482">
        <v>2349.2800000000002</v>
      </c>
    </row>
    <row r="483" spans="1:12" x14ac:dyDescent="0.35">
      <c r="A483" s="1">
        <v>45404</v>
      </c>
      <c r="B483" t="s">
        <v>12</v>
      </c>
      <c r="C483" t="s">
        <v>13</v>
      </c>
      <c r="D483" t="s">
        <v>14</v>
      </c>
      <c r="E483" t="s">
        <v>18</v>
      </c>
      <c r="F483" t="s">
        <v>19</v>
      </c>
      <c r="G483" t="s">
        <v>20</v>
      </c>
      <c r="H483">
        <v>583</v>
      </c>
      <c r="I483">
        <v>440</v>
      </c>
      <c r="J483">
        <v>48</v>
      </c>
      <c r="K483">
        <v>8.1999999999999993</v>
      </c>
      <c r="L483">
        <v>2421.23</v>
      </c>
    </row>
    <row r="484" spans="1:12" x14ac:dyDescent="0.35">
      <c r="A484" s="1">
        <v>45404</v>
      </c>
      <c r="B484" t="s">
        <v>12</v>
      </c>
      <c r="C484" t="s">
        <v>13</v>
      </c>
      <c r="D484" t="s">
        <v>14</v>
      </c>
      <c r="E484" t="s">
        <v>21</v>
      </c>
      <c r="F484" t="s">
        <v>22</v>
      </c>
      <c r="G484" t="s">
        <v>23</v>
      </c>
      <c r="H484">
        <v>553</v>
      </c>
      <c r="I484">
        <v>508</v>
      </c>
      <c r="J484">
        <v>19</v>
      </c>
      <c r="K484">
        <v>3.4</v>
      </c>
      <c r="L484">
        <v>4075.83</v>
      </c>
    </row>
    <row r="485" spans="1:12" x14ac:dyDescent="0.35">
      <c r="A485" s="1">
        <v>45404</v>
      </c>
      <c r="B485" t="s">
        <v>12</v>
      </c>
      <c r="C485" t="s">
        <v>13</v>
      </c>
      <c r="D485" t="s">
        <v>14</v>
      </c>
      <c r="E485" t="s">
        <v>24</v>
      </c>
      <c r="F485" t="s">
        <v>25</v>
      </c>
      <c r="G485" t="s">
        <v>17</v>
      </c>
      <c r="H485">
        <v>287</v>
      </c>
      <c r="I485">
        <v>195</v>
      </c>
      <c r="J485">
        <v>24</v>
      </c>
      <c r="K485">
        <v>8.4</v>
      </c>
      <c r="L485">
        <v>852.41</v>
      </c>
    </row>
    <row r="486" spans="1:12" x14ac:dyDescent="0.35">
      <c r="A486" s="1">
        <v>45404</v>
      </c>
      <c r="B486" t="s">
        <v>12</v>
      </c>
      <c r="C486" t="s">
        <v>13</v>
      </c>
      <c r="D486" t="s">
        <v>14</v>
      </c>
      <c r="E486" t="s">
        <v>26</v>
      </c>
      <c r="F486" t="s">
        <v>27</v>
      </c>
      <c r="G486" t="s">
        <v>20</v>
      </c>
      <c r="H486">
        <v>666</v>
      </c>
      <c r="I486">
        <v>573</v>
      </c>
      <c r="J486">
        <v>30</v>
      </c>
      <c r="K486">
        <v>4.5</v>
      </c>
      <c r="L486">
        <v>1768.13</v>
      </c>
    </row>
    <row r="487" spans="1:12" x14ac:dyDescent="0.35">
      <c r="A487" s="1">
        <v>45404</v>
      </c>
      <c r="B487" t="s">
        <v>12</v>
      </c>
      <c r="C487" t="s">
        <v>13</v>
      </c>
      <c r="D487" t="s">
        <v>14</v>
      </c>
      <c r="E487" t="s">
        <v>28</v>
      </c>
      <c r="F487" t="s">
        <v>29</v>
      </c>
      <c r="G487" t="s">
        <v>23</v>
      </c>
      <c r="H487">
        <v>663</v>
      </c>
      <c r="I487">
        <v>488</v>
      </c>
      <c r="J487">
        <v>49</v>
      </c>
      <c r="K487">
        <v>7.4</v>
      </c>
      <c r="L487">
        <v>1556.97</v>
      </c>
    </row>
    <row r="488" spans="1:12" x14ac:dyDescent="0.35">
      <c r="A488" s="1">
        <v>45404</v>
      </c>
      <c r="B488" t="s">
        <v>30</v>
      </c>
      <c r="C488" t="s">
        <v>31</v>
      </c>
      <c r="D488" t="s">
        <v>32</v>
      </c>
      <c r="E488" t="s">
        <v>15</v>
      </c>
      <c r="F488" t="s">
        <v>16</v>
      </c>
      <c r="G488" t="s">
        <v>17</v>
      </c>
      <c r="H488">
        <v>551</v>
      </c>
      <c r="I488">
        <v>454</v>
      </c>
      <c r="J488">
        <v>25</v>
      </c>
      <c r="K488">
        <v>4.5</v>
      </c>
      <c r="L488">
        <v>3815.14</v>
      </c>
    </row>
    <row r="489" spans="1:12" x14ac:dyDescent="0.35">
      <c r="A489" s="1">
        <v>45404</v>
      </c>
      <c r="B489" t="s">
        <v>30</v>
      </c>
      <c r="C489" t="s">
        <v>31</v>
      </c>
      <c r="D489" t="s">
        <v>32</v>
      </c>
      <c r="E489" t="s">
        <v>18</v>
      </c>
      <c r="F489" t="s">
        <v>19</v>
      </c>
      <c r="G489" t="s">
        <v>20</v>
      </c>
      <c r="H489">
        <v>449</v>
      </c>
      <c r="I489">
        <v>354</v>
      </c>
      <c r="J489">
        <v>25</v>
      </c>
      <c r="K489">
        <v>5.6</v>
      </c>
      <c r="L489">
        <v>1790.61</v>
      </c>
    </row>
    <row r="490" spans="1:12" x14ac:dyDescent="0.35">
      <c r="A490" s="1">
        <v>45404</v>
      </c>
      <c r="B490" t="s">
        <v>30</v>
      </c>
      <c r="C490" t="s">
        <v>31</v>
      </c>
      <c r="D490" t="s">
        <v>32</v>
      </c>
      <c r="E490" t="s">
        <v>21</v>
      </c>
      <c r="F490" t="s">
        <v>22</v>
      </c>
      <c r="G490" t="s">
        <v>23</v>
      </c>
      <c r="H490">
        <v>673</v>
      </c>
      <c r="I490">
        <v>479</v>
      </c>
      <c r="J490">
        <v>34</v>
      </c>
      <c r="K490">
        <v>5.0999999999999996</v>
      </c>
      <c r="L490">
        <v>3038.24</v>
      </c>
    </row>
    <row r="491" spans="1:12" x14ac:dyDescent="0.35">
      <c r="A491" s="1">
        <v>45404</v>
      </c>
      <c r="B491" t="s">
        <v>30</v>
      </c>
      <c r="C491" t="s">
        <v>31</v>
      </c>
      <c r="D491" t="s">
        <v>32</v>
      </c>
      <c r="E491" t="s">
        <v>24</v>
      </c>
      <c r="F491" t="s">
        <v>25</v>
      </c>
      <c r="G491" t="s">
        <v>17</v>
      </c>
      <c r="H491">
        <v>642</v>
      </c>
      <c r="I491">
        <v>485</v>
      </c>
      <c r="J491">
        <v>61</v>
      </c>
      <c r="K491">
        <v>9.5</v>
      </c>
      <c r="L491">
        <v>2520.7600000000002</v>
      </c>
    </row>
    <row r="492" spans="1:12" x14ac:dyDescent="0.35">
      <c r="A492" s="1">
        <v>45404</v>
      </c>
      <c r="B492" t="s">
        <v>30</v>
      </c>
      <c r="C492" t="s">
        <v>31</v>
      </c>
      <c r="D492" t="s">
        <v>32</v>
      </c>
      <c r="E492" t="s">
        <v>26</v>
      </c>
      <c r="F492" t="s">
        <v>27</v>
      </c>
      <c r="G492" t="s">
        <v>20</v>
      </c>
      <c r="H492">
        <v>639</v>
      </c>
      <c r="I492">
        <v>482</v>
      </c>
      <c r="J492">
        <v>39</v>
      </c>
      <c r="K492">
        <v>6.1</v>
      </c>
      <c r="L492">
        <v>3380.73</v>
      </c>
    </row>
    <row r="493" spans="1:12" x14ac:dyDescent="0.35">
      <c r="A493" s="1">
        <v>45404</v>
      </c>
      <c r="B493" t="s">
        <v>30</v>
      </c>
      <c r="C493" t="s">
        <v>31</v>
      </c>
      <c r="D493" t="s">
        <v>32</v>
      </c>
      <c r="E493" t="s">
        <v>28</v>
      </c>
      <c r="F493" t="s">
        <v>29</v>
      </c>
      <c r="G493" t="s">
        <v>23</v>
      </c>
      <c r="H493">
        <v>264</v>
      </c>
      <c r="I493">
        <v>212</v>
      </c>
      <c r="J493">
        <v>19</v>
      </c>
      <c r="K493">
        <v>7.2</v>
      </c>
      <c r="L493">
        <v>995.29</v>
      </c>
    </row>
    <row r="494" spans="1:12" x14ac:dyDescent="0.35">
      <c r="A494" s="1">
        <v>45404</v>
      </c>
      <c r="B494" t="s">
        <v>33</v>
      </c>
      <c r="C494" t="s">
        <v>34</v>
      </c>
      <c r="D494" t="s">
        <v>35</v>
      </c>
      <c r="E494" t="s">
        <v>15</v>
      </c>
      <c r="F494" t="s">
        <v>16</v>
      </c>
      <c r="G494" t="s">
        <v>17</v>
      </c>
      <c r="H494">
        <v>401</v>
      </c>
      <c r="I494">
        <v>310</v>
      </c>
      <c r="J494">
        <v>29</v>
      </c>
      <c r="K494">
        <v>7.2</v>
      </c>
      <c r="L494">
        <v>1756.55</v>
      </c>
    </row>
    <row r="495" spans="1:12" x14ac:dyDescent="0.35">
      <c r="A495" s="1">
        <v>45404</v>
      </c>
      <c r="B495" t="s">
        <v>33</v>
      </c>
      <c r="C495" t="s">
        <v>34</v>
      </c>
      <c r="D495" t="s">
        <v>35</v>
      </c>
      <c r="E495" t="s">
        <v>18</v>
      </c>
      <c r="F495" t="s">
        <v>19</v>
      </c>
      <c r="G495" t="s">
        <v>20</v>
      </c>
      <c r="H495">
        <v>520</v>
      </c>
      <c r="I495">
        <v>421</v>
      </c>
      <c r="J495">
        <v>35</v>
      </c>
      <c r="K495">
        <v>6.7</v>
      </c>
      <c r="L495">
        <v>1931.36</v>
      </c>
    </row>
    <row r="496" spans="1:12" x14ac:dyDescent="0.35">
      <c r="A496" s="1">
        <v>45404</v>
      </c>
      <c r="B496" t="s">
        <v>33</v>
      </c>
      <c r="C496" t="s">
        <v>34</v>
      </c>
      <c r="D496" t="s">
        <v>35</v>
      </c>
      <c r="E496" t="s">
        <v>21</v>
      </c>
      <c r="F496" t="s">
        <v>22</v>
      </c>
      <c r="G496" t="s">
        <v>23</v>
      </c>
      <c r="H496">
        <v>668</v>
      </c>
      <c r="I496">
        <v>545</v>
      </c>
      <c r="J496">
        <v>53</v>
      </c>
      <c r="K496">
        <v>7.9</v>
      </c>
      <c r="L496">
        <v>2335.14</v>
      </c>
    </row>
    <row r="497" spans="1:12" x14ac:dyDescent="0.35">
      <c r="A497" s="1">
        <v>45404</v>
      </c>
      <c r="B497" t="s">
        <v>33</v>
      </c>
      <c r="C497" t="s">
        <v>34</v>
      </c>
      <c r="D497" t="s">
        <v>35</v>
      </c>
      <c r="E497" t="s">
        <v>24</v>
      </c>
      <c r="F497" t="s">
        <v>25</v>
      </c>
      <c r="G497" t="s">
        <v>17</v>
      </c>
      <c r="H497">
        <v>286</v>
      </c>
      <c r="I497">
        <v>237</v>
      </c>
      <c r="J497">
        <v>10</v>
      </c>
      <c r="K497">
        <v>3.5</v>
      </c>
      <c r="L497">
        <v>758.8</v>
      </c>
    </row>
    <row r="498" spans="1:12" x14ac:dyDescent="0.35">
      <c r="A498" s="1">
        <v>45404</v>
      </c>
      <c r="B498" t="s">
        <v>33</v>
      </c>
      <c r="C498" t="s">
        <v>34</v>
      </c>
      <c r="D498" t="s">
        <v>35</v>
      </c>
      <c r="E498" t="s">
        <v>26</v>
      </c>
      <c r="F498" t="s">
        <v>27</v>
      </c>
      <c r="G498" t="s">
        <v>20</v>
      </c>
      <c r="H498">
        <v>582</v>
      </c>
      <c r="I498">
        <v>487</v>
      </c>
      <c r="J498">
        <v>30</v>
      </c>
      <c r="K498">
        <v>5.2</v>
      </c>
      <c r="L498">
        <v>1620.35</v>
      </c>
    </row>
    <row r="499" spans="1:12" x14ac:dyDescent="0.35">
      <c r="A499" s="1">
        <v>45404</v>
      </c>
      <c r="B499" t="s">
        <v>33</v>
      </c>
      <c r="C499" t="s">
        <v>34</v>
      </c>
      <c r="D499" t="s">
        <v>35</v>
      </c>
      <c r="E499" t="s">
        <v>28</v>
      </c>
      <c r="F499" t="s">
        <v>29</v>
      </c>
      <c r="G499" t="s">
        <v>23</v>
      </c>
      <c r="H499">
        <v>592</v>
      </c>
      <c r="I499">
        <v>452</v>
      </c>
      <c r="J499">
        <v>39</v>
      </c>
      <c r="K499">
        <v>6.6</v>
      </c>
      <c r="L499">
        <v>3622.76</v>
      </c>
    </row>
    <row r="500" spans="1:12" x14ac:dyDescent="0.35">
      <c r="A500" s="1">
        <v>45404</v>
      </c>
      <c r="B500" t="s">
        <v>36</v>
      </c>
      <c r="C500" t="s">
        <v>37</v>
      </c>
      <c r="D500" t="s">
        <v>38</v>
      </c>
      <c r="E500" t="s">
        <v>15</v>
      </c>
      <c r="F500" t="s">
        <v>16</v>
      </c>
      <c r="G500" t="s">
        <v>17</v>
      </c>
      <c r="H500">
        <v>377</v>
      </c>
      <c r="I500">
        <v>301</v>
      </c>
      <c r="J500">
        <v>16</v>
      </c>
      <c r="K500">
        <v>4.2</v>
      </c>
      <c r="L500">
        <v>1320.63</v>
      </c>
    </row>
    <row r="501" spans="1:12" x14ac:dyDescent="0.35">
      <c r="A501" s="1">
        <v>45404</v>
      </c>
      <c r="B501" t="s">
        <v>36</v>
      </c>
      <c r="C501" t="s">
        <v>37</v>
      </c>
      <c r="D501" t="s">
        <v>38</v>
      </c>
      <c r="E501" t="s">
        <v>18</v>
      </c>
      <c r="F501" t="s">
        <v>19</v>
      </c>
      <c r="G501" t="s">
        <v>20</v>
      </c>
      <c r="H501">
        <v>661</v>
      </c>
      <c r="I501">
        <v>540</v>
      </c>
      <c r="J501">
        <v>61</v>
      </c>
      <c r="K501">
        <v>9.1999999999999993</v>
      </c>
      <c r="L501">
        <v>2920.13</v>
      </c>
    </row>
    <row r="502" spans="1:12" x14ac:dyDescent="0.35">
      <c r="A502" s="1">
        <v>45404</v>
      </c>
      <c r="B502" t="s">
        <v>36</v>
      </c>
      <c r="C502" t="s">
        <v>37</v>
      </c>
      <c r="D502" t="s">
        <v>38</v>
      </c>
      <c r="E502" t="s">
        <v>21</v>
      </c>
      <c r="F502" t="s">
        <v>22</v>
      </c>
      <c r="G502" t="s">
        <v>23</v>
      </c>
      <c r="H502">
        <v>399</v>
      </c>
      <c r="I502">
        <v>347</v>
      </c>
      <c r="J502">
        <v>25</v>
      </c>
      <c r="K502">
        <v>6.3</v>
      </c>
      <c r="L502">
        <v>1898.03</v>
      </c>
    </row>
    <row r="503" spans="1:12" x14ac:dyDescent="0.35">
      <c r="A503" s="1">
        <v>45404</v>
      </c>
      <c r="B503" t="s">
        <v>36</v>
      </c>
      <c r="C503" t="s">
        <v>37</v>
      </c>
      <c r="D503" t="s">
        <v>38</v>
      </c>
      <c r="E503" t="s">
        <v>24</v>
      </c>
      <c r="F503" t="s">
        <v>25</v>
      </c>
      <c r="G503" t="s">
        <v>17</v>
      </c>
      <c r="H503">
        <v>703</v>
      </c>
      <c r="I503">
        <v>535</v>
      </c>
      <c r="J503">
        <v>56</v>
      </c>
      <c r="K503">
        <v>8</v>
      </c>
      <c r="L503">
        <v>1602.87</v>
      </c>
    </row>
    <row r="504" spans="1:12" x14ac:dyDescent="0.35">
      <c r="A504" s="1">
        <v>45404</v>
      </c>
      <c r="B504" t="s">
        <v>36</v>
      </c>
      <c r="C504" t="s">
        <v>37</v>
      </c>
      <c r="D504" t="s">
        <v>38</v>
      </c>
      <c r="E504" t="s">
        <v>26</v>
      </c>
      <c r="F504" t="s">
        <v>27</v>
      </c>
      <c r="G504" t="s">
        <v>20</v>
      </c>
      <c r="H504">
        <v>231</v>
      </c>
      <c r="I504">
        <v>199</v>
      </c>
      <c r="J504">
        <v>5</v>
      </c>
      <c r="K504">
        <v>2.2000000000000002</v>
      </c>
      <c r="L504">
        <v>765.96</v>
      </c>
    </row>
    <row r="505" spans="1:12" x14ac:dyDescent="0.35">
      <c r="A505" s="1">
        <v>45404</v>
      </c>
      <c r="B505" t="s">
        <v>36</v>
      </c>
      <c r="C505" t="s">
        <v>37</v>
      </c>
      <c r="D505" t="s">
        <v>38</v>
      </c>
      <c r="E505" t="s">
        <v>28</v>
      </c>
      <c r="F505" t="s">
        <v>29</v>
      </c>
      <c r="G505" t="s">
        <v>23</v>
      </c>
      <c r="H505">
        <v>495</v>
      </c>
      <c r="I505">
        <v>344</v>
      </c>
      <c r="J505">
        <v>41</v>
      </c>
      <c r="K505">
        <v>8.3000000000000007</v>
      </c>
      <c r="L505">
        <v>2440.86</v>
      </c>
    </row>
    <row r="506" spans="1:12" x14ac:dyDescent="0.35">
      <c r="A506" s="1">
        <v>45404</v>
      </c>
      <c r="B506" t="s">
        <v>39</v>
      </c>
      <c r="C506" t="s">
        <v>40</v>
      </c>
      <c r="D506" t="s">
        <v>14</v>
      </c>
      <c r="E506" t="s">
        <v>15</v>
      </c>
      <c r="F506" t="s">
        <v>16</v>
      </c>
      <c r="G506" t="s">
        <v>17</v>
      </c>
      <c r="H506">
        <v>762</v>
      </c>
      <c r="I506">
        <v>600</v>
      </c>
      <c r="J506">
        <v>41</v>
      </c>
      <c r="K506">
        <v>5.4</v>
      </c>
      <c r="L506">
        <v>3455.18</v>
      </c>
    </row>
    <row r="507" spans="1:12" x14ac:dyDescent="0.35">
      <c r="A507" s="1">
        <v>45404</v>
      </c>
      <c r="B507" t="s">
        <v>39</v>
      </c>
      <c r="C507" t="s">
        <v>40</v>
      </c>
      <c r="D507" t="s">
        <v>14</v>
      </c>
      <c r="E507" t="s">
        <v>18</v>
      </c>
      <c r="F507" t="s">
        <v>19</v>
      </c>
      <c r="G507" t="s">
        <v>20</v>
      </c>
      <c r="H507">
        <v>575</v>
      </c>
      <c r="I507">
        <v>457</v>
      </c>
      <c r="J507">
        <v>48</v>
      </c>
      <c r="K507">
        <v>8.3000000000000007</v>
      </c>
      <c r="L507">
        <v>2352.73</v>
      </c>
    </row>
    <row r="508" spans="1:12" x14ac:dyDescent="0.35">
      <c r="A508" s="1">
        <v>45404</v>
      </c>
      <c r="B508" t="s">
        <v>39</v>
      </c>
      <c r="C508" t="s">
        <v>40</v>
      </c>
      <c r="D508" t="s">
        <v>14</v>
      </c>
      <c r="E508" t="s">
        <v>21</v>
      </c>
      <c r="F508" t="s">
        <v>22</v>
      </c>
      <c r="G508" t="s">
        <v>23</v>
      </c>
      <c r="H508">
        <v>423</v>
      </c>
      <c r="I508">
        <v>387</v>
      </c>
      <c r="J508">
        <v>23</v>
      </c>
      <c r="K508">
        <v>5.4</v>
      </c>
      <c r="L508">
        <v>2712.12</v>
      </c>
    </row>
    <row r="509" spans="1:12" x14ac:dyDescent="0.35">
      <c r="A509" s="1">
        <v>45404</v>
      </c>
      <c r="B509" t="s">
        <v>39</v>
      </c>
      <c r="C509" t="s">
        <v>40</v>
      </c>
      <c r="D509" t="s">
        <v>14</v>
      </c>
      <c r="E509" t="s">
        <v>24</v>
      </c>
      <c r="F509" t="s">
        <v>25</v>
      </c>
      <c r="G509" t="s">
        <v>17</v>
      </c>
      <c r="H509">
        <v>504</v>
      </c>
      <c r="I509">
        <v>446</v>
      </c>
      <c r="J509">
        <v>14</v>
      </c>
      <c r="K509">
        <v>2.8</v>
      </c>
      <c r="L509">
        <v>3422.25</v>
      </c>
    </row>
    <row r="510" spans="1:12" x14ac:dyDescent="0.35">
      <c r="A510" s="1">
        <v>45404</v>
      </c>
      <c r="B510" t="s">
        <v>39</v>
      </c>
      <c r="C510" t="s">
        <v>40</v>
      </c>
      <c r="D510" t="s">
        <v>14</v>
      </c>
      <c r="E510" t="s">
        <v>26</v>
      </c>
      <c r="F510" t="s">
        <v>27</v>
      </c>
      <c r="G510" t="s">
        <v>20</v>
      </c>
      <c r="H510">
        <v>289</v>
      </c>
      <c r="I510">
        <v>222</v>
      </c>
      <c r="J510">
        <v>28</v>
      </c>
      <c r="K510">
        <v>9.6999999999999993</v>
      </c>
      <c r="L510">
        <v>870.61</v>
      </c>
    </row>
    <row r="511" spans="1:12" x14ac:dyDescent="0.35">
      <c r="A511" s="1">
        <v>45404</v>
      </c>
      <c r="B511" t="s">
        <v>39</v>
      </c>
      <c r="C511" t="s">
        <v>40</v>
      </c>
      <c r="D511" t="s">
        <v>14</v>
      </c>
      <c r="E511" t="s">
        <v>28</v>
      </c>
      <c r="F511" t="s">
        <v>29</v>
      </c>
      <c r="G511" t="s">
        <v>23</v>
      </c>
      <c r="H511">
        <v>559</v>
      </c>
      <c r="I511">
        <v>493</v>
      </c>
      <c r="J511">
        <v>27</v>
      </c>
      <c r="K511">
        <v>4.8</v>
      </c>
      <c r="L511">
        <v>3055.08</v>
      </c>
    </row>
    <row r="512" spans="1:12" x14ac:dyDescent="0.35">
      <c r="A512" s="1">
        <v>45411</v>
      </c>
      <c r="B512" t="s">
        <v>12</v>
      </c>
      <c r="C512" t="s">
        <v>13</v>
      </c>
      <c r="D512" t="s">
        <v>14</v>
      </c>
      <c r="E512" t="s">
        <v>15</v>
      </c>
      <c r="F512" t="s">
        <v>16</v>
      </c>
      <c r="G512" t="s">
        <v>17</v>
      </c>
      <c r="H512">
        <v>411</v>
      </c>
      <c r="I512">
        <v>357</v>
      </c>
      <c r="J512">
        <v>25</v>
      </c>
      <c r="K512">
        <v>6.1</v>
      </c>
      <c r="L512">
        <v>2032.65</v>
      </c>
    </row>
    <row r="513" spans="1:12" x14ac:dyDescent="0.35">
      <c r="A513" s="1">
        <v>45411</v>
      </c>
      <c r="B513" t="s">
        <v>12</v>
      </c>
      <c r="C513" t="s">
        <v>13</v>
      </c>
      <c r="D513" t="s">
        <v>14</v>
      </c>
      <c r="E513" t="s">
        <v>18</v>
      </c>
      <c r="F513" t="s">
        <v>19</v>
      </c>
      <c r="G513" t="s">
        <v>20</v>
      </c>
      <c r="H513">
        <v>751</v>
      </c>
      <c r="I513">
        <v>522</v>
      </c>
      <c r="J513">
        <v>68</v>
      </c>
      <c r="K513">
        <v>9.1</v>
      </c>
      <c r="L513">
        <v>3098.81</v>
      </c>
    </row>
    <row r="514" spans="1:12" x14ac:dyDescent="0.35">
      <c r="A514" s="1">
        <v>45411</v>
      </c>
      <c r="B514" t="s">
        <v>12</v>
      </c>
      <c r="C514" t="s">
        <v>13</v>
      </c>
      <c r="D514" t="s">
        <v>14</v>
      </c>
      <c r="E514" t="s">
        <v>21</v>
      </c>
      <c r="F514" t="s">
        <v>22</v>
      </c>
      <c r="G514" t="s">
        <v>23</v>
      </c>
      <c r="H514">
        <v>726</v>
      </c>
      <c r="I514">
        <v>665</v>
      </c>
      <c r="J514">
        <v>20</v>
      </c>
      <c r="K514">
        <v>2.8</v>
      </c>
      <c r="L514">
        <v>5503.96</v>
      </c>
    </row>
    <row r="515" spans="1:12" x14ac:dyDescent="0.35">
      <c r="A515" s="1">
        <v>45411</v>
      </c>
      <c r="B515" t="s">
        <v>12</v>
      </c>
      <c r="C515" t="s">
        <v>13</v>
      </c>
      <c r="D515" t="s">
        <v>14</v>
      </c>
      <c r="E515" t="s">
        <v>24</v>
      </c>
      <c r="F515" t="s">
        <v>25</v>
      </c>
      <c r="G515" t="s">
        <v>17</v>
      </c>
      <c r="H515">
        <v>621</v>
      </c>
      <c r="I515">
        <v>557</v>
      </c>
      <c r="J515">
        <v>47</v>
      </c>
      <c r="K515">
        <v>7.6</v>
      </c>
      <c r="L515">
        <v>1816.56</v>
      </c>
    </row>
    <row r="516" spans="1:12" x14ac:dyDescent="0.35">
      <c r="A516" s="1">
        <v>45411</v>
      </c>
      <c r="B516" t="s">
        <v>12</v>
      </c>
      <c r="C516" t="s">
        <v>13</v>
      </c>
      <c r="D516" t="s">
        <v>14</v>
      </c>
      <c r="E516" t="s">
        <v>26</v>
      </c>
      <c r="F516" t="s">
        <v>27</v>
      </c>
      <c r="G516" t="s">
        <v>20</v>
      </c>
      <c r="H516">
        <v>335</v>
      </c>
      <c r="I516">
        <v>240</v>
      </c>
      <c r="J516">
        <v>33</v>
      </c>
      <c r="K516">
        <v>9.9</v>
      </c>
      <c r="L516">
        <v>1696.52</v>
      </c>
    </row>
    <row r="517" spans="1:12" x14ac:dyDescent="0.35">
      <c r="A517" s="1">
        <v>45411</v>
      </c>
      <c r="B517" t="s">
        <v>12</v>
      </c>
      <c r="C517" t="s">
        <v>13</v>
      </c>
      <c r="D517" t="s">
        <v>14</v>
      </c>
      <c r="E517" t="s">
        <v>28</v>
      </c>
      <c r="F517" t="s">
        <v>29</v>
      </c>
      <c r="G517" t="s">
        <v>23</v>
      </c>
      <c r="H517">
        <v>602</v>
      </c>
      <c r="I517">
        <v>470</v>
      </c>
      <c r="J517">
        <v>33</v>
      </c>
      <c r="K517">
        <v>5.5</v>
      </c>
      <c r="L517">
        <v>2343.11</v>
      </c>
    </row>
    <row r="518" spans="1:12" x14ac:dyDescent="0.35">
      <c r="A518" s="1">
        <v>45411</v>
      </c>
      <c r="B518" t="s">
        <v>30</v>
      </c>
      <c r="C518" t="s">
        <v>31</v>
      </c>
      <c r="D518" t="s">
        <v>32</v>
      </c>
      <c r="E518" t="s">
        <v>15</v>
      </c>
      <c r="F518" t="s">
        <v>16</v>
      </c>
      <c r="G518" t="s">
        <v>17</v>
      </c>
      <c r="H518">
        <v>662</v>
      </c>
      <c r="I518">
        <v>443</v>
      </c>
      <c r="J518">
        <v>72</v>
      </c>
      <c r="K518">
        <v>10.9</v>
      </c>
      <c r="L518">
        <v>2178.2800000000002</v>
      </c>
    </row>
    <row r="519" spans="1:12" x14ac:dyDescent="0.35">
      <c r="A519" s="1">
        <v>45411</v>
      </c>
      <c r="B519" t="s">
        <v>30</v>
      </c>
      <c r="C519" t="s">
        <v>31</v>
      </c>
      <c r="D519" t="s">
        <v>32</v>
      </c>
      <c r="E519" t="s">
        <v>18</v>
      </c>
      <c r="F519" t="s">
        <v>19</v>
      </c>
      <c r="G519" t="s">
        <v>20</v>
      </c>
      <c r="H519">
        <v>484</v>
      </c>
      <c r="I519">
        <v>405</v>
      </c>
      <c r="J519">
        <v>31</v>
      </c>
      <c r="K519">
        <v>6.4</v>
      </c>
      <c r="L519">
        <v>2198.4499999999998</v>
      </c>
    </row>
    <row r="520" spans="1:12" x14ac:dyDescent="0.35">
      <c r="A520" s="1">
        <v>45411</v>
      </c>
      <c r="B520" t="s">
        <v>30</v>
      </c>
      <c r="C520" t="s">
        <v>31</v>
      </c>
      <c r="D520" t="s">
        <v>32</v>
      </c>
      <c r="E520" t="s">
        <v>21</v>
      </c>
      <c r="F520" t="s">
        <v>22</v>
      </c>
      <c r="G520" t="s">
        <v>23</v>
      </c>
      <c r="H520">
        <v>795</v>
      </c>
      <c r="I520">
        <v>517</v>
      </c>
      <c r="J520">
        <v>86</v>
      </c>
      <c r="K520">
        <v>10.8</v>
      </c>
      <c r="L520">
        <v>3559.85</v>
      </c>
    </row>
    <row r="521" spans="1:12" x14ac:dyDescent="0.35">
      <c r="A521" s="1">
        <v>45411</v>
      </c>
      <c r="B521" t="s">
        <v>30</v>
      </c>
      <c r="C521" t="s">
        <v>31</v>
      </c>
      <c r="D521" t="s">
        <v>32</v>
      </c>
      <c r="E521" t="s">
        <v>24</v>
      </c>
      <c r="F521" t="s">
        <v>25</v>
      </c>
      <c r="G521" t="s">
        <v>17</v>
      </c>
      <c r="H521">
        <v>669</v>
      </c>
      <c r="I521">
        <v>549</v>
      </c>
      <c r="J521">
        <v>54</v>
      </c>
      <c r="K521">
        <v>8.1</v>
      </c>
      <c r="L521">
        <v>3993.46</v>
      </c>
    </row>
    <row r="522" spans="1:12" x14ac:dyDescent="0.35">
      <c r="A522" s="1">
        <v>45411</v>
      </c>
      <c r="B522" t="s">
        <v>30</v>
      </c>
      <c r="C522" t="s">
        <v>31</v>
      </c>
      <c r="D522" t="s">
        <v>32</v>
      </c>
      <c r="E522" t="s">
        <v>26</v>
      </c>
      <c r="F522" t="s">
        <v>27</v>
      </c>
      <c r="G522" t="s">
        <v>20</v>
      </c>
      <c r="H522">
        <v>607</v>
      </c>
      <c r="I522">
        <v>430</v>
      </c>
      <c r="J522">
        <v>33</v>
      </c>
      <c r="K522">
        <v>5.4</v>
      </c>
      <c r="L522">
        <v>1767.83</v>
      </c>
    </row>
    <row r="523" spans="1:12" x14ac:dyDescent="0.35">
      <c r="A523" s="1">
        <v>45411</v>
      </c>
      <c r="B523" t="s">
        <v>30</v>
      </c>
      <c r="C523" t="s">
        <v>31</v>
      </c>
      <c r="D523" t="s">
        <v>32</v>
      </c>
      <c r="E523" t="s">
        <v>28</v>
      </c>
      <c r="F523" t="s">
        <v>29</v>
      </c>
      <c r="G523" t="s">
        <v>23</v>
      </c>
      <c r="H523">
        <v>490</v>
      </c>
      <c r="I523">
        <v>363</v>
      </c>
      <c r="J523">
        <v>37</v>
      </c>
      <c r="K523">
        <v>7.6</v>
      </c>
      <c r="L523">
        <v>1964.57</v>
      </c>
    </row>
    <row r="524" spans="1:12" x14ac:dyDescent="0.35">
      <c r="A524" s="1">
        <v>45411</v>
      </c>
      <c r="B524" t="s">
        <v>33</v>
      </c>
      <c r="C524" t="s">
        <v>34</v>
      </c>
      <c r="D524" t="s">
        <v>35</v>
      </c>
      <c r="E524" t="s">
        <v>15</v>
      </c>
      <c r="F524" t="s">
        <v>16</v>
      </c>
      <c r="G524" t="s">
        <v>17</v>
      </c>
      <c r="H524">
        <v>551</v>
      </c>
      <c r="I524">
        <v>491</v>
      </c>
      <c r="J524">
        <v>17</v>
      </c>
      <c r="K524">
        <v>3.1</v>
      </c>
      <c r="L524">
        <v>3072.22</v>
      </c>
    </row>
    <row r="525" spans="1:12" x14ac:dyDescent="0.35">
      <c r="A525" s="1">
        <v>45411</v>
      </c>
      <c r="B525" t="s">
        <v>33</v>
      </c>
      <c r="C525" t="s">
        <v>34</v>
      </c>
      <c r="D525" t="s">
        <v>35</v>
      </c>
      <c r="E525" t="s">
        <v>18</v>
      </c>
      <c r="F525" t="s">
        <v>19</v>
      </c>
      <c r="G525" t="s">
        <v>20</v>
      </c>
      <c r="H525">
        <v>670</v>
      </c>
      <c r="I525">
        <v>438</v>
      </c>
      <c r="J525">
        <v>60</v>
      </c>
      <c r="K525">
        <v>9</v>
      </c>
      <c r="L525">
        <v>2294.73</v>
      </c>
    </row>
    <row r="526" spans="1:12" x14ac:dyDescent="0.35">
      <c r="A526" s="1">
        <v>45411</v>
      </c>
      <c r="B526" t="s">
        <v>33</v>
      </c>
      <c r="C526" t="s">
        <v>34</v>
      </c>
      <c r="D526" t="s">
        <v>35</v>
      </c>
      <c r="E526" t="s">
        <v>21</v>
      </c>
      <c r="F526" t="s">
        <v>22</v>
      </c>
      <c r="G526" t="s">
        <v>23</v>
      </c>
      <c r="H526">
        <v>638</v>
      </c>
      <c r="I526">
        <v>449</v>
      </c>
      <c r="J526">
        <v>41</v>
      </c>
      <c r="K526">
        <v>6.4</v>
      </c>
      <c r="L526">
        <v>2873.59</v>
      </c>
    </row>
    <row r="527" spans="1:12" x14ac:dyDescent="0.35">
      <c r="A527" s="1">
        <v>45411</v>
      </c>
      <c r="B527" t="s">
        <v>33</v>
      </c>
      <c r="C527" t="s">
        <v>34</v>
      </c>
      <c r="D527" t="s">
        <v>35</v>
      </c>
      <c r="E527" t="s">
        <v>24</v>
      </c>
      <c r="F527" t="s">
        <v>25</v>
      </c>
      <c r="G527" t="s">
        <v>17</v>
      </c>
      <c r="H527">
        <v>362</v>
      </c>
      <c r="I527">
        <v>320</v>
      </c>
      <c r="J527">
        <v>13</v>
      </c>
      <c r="K527">
        <v>3.6</v>
      </c>
      <c r="L527">
        <v>1492.04</v>
      </c>
    </row>
    <row r="528" spans="1:12" x14ac:dyDescent="0.35">
      <c r="A528" s="1">
        <v>45411</v>
      </c>
      <c r="B528" t="s">
        <v>33</v>
      </c>
      <c r="C528" t="s">
        <v>34</v>
      </c>
      <c r="D528" t="s">
        <v>35</v>
      </c>
      <c r="E528" t="s">
        <v>26</v>
      </c>
      <c r="F528" t="s">
        <v>27</v>
      </c>
      <c r="G528" t="s">
        <v>20</v>
      </c>
      <c r="H528">
        <v>284</v>
      </c>
      <c r="I528">
        <v>213</v>
      </c>
      <c r="J528">
        <v>19</v>
      </c>
      <c r="K528">
        <v>6.7</v>
      </c>
      <c r="L528">
        <v>1039.02</v>
      </c>
    </row>
    <row r="529" spans="1:12" x14ac:dyDescent="0.35">
      <c r="A529" s="1">
        <v>45411</v>
      </c>
      <c r="B529" t="s">
        <v>33</v>
      </c>
      <c r="C529" t="s">
        <v>34</v>
      </c>
      <c r="D529" t="s">
        <v>35</v>
      </c>
      <c r="E529" t="s">
        <v>28</v>
      </c>
      <c r="F529" t="s">
        <v>29</v>
      </c>
      <c r="G529" t="s">
        <v>23</v>
      </c>
      <c r="H529">
        <v>512</v>
      </c>
      <c r="I529">
        <v>433</v>
      </c>
      <c r="J529">
        <v>30</v>
      </c>
      <c r="K529">
        <v>5.9</v>
      </c>
      <c r="L529">
        <v>1319.44</v>
      </c>
    </row>
    <row r="530" spans="1:12" x14ac:dyDescent="0.35">
      <c r="A530" s="1">
        <v>45411</v>
      </c>
      <c r="B530" t="s">
        <v>36</v>
      </c>
      <c r="C530" t="s">
        <v>37</v>
      </c>
      <c r="D530" t="s">
        <v>38</v>
      </c>
      <c r="E530" t="s">
        <v>15</v>
      </c>
      <c r="F530" t="s">
        <v>16</v>
      </c>
      <c r="G530" t="s">
        <v>17</v>
      </c>
      <c r="H530">
        <v>297</v>
      </c>
      <c r="I530">
        <v>193</v>
      </c>
      <c r="J530">
        <v>18</v>
      </c>
      <c r="K530">
        <v>6.1</v>
      </c>
      <c r="L530">
        <v>744.43</v>
      </c>
    </row>
    <row r="531" spans="1:12" x14ac:dyDescent="0.35">
      <c r="A531" s="1">
        <v>45411</v>
      </c>
      <c r="B531" t="s">
        <v>36</v>
      </c>
      <c r="C531" t="s">
        <v>37</v>
      </c>
      <c r="D531" t="s">
        <v>38</v>
      </c>
      <c r="E531" t="s">
        <v>18</v>
      </c>
      <c r="F531" t="s">
        <v>19</v>
      </c>
      <c r="G531" t="s">
        <v>20</v>
      </c>
      <c r="H531">
        <v>655</v>
      </c>
      <c r="I531">
        <v>427</v>
      </c>
      <c r="J531">
        <v>70</v>
      </c>
      <c r="K531">
        <v>10.7</v>
      </c>
      <c r="L531">
        <v>3599.15</v>
      </c>
    </row>
    <row r="532" spans="1:12" x14ac:dyDescent="0.35">
      <c r="A532" s="1">
        <v>45411</v>
      </c>
      <c r="B532" t="s">
        <v>36</v>
      </c>
      <c r="C532" t="s">
        <v>37</v>
      </c>
      <c r="D532" t="s">
        <v>38</v>
      </c>
      <c r="E532" t="s">
        <v>21</v>
      </c>
      <c r="F532" t="s">
        <v>22</v>
      </c>
      <c r="G532" t="s">
        <v>23</v>
      </c>
      <c r="H532">
        <v>632</v>
      </c>
      <c r="I532">
        <v>529</v>
      </c>
      <c r="J532">
        <v>26</v>
      </c>
      <c r="K532">
        <v>4.0999999999999996</v>
      </c>
      <c r="L532">
        <v>1606.04</v>
      </c>
    </row>
    <row r="533" spans="1:12" x14ac:dyDescent="0.35">
      <c r="A533" s="1">
        <v>45411</v>
      </c>
      <c r="B533" t="s">
        <v>36</v>
      </c>
      <c r="C533" t="s">
        <v>37</v>
      </c>
      <c r="D533" t="s">
        <v>38</v>
      </c>
      <c r="E533" t="s">
        <v>24</v>
      </c>
      <c r="F533" t="s">
        <v>25</v>
      </c>
      <c r="G533" t="s">
        <v>17</v>
      </c>
      <c r="H533">
        <v>304</v>
      </c>
      <c r="I533">
        <v>206</v>
      </c>
      <c r="J533">
        <v>17</v>
      </c>
      <c r="K533">
        <v>5.6</v>
      </c>
      <c r="L533">
        <v>988.04</v>
      </c>
    </row>
    <row r="534" spans="1:12" x14ac:dyDescent="0.35">
      <c r="A534" s="1">
        <v>45411</v>
      </c>
      <c r="B534" t="s">
        <v>36</v>
      </c>
      <c r="C534" t="s">
        <v>37</v>
      </c>
      <c r="D534" t="s">
        <v>38</v>
      </c>
      <c r="E534" t="s">
        <v>26</v>
      </c>
      <c r="F534" t="s">
        <v>27</v>
      </c>
      <c r="G534" t="s">
        <v>20</v>
      </c>
      <c r="H534">
        <v>336</v>
      </c>
      <c r="I534">
        <v>276</v>
      </c>
      <c r="J534">
        <v>14</v>
      </c>
      <c r="K534">
        <v>4.2</v>
      </c>
      <c r="L534">
        <v>1622.81</v>
      </c>
    </row>
    <row r="535" spans="1:12" x14ac:dyDescent="0.35">
      <c r="A535" s="1">
        <v>45411</v>
      </c>
      <c r="B535" t="s">
        <v>36</v>
      </c>
      <c r="C535" t="s">
        <v>37</v>
      </c>
      <c r="D535" t="s">
        <v>38</v>
      </c>
      <c r="E535" t="s">
        <v>28</v>
      </c>
      <c r="F535" t="s">
        <v>29</v>
      </c>
      <c r="G535" t="s">
        <v>23</v>
      </c>
      <c r="H535">
        <v>368</v>
      </c>
      <c r="I535">
        <v>282</v>
      </c>
      <c r="J535">
        <v>29</v>
      </c>
      <c r="K535">
        <v>7.9</v>
      </c>
      <c r="L535">
        <v>961.13</v>
      </c>
    </row>
    <row r="536" spans="1:12" x14ac:dyDescent="0.35">
      <c r="A536" s="1">
        <v>45411</v>
      </c>
      <c r="B536" t="s">
        <v>39</v>
      </c>
      <c r="C536" t="s">
        <v>40</v>
      </c>
      <c r="D536" t="s">
        <v>14</v>
      </c>
      <c r="E536" t="s">
        <v>15</v>
      </c>
      <c r="F536" t="s">
        <v>16</v>
      </c>
      <c r="G536" t="s">
        <v>17</v>
      </c>
      <c r="H536">
        <v>621</v>
      </c>
      <c r="I536">
        <v>506</v>
      </c>
      <c r="J536">
        <v>26</v>
      </c>
      <c r="K536">
        <v>4.2</v>
      </c>
      <c r="L536">
        <v>3987.06</v>
      </c>
    </row>
    <row r="537" spans="1:12" x14ac:dyDescent="0.35">
      <c r="A537" s="1">
        <v>45411</v>
      </c>
      <c r="B537" t="s">
        <v>39</v>
      </c>
      <c r="C537" t="s">
        <v>40</v>
      </c>
      <c r="D537" t="s">
        <v>14</v>
      </c>
      <c r="E537" t="s">
        <v>18</v>
      </c>
      <c r="F537" t="s">
        <v>19</v>
      </c>
      <c r="G537" t="s">
        <v>20</v>
      </c>
      <c r="H537">
        <v>343</v>
      </c>
      <c r="I537">
        <v>292</v>
      </c>
      <c r="J537">
        <v>17</v>
      </c>
      <c r="K537">
        <v>5</v>
      </c>
      <c r="L537">
        <v>2417.61</v>
      </c>
    </row>
    <row r="538" spans="1:12" x14ac:dyDescent="0.35">
      <c r="A538" s="1">
        <v>45411</v>
      </c>
      <c r="B538" t="s">
        <v>39</v>
      </c>
      <c r="C538" t="s">
        <v>40</v>
      </c>
      <c r="D538" t="s">
        <v>14</v>
      </c>
      <c r="E538" t="s">
        <v>21</v>
      </c>
      <c r="F538" t="s">
        <v>22</v>
      </c>
      <c r="G538" t="s">
        <v>23</v>
      </c>
      <c r="H538">
        <v>522</v>
      </c>
      <c r="I538">
        <v>450</v>
      </c>
      <c r="J538">
        <v>28</v>
      </c>
      <c r="K538">
        <v>5.4</v>
      </c>
      <c r="L538">
        <v>1795.05</v>
      </c>
    </row>
    <row r="539" spans="1:12" x14ac:dyDescent="0.35">
      <c r="A539" s="1">
        <v>45411</v>
      </c>
      <c r="B539" t="s">
        <v>39</v>
      </c>
      <c r="C539" t="s">
        <v>40</v>
      </c>
      <c r="D539" t="s">
        <v>14</v>
      </c>
      <c r="E539" t="s">
        <v>24</v>
      </c>
      <c r="F539" t="s">
        <v>25</v>
      </c>
      <c r="G539" t="s">
        <v>17</v>
      </c>
      <c r="H539">
        <v>491</v>
      </c>
      <c r="I539">
        <v>422</v>
      </c>
      <c r="J539">
        <v>37</v>
      </c>
      <c r="K539">
        <v>7.5</v>
      </c>
      <c r="L539">
        <v>2722.08</v>
      </c>
    </row>
    <row r="540" spans="1:12" x14ac:dyDescent="0.35">
      <c r="A540" s="1">
        <v>45411</v>
      </c>
      <c r="B540" t="s">
        <v>39</v>
      </c>
      <c r="C540" t="s">
        <v>40</v>
      </c>
      <c r="D540" t="s">
        <v>14</v>
      </c>
      <c r="E540" t="s">
        <v>26</v>
      </c>
      <c r="F540" t="s">
        <v>27</v>
      </c>
      <c r="G540" t="s">
        <v>20</v>
      </c>
      <c r="H540">
        <v>508</v>
      </c>
      <c r="I540">
        <v>358</v>
      </c>
      <c r="J540">
        <v>32</v>
      </c>
      <c r="K540">
        <v>6.3</v>
      </c>
      <c r="L540">
        <v>1736.48</v>
      </c>
    </row>
    <row r="541" spans="1:12" x14ac:dyDescent="0.35">
      <c r="A541" s="1">
        <v>45411</v>
      </c>
      <c r="B541" t="s">
        <v>39</v>
      </c>
      <c r="C541" t="s">
        <v>40</v>
      </c>
      <c r="D541" t="s">
        <v>14</v>
      </c>
      <c r="E541" t="s">
        <v>28</v>
      </c>
      <c r="F541" t="s">
        <v>29</v>
      </c>
      <c r="G541" t="s">
        <v>23</v>
      </c>
      <c r="H541">
        <v>255</v>
      </c>
      <c r="I541">
        <v>219</v>
      </c>
      <c r="J541">
        <v>12</v>
      </c>
      <c r="K541">
        <v>4.7</v>
      </c>
      <c r="L541">
        <v>1054.55</v>
      </c>
    </row>
    <row r="542" spans="1:12" x14ac:dyDescent="0.35">
      <c r="A542" s="1">
        <v>45418</v>
      </c>
      <c r="B542" t="s">
        <v>12</v>
      </c>
      <c r="C542" t="s">
        <v>13</v>
      </c>
      <c r="D542" t="s">
        <v>14</v>
      </c>
      <c r="E542" t="s">
        <v>15</v>
      </c>
      <c r="F542" t="s">
        <v>16</v>
      </c>
      <c r="G542" t="s">
        <v>17</v>
      </c>
      <c r="H542">
        <v>446</v>
      </c>
      <c r="I542">
        <v>350</v>
      </c>
      <c r="J542">
        <v>30</v>
      </c>
      <c r="K542">
        <v>6.7</v>
      </c>
      <c r="L542">
        <v>2928.16</v>
      </c>
    </row>
    <row r="543" spans="1:12" x14ac:dyDescent="0.35">
      <c r="A543" s="1">
        <v>45418</v>
      </c>
      <c r="B543" t="s">
        <v>12</v>
      </c>
      <c r="C543" t="s">
        <v>13</v>
      </c>
      <c r="D543" t="s">
        <v>14</v>
      </c>
      <c r="E543" t="s">
        <v>18</v>
      </c>
      <c r="F543" t="s">
        <v>19</v>
      </c>
      <c r="G543" t="s">
        <v>20</v>
      </c>
      <c r="H543">
        <v>569</v>
      </c>
      <c r="I543">
        <v>513</v>
      </c>
      <c r="J543">
        <v>33</v>
      </c>
      <c r="K543">
        <v>5.8</v>
      </c>
      <c r="L543">
        <v>3031.97</v>
      </c>
    </row>
    <row r="544" spans="1:12" x14ac:dyDescent="0.35">
      <c r="A544" s="1">
        <v>45418</v>
      </c>
      <c r="B544" t="s">
        <v>12</v>
      </c>
      <c r="C544" t="s">
        <v>13</v>
      </c>
      <c r="D544" t="s">
        <v>14</v>
      </c>
      <c r="E544" t="s">
        <v>21</v>
      </c>
      <c r="F544" t="s">
        <v>22</v>
      </c>
      <c r="G544" t="s">
        <v>23</v>
      </c>
      <c r="H544">
        <v>574</v>
      </c>
      <c r="I544">
        <v>457</v>
      </c>
      <c r="J544">
        <v>27</v>
      </c>
      <c r="K544">
        <v>4.7</v>
      </c>
      <c r="L544">
        <v>3849.86</v>
      </c>
    </row>
    <row r="545" spans="1:12" x14ac:dyDescent="0.35">
      <c r="A545" s="1">
        <v>45418</v>
      </c>
      <c r="B545" t="s">
        <v>12</v>
      </c>
      <c r="C545" t="s">
        <v>13</v>
      </c>
      <c r="D545" t="s">
        <v>14</v>
      </c>
      <c r="E545" t="s">
        <v>24</v>
      </c>
      <c r="F545" t="s">
        <v>25</v>
      </c>
      <c r="G545" t="s">
        <v>17</v>
      </c>
      <c r="H545">
        <v>274</v>
      </c>
      <c r="I545">
        <v>179</v>
      </c>
      <c r="J545">
        <v>11</v>
      </c>
      <c r="K545">
        <v>4</v>
      </c>
      <c r="L545">
        <v>490.27</v>
      </c>
    </row>
    <row r="546" spans="1:12" x14ac:dyDescent="0.35">
      <c r="A546" s="1">
        <v>45418</v>
      </c>
      <c r="B546" t="s">
        <v>12</v>
      </c>
      <c r="C546" t="s">
        <v>13</v>
      </c>
      <c r="D546" t="s">
        <v>14</v>
      </c>
      <c r="E546" t="s">
        <v>26</v>
      </c>
      <c r="F546" t="s">
        <v>27</v>
      </c>
      <c r="G546" t="s">
        <v>20</v>
      </c>
      <c r="H546">
        <v>261</v>
      </c>
      <c r="I546">
        <v>236</v>
      </c>
      <c r="J546">
        <v>9</v>
      </c>
      <c r="K546">
        <v>3.4</v>
      </c>
      <c r="L546">
        <v>1599.08</v>
      </c>
    </row>
    <row r="547" spans="1:12" x14ac:dyDescent="0.35">
      <c r="A547" s="1">
        <v>45418</v>
      </c>
      <c r="B547" t="s">
        <v>12</v>
      </c>
      <c r="C547" t="s">
        <v>13</v>
      </c>
      <c r="D547" t="s">
        <v>14</v>
      </c>
      <c r="E547" t="s">
        <v>28</v>
      </c>
      <c r="F547" t="s">
        <v>29</v>
      </c>
      <c r="G547" t="s">
        <v>23</v>
      </c>
      <c r="H547">
        <v>625</v>
      </c>
      <c r="I547">
        <v>477</v>
      </c>
      <c r="J547">
        <v>42</v>
      </c>
      <c r="K547">
        <v>6.7</v>
      </c>
      <c r="L547">
        <v>2731.27</v>
      </c>
    </row>
    <row r="548" spans="1:12" x14ac:dyDescent="0.35">
      <c r="A548" s="1">
        <v>45418</v>
      </c>
      <c r="B548" t="s">
        <v>30</v>
      </c>
      <c r="C548" t="s">
        <v>31</v>
      </c>
      <c r="D548" t="s">
        <v>32</v>
      </c>
      <c r="E548" t="s">
        <v>15</v>
      </c>
      <c r="F548" t="s">
        <v>16</v>
      </c>
      <c r="G548" t="s">
        <v>17</v>
      </c>
      <c r="H548">
        <v>356</v>
      </c>
      <c r="I548">
        <v>258</v>
      </c>
      <c r="J548">
        <v>22</v>
      </c>
      <c r="K548">
        <v>6.2</v>
      </c>
      <c r="L548">
        <v>959.55</v>
      </c>
    </row>
    <row r="549" spans="1:12" x14ac:dyDescent="0.35">
      <c r="A549" s="1">
        <v>45418</v>
      </c>
      <c r="B549" t="s">
        <v>30</v>
      </c>
      <c r="C549" t="s">
        <v>31</v>
      </c>
      <c r="D549" t="s">
        <v>32</v>
      </c>
      <c r="E549" t="s">
        <v>18</v>
      </c>
      <c r="F549" t="s">
        <v>19</v>
      </c>
      <c r="G549" t="s">
        <v>20</v>
      </c>
      <c r="H549">
        <v>359</v>
      </c>
      <c r="I549">
        <v>285</v>
      </c>
      <c r="J549">
        <v>23</v>
      </c>
      <c r="K549">
        <v>6.4</v>
      </c>
      <c r="L549">
        <v>2139.54</v>
      </c>
    </row>
    <row r="550" spans="1:12" x14ac:dyDescent="0.35">
      <c r="A550" s="1">
        <v>45418</v>
      </c>
      <c r="B550" t="s">
        <v>30</v>
      </c>
      <c r="C550" t="s">
        <v>31</v>
      </c>
      <c r="D550" t="s">
        <v>32</v>
      </c>
      <c r="E550" t="s">
        <v>21</v>
      </c>
      <c r="F550" t="s">
        <v>22</v>
      </c>
      <c r="G550" t="s">
        <v>23</v>
      </c>
      <c r="H550">
        <v>267</v>
      </c>
      <c r="I550">
        <v>195</v>
      </c>
      <c r="J550">
        <v>23</v>
      </c>
      <c r="K550">
        <v>8.6</v>
      </c>
      <c r="L550">
        <v>766.71</v>
      </c>
    </row>
    <row r="551" spans="1:12" x14ac:dyDescent="0.35">
      <c r="A551" s="1">
        <v>45418</v>
      </c>
      <c r="B551" t="s">
        <v>30</v>
      </c>
      <c r="C551" t="s">
        <v>31</v>
      </c>
      <c r="D551" t="s">
        <v>32</v>
      </c>
      <c r="E551" t="s">
        <v>24</v>
      </c>
      <c r="F551" t="s">
        <v>25</v>
      </c>
      <c r="G551" t="s">
        <v>17</v>
      </c>
      <c r="H551">
        <v>450</v>
      </c>
      <c r="I551">
        <v>302</v>
      </c>
      <c r="J551">
        <v>32</v>
      </c>
      <c r="K551">
        <v>7.1</v>
      </c>
      <c r="L551">
        <v>1858.2</v>
      </c>
    </row>
    <row r="552" spans="1:12" x14ac:dyDescent="0.35">
      <c r="A552" s="1">
        <v>45418</v>
      </c>
      <c r="B552" t="s">
        <v>30</v>
      </c>
      <c r="C552" t="s">
        <v>31</v>
      </c>
      <c r="D552" t="s">
        <v>32</v>
      </c>
      <c r="E552" t="s">
        <v>26</v>
      </c>
      <c r="F552" t="s">
        <v>27</v>
      </c>
      <c r="G552" t="s">
        <v>20</v>
      </c>
      <c r="H552">
        <v>516</v>
      </c>
      <c r="I552">
        <v>428</v>
      </c>
      <c r="J552">
        <v>23</v>
      </c>
      <c r="K552">
        <v>4.5</v>
      </c>
      <c r="L552">
        <v>1102.52</v>
      </c>
    </row>
    <row r="553" spans="1:12" x14ac:dyDescent="0.35">
      <c r="A553" s="1">
        <v>45418</v>
      </c>
      <c r="B553" t="s">
        <v>30</v>
      </c>
      <c r="C553" t="s">
        <v>31</v>
      </c>
      <c r="D553" t="s">
        <v>32</v>
      </c>
      <c r="E553" t="s">
        <v>28</v>
      </c>
      <c r="F553" t="s">
        <v>29</v>
      </c>
      <c r="G553" t="s">
        <v>23</v>
      </c>
      <c r="H553">
        <v>340</v>
      </c>
      <c r="I553">
        <v>285</v>
      </c>
      <c r="J553">
        <v>23</v>
      </c>
      <c r="K553">
        <v>6.8</v>
      </c>
      <c r="L553">
        <v>1606.84</v>
      </c>
    </row>
    <row r="554" spans="1:12" x14ac:dyDescent="0.35">
      <c r="A554" s="1">
        <v>45418</v>
      </c>
      <c r="B554" t="s">
        <v>33</v>
      </c>
      <c r="C554" t="s">
        <v>34</v>
      </c>
      <c r="D554" t="s">
        <v>35</v>
      </c>
      <c r="E554" t="s">
        <v>15</v>
      </c>
      <c r="F554" t="s">
        <v>16</v>
      </c>
      <c r="G554" t="s">
        <v>17</v>
      </c>
      <c r="H554">
        <v>465</v>
      </c>
      <c r="I554">
        <v>323</v>
      </c>
      <c r="J554">
        <v>31</v>
      </c>
      <c r="K554">
        <v>6.7</v>
      </c>
      <c r="L554">
        <v>1328.37</v>
      </c>
    </row>
    <row r="555" spans="1:12" x14ac:dyDescent="0.35">
      <c r="A555" s="1">
        <v>45418</v>
      </c>
      <c r="B555" t="s">
        <v>33</v>
      </c>
      <c r="C555" t="s">
        <v>34</v>
      </c>
      <c r="D555" t="s">
        <v>35</v>
      </c>
      <c r="E555" t="s">
        <v>18</v>
      </c>
      <c r="F555" t="s">
        <v>19</v>
      </c>
      <c r="G555" t="s">
        <v>20</v>
      </c>
      <c r="H555">
        <v>320</v>
      </c>
      <c r="I555">
        <v>274</v>
      </c>
      <c r="J555">
        <v>18</v>
      </c>
      <c r="K555">
        <v>5.6</v>
      </c>
      <c r="L555">
        <v>1132.1400000000001</v>
      </c>
    </row>
    <row r="556" spans="1:12" x14ac:dyDescent="0.35">
      <c r="A556" s="1">
        <v>45418</v>
      </c>
      <c r="B556" t="s">
        <v>33</v>
      </c>
      <c r="C556" t="s">
        <v>34</v>
      </c>
      <c r="D556" t="s">
        <v>35</v>
      </c>
      <c r="E556" t="s">
        <v>21</v>
      </c>
      <c r="F556" t="s">
        <v>22</v>
      </c>
      <c r="G556" t="s">
        <v>23</v>
      </c>
      <c r="H556">
        <v>265</v>
      </c>
      <c r="I556">
        <v>191</v>
      </c>
      <c r="J556">
        <v>26</v>
      </c>
      <c r="K556">
        <v>9.8000000000000007</v>
      </c>
      <c r="L556">
        <v>1046.0899999999999</v>
      </c>
    </row>
    <row r="557" spans="1:12" x14ac:dyDescent="0.35">
      <c r="A557" s="1">
        <v>45418</v>
      </c>
      <c r="B557" t="s">
        <v>33</v>
      </c>
      <c r="C557" t="s">
        <v>34</v>
      </c>
      <c r="D557" t="s">
        <v>35</v>
      </c>
      <c r="E557" t="s">
        <v>24</v>
      </c>
      <c r="F557" t="s">
        <v>25</v>
      </c>
      <c r="G557" t="s">
        <v>17</v>
      </c>
      <c r="H557">
        <v>723</v>
      </c>
      <c r="I557">
        <v>540</v>
      </c>
      <c r="J557">
        <v>51</v>
      </c>
      <c r="K557">
        <v>7.1</v>
      </c>
      <c r="L557">
        <v>2541.31</v>
      </c>
    </row>
    <row r="558" spans="1:12" x14ac:dyDescent="0.35">
      <c r="A558" s="1">
        <v>45418</v>
      </c>
      <c r="B558" t="s">
        <v>33</v>
      </c>
      <c r="C558" t="s">
        <v>34</v>
      </c>
      <c r="D558" t="s">
        <v>35</v>
      </c>
      <c r="E558" t="s">
        <v>26</v>
      </c>
      <c r="F558" t="s">
        <v>27</v>
      </c>
      <c r="G558" t="s">
        <v>20</v>
      </c>
      <c r="H558">
        <v>461</v>
      </c>
      <c r="I558">
        <v>395</v>
      </c>
      <c r="J558">
        <v>33</v>
      </c>
      <c r="K558">
        <v>7.2</v>
      </c>
      <c r="L558">
        <v>1260.8399999999999</v>
      </c>
    </row>
    <row r="559" spans="1:12" x14ac:dyDescent="0.35">
      <c r="A559" s="1">
        <v>45418</v>
      </c>
      <c r="B559" t="s">
        <v>33</v>
      </c>
      <c r="C559" t="s">
        <v>34</v>
      </c>
      <c r="D559" t="s">
        <v>35</v>
      </c>
      <c r="E559" t="s">
        <v>28</v>
      </c>
      <c r="F559" t="s">
        <v>29</v>
      </c>
      <c r="G559" t="s">
        <v>23</v>
      </c>
      <c r="H559">
        <v>721</v>
      </c>
      <c r="I559">
        <v>469</v>
      </c>
      <c r="J559">
        <v>56</v>
      </c>
      <c r="K559">
        <v>7.8</v>
      </c>
      <c r="L559">
        <v>1301.8900000000001</v>
      </c>
    </row>
    <row r="560" spans="1:12" x14ac:dyDescent="0.35">
      <c r="A560" s="1">
        <v>45418</v>
      </c>
      <c r="B560" t="s">
        <v>36</v>
      </c>
      <c r="C560" t="s">
        <v>37</v>
      </c>
      <c r="D560" t="s">
        <v>38</v>
      </c>
      <c r="E560" t="s">
        <v>15</v>
      </c>
      <c r="F560" t="s">
        <v>16</v>
      </c>
      <c r="G560" t="s">
        <v>17</v>
      </c>
      <c r="H560">
        <v>572</v>
      </c>
      <c r="I560">
        <v>430</v>
      </c>
      <c r="J560">
        <v>41</v>
      </c>
      <c r="K560">
        <v>7.2</v>
      </c>
      <c r="L560">
        <v>3287.31</v>
      </c>
    </row>
    <row r="561" spans="1:12" x14ac:dyDescent="0.35">
      <c r="A561" s="1">
        <v>45418</v>
      </c>
      <c r="B561" t="s">
        <v>36</v>
      </c>
      <c r="C561" t="s">
        <v>37</v>
      </c>
      <c r="D561" t="s">
        <v>38</v>
      </c>
      <c r="E561" t="s">
        <v>18</v>
      </c>
      <c r="F561" t="s">
        <v>19</v>
      </c>
      <c r="G561" t="s">
        <v>20</v>
      </c>
      <c r="H561">
        <v>766</v>
      </c>
      <c r="I561">
        <v>664</v>
      </c>
      <c r="J561">
        <v>49</v>
      </c>
      <c r="K561">
        <v>6.4</v>
      </c>
      <c r="L561">
        <v>2554.4699999999998</v>
      </c>
    </row>
    <row r="562" spans="1:12" x14ac:dyDescent="0.35">
      <c r="A562" s="1">
        <v>45418</v>
      </c>
      <c r="B562" t="s">
        <v>36</v>
      </c>
      <c r="C562" t="s">
        <v>37</v>
      </c>
      <c r="D562" t="s">
        <v>38</v>
      </c>
      <c r="E562" t="s">
        <v>21</v>
      </c>
      <c r="F562" t="s">
        <v>22</v>
      </c>
      <c r="G562" t="s">
        <v>23</v>
      </c>
      <c r="H562">
        <v>454</v>
      </c>
      <c r="I562">
        <v>346</v>
      </c>
      <c r="J562">
        <v>29</v>
      </c>
      <c r="K562">
        <v>6.4</v>
      </c>
      <c r="L562">
        <v>1026.69</v>
      </c>
    </row>
    <row r="563" spans="1:12" x14ac:dyDescent="0.35">
      <c r="A563" s="1">
        <v>45418</v>
      </c>
      <c r="B563" t="s">
        <v>36</v>
      </c>
      <c r="C563" t="s">
        <v>37</v>
      </c>
      <c r="D563" t="s">
        <v>38</v>
      </c>
      <c r="E563" t="s">
        <v>24</v>
      </c>
      <c r="F563" t="s">
        <v>25</v>
      </c>
      <c r="G563" t="s">
        <v>17</v>
      </c>
      <c r="H563">
        <v>581</v>
      </c>
      <c r="I563">
        <v>396</v>
      </c>
      <c r="J563">
        <v>37</v>
      </c>
      <c r="K563">
        <v>6.4</v>
      </c>
      <c r="L563">
        <v>1520.29</v>
      </c>
    </row>
    <row r="564" spans="1:12" x14ac:dyDescent="0.35">
      <c r="A564" s="1">
        <v>45418</v>
      </c>
      <c r="B564" t="s">
        <v>36</v>
      </c>
      <c r="C564" t="s">
        <v>37</v>
      </c>
      <c r="D564" t="s">
        <v>38</v>
      </c>
      <c r="E564" t="s">
        <v>26</v>
      </c>
      <c r="F564" t="s">
        <v>27</v>
      </c>
      <c r="G564" t="s">
        <v>20</v>
      </c>
      <c r="H564">
        <v>728</v>
      </c>
      <c r="I564">
        <v>666</v>
      </c>
      <c r="J564">
        <v>22</v>
      </c>
      <c r="K564">
        <v>3</v>
      </c>
      <c r="L564">
        <v>3523.52</v>
      </c>
    </row>
    <row r="565" spans="1:12" x14ac:dyDescent="0.35">
      <c r="A565" s="1">
        <v>45418</v>
      </c>
      <c r="B565" t="s">
        <v>36</v>
      </c>
      <c r="C565" t="s">
        <v>37</v>
      </c>
      <c r="D565" t="s">
        <v>38</v>
      </c>
      <c r="E565" t="s">
        <v>28</v>
      </c>
      <c r="F565" t="s">
        <v>29</v>
      </c>
      <c r="G565" t="s">
        <v>23</v>
      </c>
      <c r="H565">
        <v>489</v>
      </c>
      <c r="I565">
        <v>419</v>
      </c>
      <c r="J565">
        <v>13</v>
      </c>
      <c r="K565">
        <v>2.7</v>
      </c>
      <c r="L565">
        <v>2195.7600000000002</v>
      </c>
    </row>
    <row r="566" spans="1:12" x14ac:dyDescent="0.35">
      <c r="A566" s="1">
        <v>45418</v>
      </c>
      <c r="B566" t="s">
        <v>39</v>
      </c>
      <c r="C566" t="s">
        <v>40</v>
      </c>
      <c r="D566" t="s">
        <v>14</v>
      </c>
      <c r="E566" t="s">
        <v>15</v>
      </c>
      <c r="F566" t="s">
        <v>16</v>
      </c>
      <c r="G566" t="s">
        <v>17</v>
      </c>
      <c r="H566">
        <v>577</v>
      </c>
      <c r="I566">
        <v>406</v>
      </c>
      <c r="J566">
        <v>38</v>
      </c>
      <c r="K566">
        <v>6.6</v>
      </c>
      <c r="L566">
        <v>2531.94</v>
      </c>
    </row>
    <row r="567" spans="1:12" x14ac:dyDescent="0.35">
      <c r="A567" s="1">
        <v>45418</v>
      </c>
      <c r="B567" t="s">
        <v>39</v>
      </c>
      <c r="C567" t="s">
        <v>40</v>
      </c>
      <c r="D567" t="s">
        <v>14</v>
      </c>
      <c r="E567" t="s">
        <v>18</v>
      </c>
      <c r="F567" t="s">
        <v>19</v>
      </c>
      <c r="G567" t="s">
        <v>20</v>
      </c>
      <c r="H567">
        <v>675</v>
      </c>
      <c r="I567">
        <v>505</v>
      </c>
      <c r="J567">
        <v>76</v>
      </c>
      <c r="K567">
        <v>11.3</v>
      </c>
      <c r="L567">
        <v>3613.43</v>
      </c>
    </row>
    <row r="568" spans="1:12" x14ac:dyDescent="0.35">
      <c r="A568" s="1">
        <v>45418</v>
      </c>
      <c r="B568" t="s">
        <v>39</v>
      </c>
      <c r="C568" t="s">
        <v>40</v>
      </c>
      <c r="D568" t="s">
        <v>14</v>
      </c>
      <c r="E568" t="s">
        <v>21</v>
      </c>
      <c r="F568" t="s">
        <v>22</v>
      </c>
      <c r="G568" t="s">
        <v>23</v>
      </c>
      <c r="H568">
        <v>759</v>
      </c>
      <c r="I568">
        <v>649</v>
      </c>
      <c r="J568">
        <v>17</v>
      </c>
      <c r="K568">
        <v>2.2000000000000002</v>
      </c>
      <c r="L568">
        <v>3219.18</v>
      </c>
    </row>
    <row r="569" spans="1:12" x14ac:dyDescent="0.35">
      <c r="A569" s="1">
        <v>45418</v>
      </c>
      <c r="B569" t="s">
        <v>39</v>
      </c>
      <c r="C569" t="s">
        <v>40</v>
      </c>
      <c r="D569" t="s">
        <v>14</v>
      </c>
      <c r="E569" t="s">
        <v>24</v>
      </c>
      <c r="F569" t="s">
        <v>25</v>
      </c>
      <c r="G569" t="s">
        <v>17</v>
      </c>
      <c r="H569">
        <v>438</v>
      </c>
      <c r="I569">
        <v>348</v>
      </c>
      <c r="J569">
        <v>33</v>
      </c>
      <c r="K569">
        <v>7.5</v>
      </c>
      <c r="L569">
        <v>890.03</v>
      </c>
    </row>
    <row r="570" spans="1:12" x14ac:dyDescent="0.35">
      <c r="A570" s="1">
        <v>45418</v>
      </c>
      <c r="B570" t="s">
        <v>39</v>
      </c>
      <c r="C570" t="s">
        <v>40</v>
      </c>
      <c r="D570" t="s">
        <v>14</v>
      </c>
      <c r="E570" t="s">
        <v>26</v>
      </c>
      <c r="F570" t="s">
        <v>27</v>
      </c>
      <c r="G570" t="s">
        <v>20</v>
      </c>
      <c r="H570">
        <v>543</v>
      </c>
      <c r="I570">
        <v>353</v>
      </c>
      <c r="J570">
        <v>58</v>
      </c>
      <c r="K570">
        <v>10.7</v>
      </c>
      <c r="L570">
        <v>2422.7399999999998</v>
      </c>
    </row>
    <row r="571" spans="1:12" x14ac:dyDescent="0.35">
      <c r="A571" s="1">
        <v>45418</v>
      </c>
      <c r="B571" t="s">
        <v>39</v>
      </c>
      <c r="C571" t="s">
        <v>40</v>
      </c>
      <c r="D571" t="s">
        <v>14</v>
      </c>
      <c r="E571" t="s">
        <v>28</v>
      </c>
      <c r="F571" t="s">
        <v>29</v>
      </c>
      <c r="G571" t="s">
        <v>23</v>
      </c>
      <c r="H571">
        <v>306</v>
      </c>
      <c r="I571">
        <v>215</v>
      </c>
      <c r="J571">
        <v>29</v>
      </c>
      <c r="K571">
        <v>9.5</v>
      </c>
      <c r="L571">
        <v>1777.43</v>
      </c>
    </row>
    <row r="572" spans="1:12" x14ac:dyDescent="0.35">
      <c r="A572" s="1">
        <v>45425</v>
      </c>
      <c r="B572" t="s">
        <v>12</v>
      </c>
      <c r="C572" t="s">
        <v>13</v>
      </c>
      <c r="D572" t="s">
        <v>14</v>
      </c>
      <c r="E572" t="s">
        <v>15</v>
      </c>
      <c r="F572" t="s">
        <v>16</v>
      </c>
      <c r="G572" t="s">
        <v>17</v>
      </c>
      <c r="H572">
        <v>345</v>
      </c>
      <c r="I572">
        <v>290</v>
      </c>
      <c r="J572">
        <v>22</v>
      </c>
      <c r="K572">
        <v>6.4</v>
      </c>
      <c r="L572">
        <v>2286.2800000000002</v>
      </c>
    </row>
    <row r="573" spans="1:12" x14ac:dyDescent="0.35">
      <c r="A573" s="1">
        <v>45425</v>
      </c>
      <c r="B573" t="s">
        <v>12</v>
      </c>
      <c r="C573" t="s">
        <v>13</v>
      </c>
      <c r="D573" t="s">
        <v>14</v>
      </c>
      <c r="E573" t="s">
        <v>18</v>
      </c>
      <c r="F573" t="s">
        <v>19</v>
      </c>
      <c r="G573" t="s">
        <v>20</v>
      </c>
      <c r="H573">
        <v>732</v>
      </c>
      <c r="I573">
        <v>557</v>
      </c>
      <c r="J573">
        <v>59</v>
      </c>
      <c r="K573">
        <v>8.1</v>
      </c>
      <c r="L573">
        <v>3891.98</v>
      </c>
    </row>
    <row r="574" spans="1:12" x14ac:dyDescent="0.35">
      <c r="A574" s="1">
        <v>45425</v>
      </c>
      <c r="B574" t="s">
        <v>12</v>
      </c>
      <c r="C574" t="s">
        <v>13</v>
      </c>
      <c r="D574" t="s">
        <v>14</v>
      </c>
      <c r="E574" t="s">
        <v>21</v>
      </c>
      <c r="F574" t="s">
        <v>22</v>
      </c>
      <c r="G574" t="s">
        <v>23</v>
      </c>
      <c r="H574">
        <v>794</v>
      </c>
      <c r="I574">
        <v>536</v>
      </c>
      <c r="J574">
        <v>57</v>
      </c>
      <c r="K574">
        <v>7.2</v>
      </c>
      <c r="L574">
        <v>1580.65</v>
      </c>
    </row>
    <row r="575" spans="1:12" x14ac:dyDescent="0.35">
      <c r="A575" s="1">
        <v>45425</v>
      </c>
      <c r="B575" t="s">
        <v>12</v>
      </c>
      <c r="C575" t="s">
        <v>13</v>
      </c>
      <c r="D575" t="s">
        <v>14</v>
      </c>
      <c r="E575" t="s">
        <v>24</v>
      </c>
      <c r="F575" t="s">
        <v>25</v>
      </c>
      <c r="G575" t="s">
        <v>17</v>
      </c>
      <c r="H575">
        <v>781</v>
      </c>
      <c r="I575">
        <v>520</v>
      </c>
      <c r="J575">
        <v>54</v>
      </c>
      <c r="K575">
        <v>6.9</v>
      </c>
      <c r="L575">
        <v>2210.0300000000002</v>
      </c>
    </row>
    <row r="576" spans="1:12" x14ac:dyDescent="0.35">
      <c r="A576" s="1">
        <v>45425</v>
      </c>
      <c r="B576" t="s">
        <v>12</v>
      </c>
      <c r="C576" t="s">
        <v>13</v>
      </c>
      <c r="D576" t="s">
        <v>14</v>
      </c>
      <c r="E576" t="s">
        <v>26</v>
      </c>
      <c r="F576" t="s">
        <v>27</v>
      </c>
      <c r="G576" t="s">
        <v>20</v>
      </c>
      <c r="H576">
        <v>522</v>
      </c>
      <c r="I576">
        <v>469</v>
      </c>
      <c r="J576">
        <v>32</v>
      </c>
      <c r="K576">
        <v>6.1</v>
      </c>
      <c r="L576">
        <v>2090.5700000000002</v>
      </c>
    </row>
    <row r="577" spans="1:12" x14ac:dyDescent="0.35">
      <c r="A577" s="1">
        <v>45425</v>
      </c>
      <c r="B577" t="s">
        <v>12</v>
      </c>
      <c r="C577" t="s">
        <v>13</v>
      </c>
      <c r="D577" t="s">
        <v>14</v>
      </c>
      <c r="E577" t="s">
        <v>28</v>
      </c>
      <c r="F577" t="s">
        <v>29</v>
      </c>
      <c r="G577" t="s">
        <v>23</v>
      </c>
      <c r="H577">
        <v>663</v>
      </c>
      <c r="I577">
        <v>479</v>
      </c>
      <c r="J577">
        <v>23</v>
      </c>
      <c r="K577">
        <v>3.5</v>
      </c>
      <c r="L577">
        <v>3439.04</v>
      </c>
    </row>
    <row r="578" spans="1:12" x14ac:dyDescent="0.35">
      <c r="A578" s="1">
        <v>45425</v>
      </c>
      <c r="B578" t="s">
        <v>30</v>
      </c>
      <c r="C578" t="s">
        <v>31</v>
      </c>
      <c r="D578" t="s">
        <v>32</v>
      </c>
      <c r="E578" t="s">
        <v>15</v>
      </c>
      <c r="F578" t="s">
        <v>16</v>
      </c>
      <c r="G578" t="s">
        <v>17</v>
      </c>
      <c r="H578">
        <v>798</v>
      </c>
      <c r="I578">
        <v>542</v>
      </c>
      <c r="J578">
        <v>41</v>
      </c>
      <c r="K578">
        <v>5.0999999999999996</v>
      </c>
      <c r="L578">
        <v>2376.2399999999998</v>
      </c>
    </row>
    <row r="579" spans="1:12" x14ac:dyDescent="0.35">
      <c r="A579" s="1">
        <v>45425</v>
      </c>
      <c r="B579" t="s">
        <v>30</v>
      </c>
      <c r="C579" t="s">
        <v>31</v>
      </c>
      <c r="D579" t="s">
        <v>32</v>
      </c>
      <c r="E579" t="s">
        <v>18</v>
      </c>
      <c r="F579" t="s">
        <v>19</v>
      </c>
      <c r="G579" t="s">
        <v>20</v>
      </c>
      <c r="H579">
        <v>323</v>
      </c>
      <c r="I579">
        <v>256</v>
      </c>
      <c r="J579">
        <v>20</v>
      </c>
      <c r="K579">
        <v>6.2</v>
      </c>
      <c r="L579">
        <v>1113.56</v>
      </c>
    </row>
    <row r="580" spans="1:12" x14ac:dyDescent="0.35">
      <c r="A580" s="1">
        <v>45425</v>
      </c>
      <c r="B580" t="s">
        <v>30</v>
      </c>
      <c r="C580" t="s">
        <v>31</v>
      </c>
      <c r="D580" t="s">
        <v>32</v>
      </c>
      <c r="E580" t="s">
        <v>21</v>
      </c>
      <c r="F580" t="s">
        <v>22</v>
      </c>
      <c r="G580" t="s">
        <v>23</v>
      </c>
      <c r="H580">
        <v>471</v>
      </c>
      <c r="I580">
        <v>414</v>
      </c>
      <c r="J580">
        <v>26</v>
      </c>
      <c r="K580">
        <v>5.5</v>
      </c>
      <c r="L580">
        <v>1790.67</v>
      </c>
    </row>
    <row r="581" spans="1:12" x14ac:dyDescent="0.35">
      <c r="A581" s="1">
        <v>45425</v>
      </c>
      <c r="B581" t="s">
        <v>30</v>
      </c>
      <c r="C581" t="s">
        <v>31</v>
      </c>
      <c r="D581" t="s">
        <v>32</v>
      </c>
      <c r="E581" t="s">
        <v>24</v>
      </c>
      <c r="F581" t="s">
        <v>25</v>
      </c>
      <c r="G581" t="s">
        <v>17</v>
      </c>
      <c r="H581">
        <v>241</v>
      </c>
      <c r="I581">
        <v>170</v>
      </c>
      <c r="J581">
        <v>17</v>
      </c>
      <c r="K581">
        <v>7.1</v>
      </c>
      <c r="L581">
        <v>1150.3800000000001</v>
      </c>
    </row>
    <row r="582" spans="1:12" x14ac:dyDescent="0.35">
      <c r="A582" s="1">
        <v>45425</v>
      </c>
      <c r="B582" t="s">
        <v>30</v>
      </c>
      <c r="C582" t="s">
        <v>31</v>
      </c>
      <c r="D582" t="s">
        <v>32</v>
      </c>
      <c r="E582" t="s">
        <v>26</v>
      </c>
      <c r="F582" t="s">
        <v>27</v>
      </c>
      <c r="G582" t="s">
        <v>20</v>
      </c>
      <c r="H582">
        <v>564</v>
      </c>
      <c r="I582">
        <v>426</v>
      </c>
      <c r="J582">
        <v>20</v>
      </c>
      <c r="K582">
        <v>3.5</v>
      </c>
      <c r="L582">
        <v>3161.15</v>
      </c>
    </row>
    <row r="583" spans="1:12" x14ac:dyDescent="0.35">
      <c r="A583" s="1">
        <v>45425</v>
      </c>
      <c r="B583" t="s">
        <v>30</v>
      </c>
      <c r="C583" t="s">
        <v>31</v>
      </c>
      <c r="D583" t="s">
        <v>32</v>
      </c>
      <c r="E583" t="s">
        <v>28</v>
      </c>
      <c r="F583" t="s">
        <v>29</v>
      </c>
      <c r="G583" t="s">
        <v>23</v>
      </c>
      <c r="H583">
        <v>378</v>
      </c>
      <c r="I583">
        <v>248</v>
      </c>
      <c r="J583">
        <v>26</v>
      </c>
      <c r="K583">
        <v>6.9</v>
      </c>
      <c r="L583">
        <v>1733.14</v>
      </c>
    </row>
    <row r="584" spans="1:12" x14ac:dyDescent="0.35">
      <c r="A584" s="1">
        <v>45425</v>
      </c>
      <c r="B584" t="s">
        <v>33</v>
      </c>
      <c r="C584" t="s">
        <v>34</v>
      </c>
      <c r="D584" t="s">
        <v>35</v>
      </c>
      <c r="E584" t="s">
        <v>15</v>
      </c>
      <c r="F584" t="s">
        <v>16</v>
      </c>
      <c r="G584" t="s">
        <v>17</v>
      </c>
      <c r="H584">
        <v>455</v>
      </c>
      <c r="I584">
        <v>307</v>
      </c>
      <c r="J584">
        <v>31</v>
      </c>
      <c r="K584">
        <v>6.8</v>
      </c>
      <c r="L584">
        <v>991.22</v>
      </c>
    </row>
    <row r="585" spans="1:12" x14ac:dyDescent="0.35">
      <c r="A585" s="1">
        <v>45425</v>
      </c>
      <c r="B585" t="s">
        <v>33</v>
      </c>
      <c r="C585" t="s">
        <v>34</v>
      </c>
      <c r="D585" t="s">
        <v>35</v>
      </c>
      <c r="E585" t="s">
        <v>18</v>
      </c>
      <c r="F585" t="s">
        <v>19</v>
      </c>
      <c r="G585" t="s">
        <v>20</v>
      </c>
      <c r="H585">
        <v>263</v>
      </c>
      <c r="I585">
        <v>229</v>
      </c>
      <c r="J585">
        <v>11</v>
      </c>
      <c r="K585">
        <v>4.2</v>
      </c>
      <c r="L585">
        <v>1704.23</v>
      </c>
    </row>
    <row r="586" spans="1:12" x14ac:dyDescent="0.35">
      <c r="A586" s="1">
        <v>45425</v>
      </c>
      <c r="B586" t="s">
        <v>33</v>
      </c>
      <c r="C586" t="s">
        <v>34</v>
      </c>
      <c r="D586" t="s">
        <v>35</v>
      </c>
      <c r="E586" t="s">
        <v>21</v>
      </c>
      <c r="F586" t="s">
        <v>22</v>
      </c>
      <c r="G586" t="s">
        <v>23</v>
      </c>
      <c r="H586">
        <v>581</v>
      </c>
      <c r="I586">
        <v>485</v>
      </c>
      <c r="J586">
        <v>28</v>
      </c>
      <c r="K586">
        <v>4.8</v>
      </c>
      <c r="L586">
        <v>2918.11</v>
      </c>
    </row>
    <row r="587" spans="1:12" x14ac:dyDescent="0.35">
      <c r="A587" s="1">
        <v>45425</v>
      </c>
      <c r="B587" t="s">
        <v>33</v>
      </c>
      <c r="C587" t="s">
        <v>34</v>
      </c>
      <c r="D587" t="s">
        <v>35</v>
      </c>
      <c r="E587" t="s">
        <v>24</v>
      </c>
      <c r="F587" t="s">
        <v>25</v>
      </c>
      <c r="G587" t="s">
        <v>17</v>
      </c>
      <c r="H587">
        <v>276</v>
      </c>
      <c r="I587">
        <v>181</v>
      </c>
      <c r="J587">
        <v>20</v>
      </c>
      <c r="K587">
        <v>7.2</v>
      </c>
      <c r="L587">
        <v>934.07</v>
      </c>
    </row>
    <row r="588" spans="1:12" x14ac:dyDescent="0.35">
      <c r="A588" s="1">
        <v>45425</v>
      </c>
      <c r="B588" t="s">
        <v>33</v>
      </c>
      <c r="C588" t="s">
        <v>34</v>
      </c>
      <c r="D588" t="s">
        <v>35</v>
      </c>
      <c r="E588" t="s">
        <v>26</v>
      </c>
      <c r="F588" t="s">
        <v>27</v>
      </c>
      <c r="G588" t="s">
        <v>20</v>
      </c>
      <c r="H588">
        <v>331</v>
      </c>
      <c r="I588">
        <v>223</v>
      </c>
      <c r="J588">
        <v>37</v>
      </c>
      <c r="K588">
        <v>11.2</v>
      </c>
      <c r="L588">
        <v>721.44</v>
      </c>
    </row>
    <row r="589" spans="1:12" x14ac:dyDescent="0.35">
      <c r="A589" s="1">
        <v>45425</v>
      </c>
      <c r="B589" t="s">
        <v>33</v>
      </c>
      <c r="C589" t="s">
        <v>34</v>
      </c>
      <c r="D589" t="s">
        <v>35</v>
      </c>
      <c r="E589" t="s">
        <v>28</v>
      </c>
      <c r="F589" t="s">
        <v>29</v>
      </c>
      <c r="G589" t="s">
        <v>23</v>
      </c>
      <c r="H589">
        <v>672</v>
      </c>
      <c r="I589">
        <v>445</v>
      </c>
      <c r="J589">
        <v>68</v>
      </c>
      <c r="K589">
        <v>10.1</v>
      </c>
      <c r="L589">
        <v>3046.73</v>
      </c>
    </row>
    <row r="590" spans="1:12" x14ac:dyDescent="0.35">
      <c r="A590" s="1">
        <v>45425</v>
      </c>
      <c r="B590" t="s">
        <v>36</v>
      </c>
      <c r="C590" t="s">
        <v>37</v>
      </c>
      <c r="D590" t="s">
        <v>38</v>
      </c>
      <c r="E590" t="s">
        <v>15</v>
      </c>
      <c r="F590" t="s">
        <v>16</v>
      </c>
      <c r="G590" t="s">
        <v>17</v>
      </c>
      <c r="H590">
        <v>708</v>
      </c>
      <c r="I590">
        <v>465</v>
      </c>
      <c r="J590">
        <v>52</v>
      </c>
      <c r="K590">
        <v>7.3</v>
      </c>
      <c r="L590">
        <v>1761.56</v>
      </c>
    </row>
    <row r="591" spans="1:12" x14ac:dyDescent="0.35">
      <c r="A591" s="1">
        <v>45425</v>
      </c>
      <c r="B591" t="s">
        <v>36</v>
      </c>
      <c r="C591" t="s">
        <v>37</v>
      </c>
      <c r="D591" t="s">
        <v>38</v>
      </c>
      <c r="E591" t="s">
        <v>18</v>
      </c>
      <c r="F591" t="s">
        <v>19</v>
      </c>
      <c r="G591" t="s">
        <v>20</v>
      </c>
      <c r="H591">
        <v>391</v>
      </c>
      <c r="I591">
        <v>283</v>
      </c>
      <c r="J591">
        <v>19</v>
      </c>
      <c r="K591">
        <v>4.9000000000000004</v>
      </c>
      <c r="L591">
        <v>1750.25</v>
      </c>
    </row>
    <row r="592" spans="1:12" x14ac:dyDescent="0.35">
      <c r="A592" s="1">
        <v>45425</v>
      </c>
      <c r="B592" t="s">
        <v>36</v>
      </c>
      <c r="C592" t="s">
        <v>37</v>
      </c>
      <c r="D592" t="s">
        <v>38</v>
      </c>
      <c r="E592" t="s">
        <v>21</v>
      </c>
      <c r="F592" t="s">
        <v>22</v>
      </c>
      <c r="G592" t="s">
        <v>23</v>
      </c>
      <c r="H592">
        <v>451</v>
      </c>
      <c r="I592">
        <v>371</v>
      </c>
      <c r="J592">
        <v>34</v>
      </c>
      <c r="K592">
        <v>7.5</v>
      </c>
      <c r="L592">
        <v>1993.82</v>
      </c>
    </row>
    <row r="593" spans="1:12" x14ac:dyDescent="0.35">
      <c r="A593" s="1">
        <v>45425</v>
      </c>
      <c r="B593" t="s">
        <v>36</v>
      </c>
      <c r="C593" t="s">
        <v>37</v>
      </c>
      <c r="D593" t="s">
        <v>38</v>
      </c>
      <c r="E593" t="s">
        <v>24</v>
      </c>
      <c r="F593" t="s">
        <v>25</v>
      </c>
      <c r="G593" t="s">
        <v>17</v>
      </c>
      <c r="H593">
        <v>289</v>
      </c>
      <c r="I593">
        <v>209</v>
      </c>
      <c r="J593">
        <v>10</v>
      </c>
      <c r="K593">
        <v>3.5</v>
      </c>
      <c r="L593">
        <v>1631.85</v>
      </c>
    </row>
    <row r="594" spans="1:12" x14ac:dyDescent="0.35">
      <c r="A594" s="1">
        <v>45425</v>
      </c>
      <c r="B594" t="s">
        <v>36</v>
      </c>
      <c r="C594" t="s">
        <v>37</v>
      </c>
      <c r="D594" t="s">
        <v>38</v>
      </c>
      <c r="E594" t="s">
        <v>26</v>
      </c>
      <c r="F594" t="s">
        <v>27</v>
      </c>
      <c r="G594" t="s">
        <v>20</v>
      </c>
      <c r="H594">
        <v>738</v>
      </c>
      <c r="I594">
        <v>529</v>
      </c>
      <c r="J594">
        <v>73</v>
      </c>
      <c r="K594">
        <v>9.9</v>
      </c>
      <c r="L594">
        <v>1384.49</v>
      </c>
    </row>
    <row r="595" spans="1:12" x14ac:dyDescent="0.35">
      <c r="A595" s="1">
        <v>45425</v>
      </c>
      <c r="B595" t="s">
        <v>36</v>
      </c>
      <c r="C595" t="s">
        <v>37</v>
      </c>
      <c r="D595" t="s">
        <v>38</v>
      </c>
      <c r="E595" t="s">
        <v>28</v>
      </c>
      <c r="F595" t="s">
        <v>29</v>
      </c>
      <c r="G595" t="s">
        <v>23</v>
      </c>
      <c r="H595">
        <v>591</v>
      </c>
      <c r="I595">
        <v>508</v>
      </c>
      <c r="J595">
        <v>30</v>
      </c>
      <c r="K595">
        <v>5.0999999999999996</v>
      </c>
      <c r="L595">
        <v>2747.3</v>
      </c>
    </row>
    <row r="596" spans="1:12" x14ac:dyDescent="0.35">
      <c r="A596" s="1">
        <v>45425</v>
      </c>
      <c r="B596" t="s">
        <v>39</v>
      </c>
      <c r="C596" t="s">
        <v>40</v>
      </c>
      <c r="D596" t="s">
        <v>14</v>
      </c>
      <c r="E596" t="s">
        <v>15</v>
      </c>
      <c r="F596" t="s">
        <v>16</v>
      </c>
      <c r="G596" t="s">
        <v>17</v>
      </c>
      <c r="H596">
        <v>779</v>
      </c>
      <c r="I596">
        <v>612</v>
      </c>
      <c r="J596">
        <v>33</v>
      </c>
      <c r="K596">
        <v>4.2</v>
      </c>
      <c r="L596">
        <v>2700.92</v>
      </c>
    </row>
    <row r="597" spans="1:12" x14ac:dyDescent="0.35">
      <c r="A597" s="1">
        <v>45425</v>
      </c>
      <c r="B597" t="s">
        <v>39</v>
      </c>
      <c r="C597" t="s">
        <v>40</v>
      </c>
      <c r="D597" t="s">
        <v>14</v>
      </c>
      <c r="E597" t="s">
        <v>18</v>
      </c>
      <c r="F597" t="s">
        <v>19</v>
      </c>
      <c r="G597" t="s">
        <v>20</v>
      </c>
      <c r="H597">
        <v>424</v>
      </c>
      <c r="I597">
        <v>278</v>
      </c>
      <c r="J597">
        <v>37</v>
      </c>
      <c r="K597">
        <v>8.6999999999999993</v>
      </c>
      <c r="L597">
        <v>2043.83</v>
      </c>
    </row>
    <row r="598" spans="1:12" x14ac:dyDescent="0.35">
      <c r="A598" s="1">
        <v>45425</v>
      </c>
      <c r="B598" t="s">
        <v>39</v>
      </c>
      <c r="C598" t="s">
        <v>40</v>
      </c>
      <c r="D598" t="s">
        <v>14</v>
      </c>
      <c r="E598" t="s">
        <v>21</v>
      </c>
      <c r="F598" t="s">
        <v>22</v>
      </c>
      <c r="G598" t="s">
        <v>23</v>
      </c>
      <c r="H598">
        <v>683</v>
      </c>
      <c r="I598">
        <v>541</v>
      </c>
      <c r="J598">
        <v>66</v>
      </c>
      <c r="K598">
        <v>9.6999999999999993</v>
      </c>
      <c r="L598">
        <v>4514.04</v>
      </c>
    </row>
    <row r="599" spans="1:12" x14ac:dyDescent="0.35">
      <c r="A599" s="1">
        <v>45425</v>
      </c>
      <c r="B599" t="s">
        <v>39</v>
      </c>
      <c r="C599" t="s">
        <v>40</v>
      </c>
      <c r="D599" t="s">
        <v>14</v>
      </c>
      <c r="E599" t="s">
        <v>24</v>
      </c>
      <c r="F599" t="s">
        <v>25</v>
      </c>
      <c r="G599" t="s">
        <v>17</v>
      </c>
      <c r="H599">
        <v>302</v>
      </c>
      <c r="I599">
        <v>216</v>
      </c>
      <c r="J599">
        <v>18</v>
      </c>
      <c r="K599">
        <v>6</v>
      </c>
      <c r="L599">
        <v>1565.44</v>
      </c>
    </row>
    <row r="600" spans="1:12" x14ac:dyDescent="0.35">
      <c r="A600" s="1">
        <v>45425</v>
      </c>
      <c r="B600" t="s">
        <v>39</v>
      </c>
      <c r="C600" t="s">
        <v>40</v>
      </c>
      <c r="D600" t="s">
        <v>14</v>
      </c>
      <c r="E600" t="s">
        <v>26</v>
      </c>
      <c r="F600" t="s">
        <v>27</v>
      </c>
      <c r="G600" t="s">
        <v>20</v>
      </c>
      <c r="H600">
        <v>257</v>
      </c>
      <c r="I600">
        <v>220</v>
      </c>
      <c r="J600">
        <v>17</v>
      </c>
      <c r="K600">
        <v>6.6</v>
      </c>
      <c r="L600">
        <v>1847.12</v>
      </c>
    </row>
    <row r="601" spans="1:12" x14ac:dyDescent="0.35">
      <c r="A601" s="1">
        <v>45425</v>
      </c>
      <c r="B601" t="s">
        <v>39</v>
      </c>
      <c r="C601" t="s">
        <v>40</v>
      </c>
      <c r="D601" t="s">
        <v>14</v>
      </c>
      <c r="E601" t="s">
        <v>28</v>
      </c>
      <c r="F601" t="s">
        <v>29</v>
      </c>
      <c r="G601" t="s">
        <v>23</v>
      </c>
      <c r="H601">
        <v>597</v>
      </c>
      <c r="I601">
        <v>445</v>
      </c>
      <c r="J601">
        <v>60</v>
      </c>
      <c r="K601">
        <v>10.1</v>
      </c>
      <c r="L601">
        <v>1582.69</v>
      </c>
    </row>
    <row r="602" spans="1:12" x14ac:dyDescent="0.35">
      <c r="A602" s="1">
        <v>45432</v>
      </c>
      <c r="B602" t="s">
        <v>12</v>
      </c>
      <c r="C602" t="s">
        <v>13</v>
      </c>
      <c r="D602" t="s">
        <v>14</v>
      </c>
      <c r="E602" t="s">
        <v>15</v>
      </c>
      <c r="F602" t="s">
        <v>16</v>
      </c>
      <c r="G602" t="s">
        <v>17</v>
      </c>
      <c r="H602">
        <v>525</v>
      </c>
      <c r="I602">
        <v>455</v>
      </c>
      <c r="J602">
        <v>40</v>
      </c>
      <c r="K602">
        <v>7.6</v>
      </c>
      <c r="L602">
        <v>1214.5</v>
      </c>
    </row>
    <row r="603" spans="1:12" x14ac:dyDescent="0.35">
      <c r="A603" s="1">
        <v>45432</v>
      </c>
      <c r="B603" t="s">
        <v>12</v>
      </c>
      <c r="C603" t="s">
        <v>13</v>
      </c>
      <c r="D603" t="s">
        <v>14</v>
      </c>
      <c r="E603" t="s">
        <v>18</v>
      </c>
      <c r="F603" t="s">
        <v>19</v>
      </c>
      <c r="G603" t="s">
        <v>20</v>
      </c>
      <c r="H603">
        <v>560</v>
      </c>
      <c r="I603">
        <v>507</v>
      </c>
      <c r="J603">
        <v>28</v>
      </c>
      <c r="K603">
        <v>5</v>
      </c>
      <c r="L603">
        <v>1840.11</v>
      </c>
    </row>
    <row r="604" spans="1:12" x14ac:dyDescent="0.35">
      <c r="A604" s="1">
        <v>45432</v>
      </c>
      <c r="B604" t="s">
        <v>12</v>
      </c>
      <c r="C604" t="s">
        <v>13</v>
      </c>
      <c r="D604" t="s">
        <v>14</v>
      </c>
      <c r="E604" t="s">
        <v>21</v>
      </c>
      <c r="F604" t="s">
        <v>22</v>
      </c>
      <c r="G604" t="s">
        <v>23</v>
      </c>
      <c r="H604">
        <v>704</v>
      </c>
      <c r="I604">
        <v>560</v>
      </c>
      <c r="J604">
        <v>18</v>
      </c>
      <c r="K604">
        <v>2.6</v>
      </c>
      <c r="L604">
        <v>1588.72</v>
      </c>
    </row>
    <row r="605" spans="1:12" x14ac:dyDescent="0.35">
      <c r="A605" s="1">
        <v>45432</v>
      </c>
      <c r="B605" t="s">
        <v>12</v>
      </c>
      <c r="C605" t="s">
        <v>13</v>
      </c>
      <c r="D605" t="s">
        <v>14</v>
      </c>
      <c r="E605" t="s">
        <v>24</v>
      </c>
      <c r="F605" t="s">
        <v>25</v>
      </c>
      <c r="G605" t="s">
        <v>17</v>
      </c>
      <c r="H605">
        <v>424</v>
      </c>
      <c r="I605">
        <v>277</v>
      </c>
      <c r="J605">
        <v>29</v>
      </c>
      <c r="K605">
        <v>6.8</v>
      </c>
      <c r="L605">
        <v>1713.19</v>
      </c>
    </row>
    <row r="606" spans="1:12" x14ac:dyDescent="0.35">
      <c r="A606" s="1">
        <v>45432</v>
      </c>
      <c r="B606" t="s">
        <v>12</v>
      </c>
      <c r="C606" t="s">
        <v>13</v>
      </c>
      <c r="D606" t="s">
        <v>14</v>
      </c>
      <c r="E606" t="s">
        <v>26</v>
      </c>
      <c r="F606" t="s">
        <v>27</v>
      </c>
      <c r="G606" t="s">
        <v>20</v>
      </c>
      <c r="H606">
        <v>333</v>
      </c>
      <c r="I606">
        <v>247</v>
      </c>
      <c r="J606">
        <v>22</v>
      </c>
      <c r="K606">
        <v>6.6</v>
      </c>
      <c r="L606">
        <v>1904.2</v>
      </c>
    </row>
    <row r="607" spans="1:12" x14ac:dyDescent="0.35">
      <c r="A607" s="1">
        <v>45432</v>
      </c>
      <c r="B607" t="s">
        <v>12</v>
      </c>
      <c r="C607" t="s">
        <v>13</v>
      </c>
      <c r="D607" t="s">
        <v>14</v>
      </c>
      <c r="E607" t="s">
        <v>28</v>
      </c>
      <c r="F607" t="s">
        <v>29</v>
      </c>
      <c r="G607" t="s">
        <v>23</v>
      </c>
      <c r="H607">
        <v>260</v>
      </c>
      <c r="I607">
        <v>170</v>
      </c>
      <c r="J607">
        <v>27</v>
      </c>
      <c r="K607">
        <v>10.4</v>
      </c>
      <c r="L607">
        <v>1214.8499999999999</v>
      </c>
    </row>
    <row r="608" spans="1:12" x14ac:dyDescent="0.35">
      <c r="A608" s="1">
        <v>45432</v>
      </c>
      <c r="B608" t="s">
        <v>30</v>
      </c>
      <c r="C608" t="s">
        <v>31</v>
      </c>
      <c r="D608" t="s">
        <v>32</v>
      </c>
      <c r="E608" t="s">
        <v>15</v>
      </c>
      <c r="F608" t="s">
        <v>16</v>
      </c>
      <c r="G608" t="s">
        <v>17</v>
      </c>
      <c r="H608">
        <v>738</v>
      </c>
      <c r="I608">
        <v>651</v>
      </c>
      <c r="J608">
        <v>39</v>
      </c>
      <c r="K608">
        <v>5.3</v>
      </c>
      <c r="L608">
        <v>5306.65</v>
      </c>
    </row>
    <row r="609" spans="1:12" x14ac:dyDescent="0.35">
      <c r="A609" s="1">
        <v>45432</v>
      </c>
      <c r="B609" t="s">
        <v>30</v>
      </c>
      <c r="C609" t="s">
        <v>31</v>
      </c>
      <c r="D609" t="s">
        <v>32</v>
      </c>
      <c r="E609" t="s">
        <v>18</v>
      </c>
      <c r="F609" t="s">
        <v>19</v>
      </c>
      <c r="G609" t="s">
        <v>20</v>
      </c>
      <c r="H609">
        <v>605</v>
      </c>
      <c r="I609">
        <v>488</v>
      </c>
      <c r="J609">
        <v>27</v>
      </c>
      <c r="K609">
        <v>4.5</v>
      </c>
      <c r="L609">
        <v>4077.32</v>
      </c>
    </row>
    <row r="610" spans="1:12" x14ac:dyDescent="0.35">
      <c r="A610" s="1">
        <v>45432</v>
      </c>
      <c r="B610" t="s">
        <v>30</v>
      </c>
      <c r="C610" t="s">
        <v>31</v>
      </c>
      <c r="D610" t="s">
        <v>32</v>
      </c>
      <c r="E610" t="s">
        <v>21</v>
      </c>
      <c r="F610" t="s">
        <v>22</v>
      </c>
      <c r="G610" t="s">
        <v>23</v>
      </c>
      <c r="H610">
        <v>647</v>
      </c>
      <c r="I610">
        <v>558</v>
      </c>
      <c r="J610">
        <v>46</v>
      </c>
      <c r="K610">
        <v>7.1</v>
      </c>
      <c r="L610">
        <v>1978.23</v>
      </c>
    </row>
    <row r="611" spans="1:12" x14ac:dyDescent="0.35">
      <c r="A611" s="1">
        <v>45432</v>
      </c>
      <c r="B611" t="s">
        <v>30</v>
      </c>
      <c r="C611" t="s">
        <v>31</v>
      </c>
      <c r="D611" t="s">
        <v>32</v>
      </c>
      <c r="E611" t="s">
        <v>24</v>
      </c>
      <c r="F611" t="s">
        <v>25</v>
      </c>
      <c r="G611" t="s">
        <v>17</v>
      </c>
      <c r="H611">
        <v>775</v>
      </c>
      <c r="I611">
        <v>648</v>
      </c>
      <c r="J611">
        <v>64</v>
      </c>
      <c r="K611">
        <v>8.3000000000000007</v>
      </c>
      <c r="L611">
        <v>2487.9499999999998</v>
      </c>
    </row>
    <row r="612" spans="1:12" x14ac:dyDescent="0.35">
      <c r="A612" s="1">
        <v>45432</v>
      </c>
      <c r="B612" t="s">
        <v>30</v>
      </c>
      <c r="C612" t="s">
        <v>31</v>
      </c>
      <c r="D612" t="s">
        <v>32</v>
      </c>
      <c r="E612" t="s">
        <v>26</v>
      </c>
      <c r="F612" t="s">
        <v>27</v>
      </c>
      <c r="G612" t="s">
        <v>20</v>
      </c>
      <c r="H612">
        <v>379</v>
      </c>
      <c r="I612">
        <v>285</v>
      </c>
      <c r="J612">
        <v>25</v>
      </c>
      <c r="K612">
        <v>6.6</v>
      </c>
      <c r="L612">
        <v>1016.38</v>
      </c>
    </row>
    <row r="613" spans="1:12" x14ac:dyDescent="0.35">
      <c r="A613" s="1">
        <v>45432</v>
      </c>
      <c r="B613" t="s">
        <v>30</v>
      </c>
      <c r="C613" t="s">
        <v>31</v>
      </c>
      <c r="D613" t="s">
        <v>32</v>
      </c>
      <c r="E613" t="s">
        <v>28</v>
      </c>
      <c r="F613" t="s">
        <v>29</v>
      </c>
      <c r="G613" t="s">
        <v>23</v>
      </c>
      <c r="H613">
        <v>201</v>
      </c>
      <c r="I613">
        <v>182</v>
      </c>
      <c r="J613">
        <v>9</v>
      </c>
      <c r="K613">
        <v>4.5</v>
      </c>
      <c r="L613">
        <v>1540.76</v>
      </c>
    </row>
    <row r="614" spans="1:12" x14ac:dyDescent="0.35">
      <c r="A614" s="1">
        <v>45432</v>
      </c>
      <c r="B614" t="s">
        <v>33</v>
      </c>
      <c r="C614" t="s">
        <v>34</v>
      </c>
      <c r="D614" t="s">
        <v>35</v>
      </c>
      <c r="E614" t="s">
        <v>15</v>
      </c>
      <c r="F614" t="s">
        <v>16</v>
      </c>
      <c r="G614" t="s">
        <v>17</v>
      </c>
      <c r="H614">
        <v>781</v>
      </c>
      <c r="I614">
        <v>514</v>
      </c>
      <c r="J614">
        <v>83</v>
      </c>
      <c r="K614">
        <v>10.6</v>
      </c>
      <c r="L614">
        <v>4268.87</v>
      </c>
    </row>
    <row r="615" spans="1:12" x14ac:dyDescent="0.35">
      <c r="A615" s="1">
        <v>45432</v>
      </c>
      <c r="B615" t="s">
        <v>33</v>
      </c>
      <c r="C615" t="s">
        <v>34</v>
      </c>
      <c r="D615" t="s">
        <v>35</v>
      </c>
      <c r="E615" t="s">
        <v>18</v>
      </c>
      <c r="F615" t="s">
        <v>19</v>
      </c>
      <c r="G615" t="s">
        <v>20</v>
      </c>
      <c r="H615">
        <v>426</v>
      </c>
      <c r="I615">
        <v>350</v>
      </c>
      <c r="J615">
        <v>19</v>
      </c>
      <c r="K615">
        <v>4.5</v>
      </c>
      <c r="L615">
        <v>1570.45</v>
      </c>
    </row>
    <row r="616" spans="1:12" x14ac:dyDescent="0.35">
      <c r="A616" s="1">
        <v>45432</v>
      </c>
      <c r="B616" t="s">
        <v>33</v>
      </c>
      <c r="C616" t="s">
        <v>34</v>
      </c>
      <c r="D616" t="s">
        <v>35</v>
      </c>
      <c r="E616" t="s">
        <v>21</v>
      </c>
      <c r="F616" t="s">
        <v>22</v>
      </c>
      <c r="G616" t="s">
        <v>23</v>
      </c>
      <c r="H616">
        <v>279</v>
      </c>
      <c r="I616">
        <v>199</v>
      </c>
      <c r="J616">
        <v>22</v>
      </c>
      <c r="K616">
        <v>7.9</v>
      </c>
      <c r="L616">
        <v>1554.57</v>
      </c>
    </row>
    <row r="617" spans="1:12" x14ac:dyDescent="0.35">
      <c r="A617" s="1">
        <v>45432</v>
      </c>
      <c r="B617" t="s">
        <v>33</v>
      </c>
      <c r="C617" t="s">
        <v>34</v>
      </c>
      <c r="D617" t="s">
        <v>35</v>
      </c>
      <c r="E617" t="s">
        <v>24</v>
      </c>
      <c r="F617" t="s">
        <v>25</v>
      </c>
      <c r="G617" t="s">
        <v>17</v>
      </c>
      <c r="H617">
        <v>290</v>
      </c>
      <c r="I617">
        <v>252</v>
      </c>
      <c r="J617">
        <v>19</v>
      </c>
      <c r="K617">
        <v>6.6</v>
      </c>
      <c r="L617">
        <v>1137.6500000000001</v>
      </c>
    </row>
    <row r="618" spans="1:12" x14ac:dyDescent="0.35">
      <c r="A618" s="1">
        <v>45432</v>
      </c>
      <c r="B618" t="s">
        <v>33</v>
      </c>
      <c r="C618" t="s">
        <v>34</v>
      </c>
      <c r="D618" t="s">
        <v>35</v>
      </c>
      <c r="E618" t="s">
        <v>26</v>
      </c>
      <c r="F618" t="s">
        <v>27</v>
      </c>
      <c r="G618" t="s">
        <v>20</v>
      </c>
      <c r="H618">
        <v>211</v>
      </c>
      <c r="I618">
        <v>152</v>
      </c>
      <c r="J618">
        <v>7</v>
      </c>
      <c r="K618">
        <v>3.3</v>
      </c>
      <c r="L618">
        <v>614.07000000000005</v>
      </c>
    </row>
    <row r="619" spans="1:12" x14ac:dyDescent="0.35">
      <c r="A619" s="1">
        <v>45432</v>
      </c>
      <c r="B619" t="s">
        <v>33</v>
      </c>
      <c r="C619" t="s">
        <v>34</v>
      </c>
      <c r="D619" t="s">
        <v>35</v>
      </c>
      <c r="E619" t="s">
        <v>28</v>
      </c>
      <c r="F619" t="s">
        <v>29</v>
      </c>
      <c r="G619" t="s">
        <v>23</v>
      </c>
      <c r="H619">
        <v>310</v>
      </c>
      <c r="I619">
        <v>261</v>
      </c>
      <c r="J619">
        <v>12</v>
      </c>
      <c r="K619">
        <v>3.9</v>
      </c>
      <c r="L619">
        <v>1309.68</v>
      </c>
    </row>
    <row r="620" spans="1:12" x14ac:dyDescent="0.35">
      <c r="A620" s="1">
        <v>45432</v>
      </c>
      <c r="B620" t="s">
        <v>36</v>
      </c>
      <c r="C620" t="s">
        <v>37</v>
      </c>
      <c r="D620" t="s">
        <v>38</v>
      </c>
      <c r="E620" t="s">
        <v>15</v>
      </c>
      <c r="F620" t="s">
        <v>16</v>
      </c>
      <c r="G620" t="s">
        <v>17</v>
      </c>
      <c r="H620">
        <v>370</v>
      </c>
      <c r="I620">
        <v>328</v>
      </c>
      <c r="J620">
        <v>16</v>
      </c>
      <c r="K620">
        <v>4.3</v>
      </c>
      <c r="L620">
        <v>1894.58</v>
      </c>
    </row>
    <row r="621" spans="1:12" x14ac:dyDescent="0.35">
      <c r="A621" s="1">
        <v>45432</v>
      </c>
      <c r="B621" t="s">
        <v>36</v>
      </c>
      <c r="C621" t="s">
        <v>37</v>
      </c>
      <c r="D621" t="s">
        <v>38</v>
      </c>
      <c r="E621" t="s">
        <v>18</v>
      </c>
      <c r="F621" t="s">
        <v>19</v>
      </c>
      <c r="G621" t="s">
        <v>20</v>
      </c>
      <c r="H621">
        <v>303</v>
      </c>
      <c r="I621">
        <v>264</v>
      </c>
      <c r="J621">
        <v>18</v>
      </c>
      <c r="K621">
        <v>5.9</v>
      </c>
      <c r="L621">
        <v>1861.06</v>
      </c>
    </row>
    <row r="622" spans="1:12" x14ac:dyDescent="0.35">
      <c r="A622" s="1">
        <v>45432</v>
      </c>
      <c r="B622" t="s">
        <v>36</v>
      </c>
      <c r="C622" t="s">
        <v>37</v>
      </c>
      <c r="D622" t="s">
        <v>38</v>
      </c>
      <c r="E622" t="s">
        <v>21</v>
      </c>
      <c r="F622" t="s">
        <v>22</v>
      </c>
      <c r="G622" t="s">
        <v>23</v>
      </c>
      <c r="H622">
        <v>430</v>
      </c>
      <c r="I622">
        <v>298</v>
      </c>
      <c r="J622">
        <v>29</v>
      </c>
      <c r="K622">
        <v>6.7</v>
      </c>
      <c r="L622">
        <v>1272.3</v>
      </c>
    </row>
    <row r="623" spans="1:12" x14ac:dyDescent="0.35">
      <c r="A623" s="1">
        <v>45432</v>
      </c>
      <c r="B623" t="s">
        <v>36</v>
      </c>
      <c r="C623" t="s">
        <v>37</v>
      </c>
      <c r="D623" t="s">
        <v>38</v>
      </c>
      <c r="E623" t="s">
        <v>24</v>
      </c>
      <c r="F623" t="s">
        <v>25</v>
      </c>
      <c r="G623" t="s">
        <v>17</v>
      </c>
      <c r="H623">
        <v>526</v>
      </c>
      <c r="I623">
        <v>378</v>
      </c>
      <c r="J623">
        <v>22</v>
      </c>
      <c r="K623">
        <v>4.2</v>
      </c>
      <c r="L623">
        <v>2958.83</v>
      </c>
    </row>
    <row r="624" spans="1:12" x14ac:dyDescent="0.35">
      <c r="A624" s="1">
        <v>45432</v>
      </c>
      <c r="B624" t="s">
        <v>36</v>
      </c>
      <c r="C624" t="s">
        <v>37</v>
      </c>
      <c r="D624" t="s">
        <v>38</v>
      </c>
      <c r="E624" t="s">
        <v>26</v>
      </c>
      <c r="F624" t="s">
        <v>27</v>
      </c>
      <c r="G624" t="s">
        <v>20</v>
      </c>
      <c r="H624">
        <v>364</v>
      </c>
      <c r="I624">
        <v>308</v>
      </c>
      <c r="J624">
        <v>27</v>
      </c>
      <c r="K624">
        <v>7.4</v>
      </c>
      <c r="L624">
        <v>942.06</v>
      </c>
    </row>
    <row r="625" spans="1:12" x14ac:dyDescent="0.35">
      <c r="A625" s="1">
        <v>45432</v>
      </c>
      <c r="B625" t="s">
        <v>36</v>
      </c>
      <c r="C625" t="s">
        <v>37</v>
      </c>
      <c r="D625" t="s">
        <v>38</v>
      </c>
      <c r="E625" t="s">
        <v>28</v>
      </c>
      <c r="F625" t="s">
        <v>29</v>
      </c>
      <c r="G625" t="s">
        <v>23</v>
      </c>
      <c r="H625">
        <v>694</v>
      </c>
      <c r="I625">
        <v>583</v>
      </c>
      <c r="J625">
        <v>42</v>
      </c>
      <c r="K625">
        <v>6.1</v>
      </c>
      <c r="L625">
        <v>3581.9</v>
      </c>
    </row>
    <row r="626" spans="1:12" x14ac:dyDescent="0.35">
      <c r="A626" s="1">
        <v>45432</v>
      </c>
      <c r="B626" t="s">
        <v>39</v>
      </c>
      <c r="C626" t="s">
        <v>40</v>
      </c>
      <c r="D626" t="s">
        <v>14</v>
      </c>
      <c r="E626" t="s">
        <v>15</v>
      </c>
      <c r="F626" t="s">
        <v>16</v>
      </c>
      <c r="G626" t="s">
        <v>17</v>
      </c>
      <c r="H626">
        <v>644</v>
      </c>
      <c r="I626">
        <v>445</v>
      </c>
      <c r="J626">
        <v>24</v>
      </c>
      <c r="K626">
        <v>3.7</v>
      </c>
      <c r="L626">
        <v>1619.76</v>
      </c>
    </row>
    <row r="627" spans="1:12" x14ac:dyDescent="0.35">
      <c r="A627" s="1">
        <v>45432</v>
      </c>
      <c r="B627" t="s">
        <v>39</v>
      </c>
      <c r="C627" t="s">
        <v>40</v>
      </c>
      <c r="D627" t="s">
        <v>14</v>
      </c>
      <c r="E627" t="s">
        <v>18</v>
      </c>
      <c r="F627" t="s">
        <v>19</v>
      </c>
      <c r="G627" t="s">
        <v>20</v>
      </c>
      <c r="H627">
        <v>767</v>
      </c>
      <c r="I627">
        <v>648</v>
      </c>
      <c r="J627">
        <v>38</v>
      </c>
      <c r="K627">
        <v>5</v>
      </c>
      <c r="L627">
        <v>2714.56</v>
      </c>
    </row>
    <row r="628" spans="1:12" x14ac:dyDescent="0.35">
      <c r="A628" s="1">
        <v>45432</v>
      </c>
      <c r="B628" t="s">
        <v>39</v>
      </c>
      <c r="C628" t="s">
        <v>40</v>
      </c>
      <c r="D628" t="s">
        <v>14</v>
      </c>
      <c r="E628" t="s">
        <v>21</v>
      </c>
      <c r="F628" t="s">
        <v>22</v>
      </c>
      <c r="G628" t="s">
        <v>23</v>
      </c>
      <c r="H628">
        <v>443</v>
      </c>
      <c r="I628">
        <v>299</v>
      </c>
      <c r="J628">
        <v>32</v>
      </c>
      <c r="K628">
        <v>7.2</v>
      </c>
      <c r="L628">
        <v>1628.26</v>
      </c>
    </row>
    <row r="629" spans="1:12" x14ac:dyDescent="0.35">
      <c r="A629" s="1">
        <v>45432</v>
      </c>
      <c r="B629" t="s">
        <v>39</v>
      </c>
      <c r="C629" t="s">
        <v>40</v>
      </c>
      <c r="D629" t="s">
        <v>14</v>
      </c>
      <c r="E629" t="s">
        <v>24</v>
      </c>
      <c r="F629" t="s">
        <v>25</v>
      </c>
      <c r="G629" t="s">
        <v>17</v>
      </c>
      <c r="H629">
        <v>255</v>
      </c>
      <c r="I629">
        <v>190</v>
      </c>
      <c r="J629">
        <v>13</v>
      </c>
      <c r="K629">
        <v>5.0999999999999996</v>
      </c>
      <c r="L629">
        <v>1229.7</v>
      </c>
    </row>
    <row r="630" spans="1:12" x14ac:dyDescent="0.35">
      <c r="A630" s="1">
        <v>45432</v>
      </c>
      <c r="B630" t="s">
        <v>39</v>
      </c>
      <c r="C630" t="s">
        <v>40</v>
      </c>
      <c r="D630" t="s">
        <v>14</v>
      </c>
      <c r="E630" t="s">
        <v>26</v>
      </c>
      <c r="F630" t="s">
        <v>27</v>
      </c>
      <c r="G630" t="s">
        <v>20</v>
      </c>
      <c r="H630">
        <v>691</v>
      </c>
      <c r="I630">
        <v>486</v>
      </c>
      <c r="J630">
        <v>21</v>
      </c>
      <c r="K630">
        <v>3</v>
      </c>
      <c r="L630">
        <v>2065.92</v>
      </c>
    </row>
    <row r="631" spans="1:12" x14ac:dyDescent="0.35">
      <c r="A631" s="1">
        <v>45432</v>
      </c>
      <c r="B631" t="s">
        <v>39</v>
      </c>
      <c r="C631" t="s">
        <v>40</v>
      </c>
      <c r="D631" t="s">
        <v>14</v>
      </c>
      <c r="E631" t="s">
        <v>28</v>
      </c>
      <c r="F631" t="s">
        <v>29</v>
      </c>
      <c r="G631" t="s">
        <v>23</v>
      </c>
      <c r="H631">
        <v>283</v>
      </c>
      <c r="I631">
        <v>220</v>
      </c>
      <c r="J631">
        <v>17</v>
      </c>
      <c r="K631">
        <v>6</v>
      </c>
      <c r="L631">
        <v>1171.6500000000001</v>
      </c>
    </row>
    <row r="632" spans="1:12" x14ac:dyDescent="0.35">
      <c r="A632" s="1">
        <v>45439</v>
      </c>
      <c r="B632" t="s">
        <v>12</v>
      </c>
      <c r="C632" t="s">
        <v>13</v>
      </c>
      <c r="D632" t="s">
        <v>14</v>
      </c>
      <c r="E632" t="s">
        <v>15</v>
      </c>
      <c r="F632" t="s">
        <v>16</v>
      </c>
      <c r="G632" t="s">
        <v>17</v>
      </c>
      <c r="H632">
        <v>471</v>
      </c>
      <c r="I632">
        <v>317</v>
      </c>
      <c r="J632">
        <v>30</v>
      </c>
      <c r="K632">
        <v>6.4</v>
      </c>
      <c r="L632">
        <v>2476.71</v>
      </c>
    </row>
    <row r="633" spans="1:12" x14ac:dyDescent="0.35">
      <c r="A633" s="1">
        <v>45439</v>
      </c>
      <c r="B633" t="s">
        <v>12</v>
      </c>
      <c r="C633" t="s">
        <v>13</v>
      </c>
      <c r="D633" t="s">
        <v>14</v>
      </c>
      <c r="E633" t="s">
        <v>18</v>
      </c>
      <c r="F633" t="s">
        <v>19</v>
      </c>
      <c r="G633" t="s">
        <v>20</v>
      </c>
      <c r="H633">
        <v>578</v>
      </c>
      <c r="I633">
        <v>404</v>
      </c>
      <c r="J633">
        <v>26</v>
      </c>
      <c r="K633">
        <v>4.5</v>
      </c>
      <c r="L633">
        <v>1648.48</v>
      </c>
    </row>
    <row r="634" spans="1:12" x14ac:dyDescent="0.35">
      <c r="A634" s="1">
        <v>45439</v>
      </c>
      <c r="B634" t="s">
        <v>12</v>
      </c>
      <c r="C634" t="s">
        <v>13</v>
      </c>
      <c r="D634" t="s">
        <v>14</v>
      </c>
      <c r="E634" t="s">
        <v>21</v>
      </c>
      <c r="F634" t="s">
        <v>22</v>
      </c>
      <c r="G634" t="s">
        <v>23</v>
      </c>
      <c r="H634">
        <v>475</v>
      </c>
      <c r="I634">
        <v>381</v>
      </c>
      <c r="J634">
        <v>27</v>
      </c>
      <c r="K634">
        <v>5.7</v>
      </c>
      <c r="L634">
        <v>1173.56</v>
      </c>
    </row>
    <row r="635" spans="1:12" x14ac:dyDescent="0.35">
      <c r="A635" s="1">
        <v>45439</v>
      </c>
      <c r="B635" t="s">
        <v>12</v>
      </c>
      <c r="C635" t="s">
        <v>13</v>
      </c>
      <c r="D635" t="s">
        <v>14</v>
      </c>
      <c r="E635" t="s">
        <v>24</v>
      </c>
      <c r="F635" t="s">
        <v>25</v>
      </c>
      <c r="G635" t="s">
        <v>17</v>
      </c>
      <c r="H635">
        <v>552</v>
      </c>
      <c r="I635">
        <v>479</v>
      </c>
      <c r="J635">
        <v>34</v>
      </c>
      <c r="K635">
        <v>6.2</v>
      </c>
      <c r="L635">
        <v>1851.37</v>
      </c>
    </row>
    <row r="636" spans="1:12" x14ac:dyDescent="0.35">
      <c r="A636" s="1">
        <v>45439</v>
      </c>
      <c r="B636" t="s">
        <v>12</v>
      </c>
      <c r="C636" t="s">
        <v>13</v>
      </c>
      <c r="D636" t="s">
        <v>14</v>
      </c>
      <c r="E636" t="s">
        <v>26</v>
      </c>
      <c r="F636" t="s">
        <v>27</v>
      </c>
      <c r="G636" t="s">
        <v>20</v>
      </c>
      <c r="H636">
        <v>262</v>
      </c>
      <c r="I636">
        <v>229</v>
      </c>
      <c r="J636">
        <v>14</v>
      </c>
      <c r="K636">
        <v>5.3</v>
      </c>
      <c r="L636">
        <v>1308.3</v>
      </c>
    </row>
    <row r="637" spans="1:12" x14ac:dyDescent="0.35">
      <c r="A637" s="1">
        <v>45439</v>
      </c>
      <c r="B637" t="s">
        <v>12</v>
      </c>
      <c r="C637" t="s">
        <v>13</v>
      </c>
      <c r="D637" t="s">
        <v>14</v>
      </c>
      <c r="E637" t="s">
        <v>28</v>
      </c>
      <c r="F637" t="s">
        <v>29</v>
      </c>
      <c r="G637" t="s">
        <v>23</v>
      </c>
      <c r="H637">
        <v>686</v>
      </c>
      <c r="I637">
        <v>551</v>
      </c>
      <c r="J637">
        <v>28</v>
      </c>
      <c r="K637">
        <v>4.0999999999999996</v>
      </c>
      <c r="L637">
        <v>2682.72</v>
      </c>
    </row>
    <row r="638" spans="1:12" x14ac:dyDescent="0.35">
      <c r="A638" s="1">
        <v>45439</v>
      </c>
      <c r="B638" t="s">
        <v>30</v>
      </c>
      <c r="C638" t="s">
        <v>31</v>
      </c>
      <c r="D638" t="s">
        <v>32</v>
      </c>
      <c r="E638" t="s">
        <v>15</v>
      </c>
      <c r="F638" t="s">
        <v>16</v>
      </c>
      <c r="G638" t="s">
        <v>17</v>
      </c>
      <c r="H638">
        <v>235</v>
      </c>
      <c r="I638">
        <v>184</v>
      </c>
      <c r="J638">
        <v>22</v>
      </c>
      <c r="K638">
        <v>9.4</v>
      </c>
      <c r="L638">
        <v>1208</v>
      </c>
    </row>
    <row r="639" spans="1:12" x14ac:dyDescent="0.35">
      <c r="A639" s="1">
        <v>45439</v>
      </c>
      <c r="B639" t="s">
        <v>30</v>
      </c>
      <c r="C639" t="s">
        <v>31</v>
      </c>
      <c r="D639" t="s">
        <v>32</v>
      </c>
      <c r="E639" t="s">
        <v>18</v>
      </c>
      <c r="F639" t="s">
        <v>19</v>
      </c>
      <c r="G639" t="s">
        <v>20</v>
      </c>
      <c r="H639">
        <v>350</v>
      </c>
      <c r="I639">
        <v>238</v>
      </c>
      <c r="J639">
        <v>26</v>
      </c>
      <c r="K639">
        <v>7.4</v>
      </c>
      <c r="L639">
        <v>2000.68</v>
      </c>
    </row>
    <row r="640" spans="1:12" x14ac:dyDescent="0.35">
      <c r="A640" s="1">
        <v>45439</v>
      </c>
      <c r="B640" t="s">
        <v>30</v>
      </c>
      <c r="C640" t="s">
        <v>31</v>
      </c>
      <c r="D640" t="s">
        <v>32</v>
      </c>
      <c r="E640" t="s">
        <v>21</v>
      </c>
      <c r="F640" t="s">
        <v>22</v>
      </c>
      <c r="G640" t="s">
        <v>23</v>
      </c>
      <c r="H640">
        <v>416</v>
      </c>
      <c r="I640">
        <v>361</v>
      </c>
      <c r="J640">
        <v>16</v>
      </c>
      <c r="K640">
        <v>3.8</v>
      </c>
      <c r="L640">
        <v>3043.11</v>
      </c>
    </row>
    <row r="641" spans="1:12" x14ac:dyDescent="0.35">
      <c r="A641" s="1">
        <v>45439</v>
      </c>
      <c r="B641" t="s">
        <v>30</v>
      </c>
      <c r="C641" t="s">
        <v>31</v>
      </c>
      <c r="D641" t="s">
        <v>32</v>
      </c>
      <c r="E641" t="s">
        <v>24</v>
      </c>
      <c r="F641" t="s">
        <v>25</v>
      </c>
      <c r="G641" t="s">
        <v>17</v>
      </c>
      <c r="H641">
        <v>645</v>
      </c>
      <c r="I641">
        <v>454</v>
      </c>
      <c r="J641">
        <v>47</v>
      </c>
      <c r="K641">
        <v>7.3</v>
      </c>
      <c r="L641">
        <v>2755.91</v>
      </c>
    </row>
    <row r="642" spans="1:12" x14ac:dyDescent="0.35">
      <c r="A642" s="1">
        <v>45439</v>
      </c>
      <c r="B642" t="s">
        <v>30</v>
      </c>
      <c r="C642" t="s">
        <v>31</v>
      </c>
      <c r="D642" t="s">
        <v>32</v>
      </c>
      <c r="E642" t="s">
        <v>26</v>
      </c>
      <c r="F642" t="s">
        <v>27</v>
      </c>
      <c r="G642" t="s">
        <v>20</v>
      </c>
      <c r="H642">
        <v>527</v>
      </c>
      <c r="I642">
        <v>472</v>
      </c>
      <c r="J642">
        <v>18</v>
      </c>
      <c r="K642">
        <v>3.4</v>
      </c>
      <c r="L642">
        <v>2279.1</v>
      </c>
    </row>
    <row r="643" spans="1:12" x14ac:dyDescent="0.35">
      <c r="A643" s="1">
        <v>45439</v>
      </c>
      <c r="B643" t="s">
        <v>30</v>
      </c>
      <c r="C643" t="s">
        <v>31</v>
      </c>
      <c r="D643" t="s">
        <v>32</v>
      </c>
      <c r="E643" t="s">
        <v>28</v>
      </c>
      <c r="F643" t="s">
        <v>29</v>
      </c>
      <c r="G643" t="s">
        <v>23</v>
      </c>
      <c r="H643">
        <v>606</v>
      </c>
      <c r="I643">
        <v>484</v>
      </c>
      <c r="J643">
        <v>45</v>
      </c>
      <c r="K643">
        <v>7.4</v>
      </c>
      <c r="L643">
        <v>3873.44</v>
      </c>
    </row>
    <row r="644" spans="1:12" x14ac:dyDescent="0.35">
      <c r="A644" s="1">
        <v>45439</v>
      </c>
      <c r="B644" t="s">
        <v>33</v>
      </c>
      <c r="C644" t="s">
        <v>34</v>
      </c>
      <c r="D644" t="s">
        <v>35</v>
      </c>
      <c r="E644" t="s">
        <v>15</v>
      </c>
      <c r="F644" t="s">
        <v>16</v>
      </c>
      <c r="G644" t="s">
        <v>17</v>
      </c>
      <c r="H644">
        <v>212</v>
      </c>
      <c r="I644">
        <v>182</v>
      </c>
      <c r="J644">
        <v>12</v>
      </c>
      <c r="K644">
        <v>5.7</v>
      </c>
      <c r="L644">
        <v>913.2</v>
      </c>
    </row>
    <row r="645" spans="1:12" x14ac:dyDescent="0.35">
      <c r="A645" s="1">
        <v>45439</v>
      </c>
      <c r="B645" t="s">
        <v>33</v>
      </c>
      <c r="C645" t="s">
        <v>34</v>
      </c>
      <c r="D645" t="s">
        <v>35</v>
      </c>
      <c r="E645" t="s">
        <v>18</v>
      </c>
      <c r="F645" t="s">
        <v>19</v>
      </c>
      <c r="G645" t="s">
        <v>20</v>
      </c>
      <c r="H645">
        <v>624</v>
      </c>
      <c r="I645">
        <v>430</v>
      </c>
      <c r="J645">
        <v>51</v>
      </c>
      <c r="K645">
        <v>8.1999999999999993</v>
      </c>
      <c r="L645">
        <v>3564.27</v>
      </c>
    </row>
    <row r="646" spans="1:12" x14ac:dyDescent="0.35">
      <c r="A646" s="1">
        <v>45439</v>
      </c>
      <c r="B646" t="s">
        <v>33</v>
      </c>
      <c r="C646" t="s">
        <v>34</v>
      </c>
      <c r="D646" t="s">
        <v>35</v>
      </c>
      <c r="E646" t="s">
        <v>21</v>
      </c>
      <c r="F646" t="s">
        <v>22</v>
      </c>
      <c r="G646" t="s">
        <v>23</v>
      </c>
      <c r="H646">
        <v>302</v>
      </c>
      <c r="I646">
        <v>271</v>
      </c>
      <c r="J646">
        <v>8</v>
      </c>
      <c r="K646">
        <v>2.6</v>
      </c>
      <c r="L646">
        <v>1142.69</v>
      </c>
    </row>
    <row r="647" spans="1:12" x14ac:dyDescent="0.35">
      <c r="A647" s="1">
        <v>45439</v>
      </c>
      <c r="B647" t="s">
        <v>33</v>
      </c>
      <c r="C647" t="s">
        <v>34</v>
      </c>
      <c r="D647" t="s">
        <v>35</v>
      </c>
      <c r="E647" t="s">
        <v>24</v>
      </c>
      <c r="F647" t="s">
        <v>25</v>
      </c>
      <c r="G647" t="s">
        <v>17</v>
      </c>
      <c r="H647">
        <v>748</v>
      </c>
      <c r="I647">
        <v>663</v>
      </c>
      <c r="J647">
        <v>34</v>
      </c>
      <c r="K647">
        <v>4.5</v>
      </c>
      <c r="L647">
        <v>4262.25</v>
      </c>
    </row>
    <row r="648" spans="1:12" x14ac:dyDescent="0.35">
      <c r="A648" s="1">
        <v>45439</v>
      </c>
      <c r="B648" t="s">
        <v>33</v>
      </c>
      <c r="C648" t="s">
        <v>34</v>
      </c>
      <c r="D648" t="s">
        <v>35</v>
      </c>
      <c r="E648" t="s">
        <v>26</v>
      </c>
      <c r="F648" t="s">
        <v>27</v>
      </c>
      <c r="G648" t="s">
        <v>20</v>
      </c>
      <c r="H648">
        <v>785</v>
      </c>
      <c r="I648">
        <v>639</v>
      </c>
      <c r="J648">
        <v>25</v>
      </c>
      <c r="K648">
        <v>3.2</v>
      </c>
      <c r="L648">
        <v>2149.0300000000002</v>
      </c>
    </row>
    <row r="649" spans="1:12" x14ac:dyDescent="0.35">
      <c r="A649" s="1">
        <v>45439</v>
      </c>
      <c r="B649" t="s">
        <v>33</v>
      </c>
      <c r="C649" t="s">
        <v>34</v>
      </c>
      <c r="D649" t="s">
        <v>35</v>
      </c>
      <c r="E649" t="s">
        <v>28</v>
      </c>
      <c r="F649" t="s">
        <v>29</v>
      </c>
      <c r="G649" t="s">
        <v>23</v>
      </c>
      <c r="H649">
        <v>611</v>
      </c>
      <c r="I649">
        <v>403</v>
      </c>
      <c r="J649">
        <v>57</v>
      </c>
      <c r="K649">
        <v>9.3000000000000007</v>
      </c>
      <c r="L649">
        <v>1581.97</v>
      </c>
    </row>
    <row r="650" spans="1:12" x14ac:dyDescent="0.35">
      <c r="A650" s="1">
        <v>45439</v>
      </c>
      <c r="B650" t="s">
        <v>36</v>
      </c>
      <c r="C650" t="s">
        <v>37</v>
      </c>
      <c r="D650" t="s">
        <v>38</v>
      </c>
      <c r="E650" t="s">
        <v>15</v>
      </c>
      <c r="F650" t="s">
        <v>16</v>
      </c>
      <c r="G650" t="s">
        <v>17</v>
      </c>
      <c r="H650">
        <v>686</v>
      </c>
      <c r="I650">
        <v>616</v>
      </c>
      <c r="J650">
        <v>21</v>
      </c>
      <c r="K650">
        <v>3.1</v>
      </c>
      <c r="L650">
        <v>4561.0600000000004</v>
      </c>
    </row>
    <row r="651" spans="1:12" x14ac:dyDescent="0.35">
      <c r="A651" s="1">
        <v>45439</v>
      </c>
      <c r="B651" t="s">
        <v>36</v>
      </c>
      <c r="C651" t="s">
        <v>37</v>
      </c>
      <c r="D651" t="s">
        <v>38</v>
      </c>
      <c r="E651" t="s">
        <v>18</v>
      </c>
      <c r="F651" t="s">
        <v>19</v>
      </c>
      <c r="G651" t="s">
        <v>20</v>
      </c>
      <c r="H651">
        <v>510</v>
      </c>
      <c r="I651">
        <v>374</v>
      </c>
      <c r="J651">
        <v>53</v>
      </c>
      <c r="K651">
        <v>10.4</v>
      </c>
      <c r="L651">
        <v>2471.81</v>
      </c>
    </row>
    <row r="652" spans="1:12" x14ac:dyDescent="0.35">
      <c r="A652" s="1">
        <v>45439</v>
      </c>
      <c r="B652" t="s">
        <v>36</v>
      </c>
      <c r="C652" t="s">
        <v>37</v>
      </c>
      <c r="D652" t="s">
        <v>38</v>
      </c>
      <c r="E652" t="s">
        <v>21</v>
      </c>
      <c r="F652" t="s">
        <v>22</v>
      </c>
      <c r="G652" t="s">
        <v>23</v>
      </c>
      <c r="H652">
        <v>433</v>
      </c>
      <c r="I652">
        <v>297</v>
      </c>
      <c r="J652">
        <v>43</v>
      </c>
      <c r="K652">
        <v>9.9</v>
      </c>
      <c r="L652">
        <v>2214.12</v>
      </c>
    </row>
    <row r="653" spans="1:12" x14ac:dyDescent="0.35">
      <c r="A653" s="1">
        <v>45439</v>
      </c>
      <c r="B653" t="s">
        <v>36</v>
      </c>
      <c r="C653" t="s">
        <v>37</v>
      </c>
      <c r="D653" t="s">
        <v>38</v>
      </c>
      <c r="E653" t="s">
        <v>24</v>
      </c>
      <c r="F653" t="s">
        <v>25</v>
      </c>
      <c r="G653" t="s">
        <v>17</v>
      </c>
      <c r="H653">
        <v>475</v>
      </c>
      <c r="I653">
        <v>402</v>
      </c>
      <c r="J653">
        <v>17</v>
      </c>
      <c r="K653">
        <v>3.6</v>
      </c>
      <c r="L653">
        <v>2070.42</v>
      </c>
    </row>
    <row r="654" spans="1:12" x14ac:dyDescent="0.35">
      <c r="A654" s="1">
        <v>45439</v>
      </c>
      <c r="B654" t="s">
        <v>36</v>
      </c>
      <c r="C654" t="s">
        <v>37</v>
      </c>
      <c r="D654" t="s">
        <v>38</v>
      </c>
      <c r="E654" t="s">
        <v>26</v>
      </c>
      <c r="F654" t="s">
        <v>27</v>
      </c>
      <c r="G654" t="s">
        <v>20</v>
      </c>
      <c r="H654">
        <v>616</v>
      </c>
      <c r="I654">
        <v>523</v>
      </c>
      <c r="J654">
        <v>49</v>
      </c>
      <c r="K654">
        <v>8</v>
      </c>
      <c r="L654">
        <v>3883.85</v>
      </c>
    </row>
    <row r="655" spans="1:12" x14ac:dyDescent="0.35">
      <c r="A655" s="1">
        <v>45439</v>
      </c>
      <c r="B655" t="s">
        <v>36</v>
      </c>
      <c r="C655" t="s">
        <v>37</v>
      </c>
      <c r="D655" t="s">
        <v>38</v>
      </c>
      <c r="E655" t="s">
        <v>28</v>
      </c>
      <c r="F655" t="s">
        <v>29</v>
      </c>
      <c r="G655" t="s">
        <v>23</v>
      </c>
      <c r="H655">
        <v>727</v>
      </c>
      <c r="I655">
        <v>627</v>
      </c>
      <c r="J655">
        <v>38</v>
      </c>
      <c r="K655">
        <v>5.2</v>
      </c>
      <c r="L655">
        <v>3085.03</v>
      </c>
    </row>
    <row r="656" spans="1:12" x14ac:dyDescent="0.35">
      <c r="A656" s="1">
        <v>45439</v>
      </c>
      <c r="B656" t="s">
        <v>39</v>
      </c>
      <c r="C656" t="s">
        <v>40</v>
      </c>
      <c r="D656" t="s">
        <v>14</v>
      </c>
      <c r="E656" t="s">
        <v>15</v>
      </c>
      <c r="F656" t="s">
        <v>16</v>
      </c>
      <c r="G656" t="s">
        <v>17</v>
      </c>
      <c r="H656">
        <v>736</v>
      </c>
      <c r="I656">
        <v>653</v>
      </c>
      <c r="J656">
        <v>18</v>
      </c>
      <c r="K656">
        <v>2.4</v>
      </c>
      <c r="L656">
        <v>4895.92</v>
      </c>
    </row>
    <row r="657" spans="1:12" x14ac:dyDescent="0.35">
      <c r="A657" s="1">
        <v>45439</v>
      </c>
      <c r="B657" t="s">
        <v>39</v>
      </c>
      <c r="C657" t="s">
        <v>40</v>
      </c>
      <c r="D657" t="s">
        <v>14</v>
      </c>
      <c r="E657" t="s">
        <v>18</v>
      </c>
      <c r="F657" t="s">
        <v>19</v>
      </c>
      <c r="G657" t="s">
        <v>20</v>
      </c>
      <c r="H657">
        <v>259</v>
      </c>
      <c r="I657">
        <v>185</v>
      </c>
      <c r="J657">
        <v>23</v>
      </c>
      <c r="K657">
        <v>8.9</v>
      </c>
      <c r="L657">
        <v>1244.6400000000001</v>
      </c>
    </row>
    <row r="658" spans="1:12" x14ac:dyDescent="0.35">
      <c r="A658" s="1">
        <v>45439</v>
      </c>
      <c r="B658" t="s">
        <v>39</v>
      </c>
      <c r="C658" t="s">
        <v>40</v>
      </c>
      <c r="D658" t="s">
        <v>14</v>
      </c>
      <c r="E658" t="s">
        <v>21</v>
      </c>
      <c r="F658" t="s">
        <v>22</v>
      </c>
      <c r="G658" t="s">
        <v>23</v>
      </c>
      <c r="H658">
        <v>480</v>
      </c>
      <c r="I658">
        <v>359</v>
      </c>
      <c r="J658">
        <v>29</v>
      </c>
      <c r="K658">
        <v>6</v>
      </c>
      <c r="L658">
        <v>2885.8</v>
      </c>
    </row>
    <row r="659" spans="1:12" x14ac:dyDescent="0.35">
      <c r="A659" s="1">
        <v>45439</v>
      </c>
      <c r="B659" t="s">
        <v>39</v>
      </c>
      <c r="C659" t="s">
        <v>40</v>
      </c>
      <c r="D659" t="s">
        <v>14</v>
      </c>
      <c r="E659" t="s">
        <v>24</v>
      </c>
      <c r="F659" t="s">
        <v>25</v>
      </c>
      <c r="G659" t="s">
        <v>17</v>
      </c>
      <c r="H659">
        <v>231</v>
      </c>
      <c r="I659">
        <v>165</v>
      </c>
      <c r="J659">
        <v>15</v>
      </c>
      <c r="K659">
        <v>6.5</v>
      </c>
      <c r="L659">
        <v>1363.42</v>
      </c>
    </row>
    <row r="660" spans="1:12" x14ac:dyDescent="0.35">
      <c r="A660" s="1">
        <v>45439</v>
      </c>
      <c r="B660" t="s">
        <v>39</v>
      </c>
      <c r="C660" t="s">
        <v>40</v>
      </c>
      <c r="D660" t="s">
        <v>14</v>
      </c>
      <c r="E660" t="s">
        <v>26</v>
      </c>
      <c r="F660" t="s">
        <v>27</v>
      </c>
      <c r="G660" t="s">
        <v>20</v>
      </c>
      <c r="H660">
        <v>685</v>
      </c>
      <c r="I660">
        <v>553</v>
      </c>
      <c r="J660">
        <v>26</v>
      </c>
      <c r="K660">
        <v>3.8</v>
      </c>
      <c r="L660">
        <v>4350.42</v>
      </c>
    </row>
    <row r="661" spans="1:12" x14ac:dyDescent="0.35">
      <c r="A661" s="1">
        <v>45439</v>
      </c>
      <c r="B661" t="s">
        <v>39</v>
      </c>
      <c r="C661" t="s">
        <v>40</v>
      </c>
      <c r="D661" t="s">
        <v>14</v>
      </c>
      <c r="E661" t="s">
        <v>28</v>
      </c>
      <c r="F661" t="s">
        <v>29</v>
      </c>
      <c r="G661" t="s">
        <v>23</v>
      </c>
      <c r="H661">
        <v>292</v>
      </c>
      <c r="I661">
        <v>212</v>
      </c>
      <c r="J661">
        <v>14</v>
      </c>
      <c r="K661">
        <v>4.8</v>
      </c>
      <c r="L661">
        <v>1257.9100000000001</v>
      </c>
    </row>
    <row r="662" spans="1:12" x14ac:dyDescent="0.35">
      <c r="A662" s="1">
        <v>45446</v>
      </c>
      <c r="B662" t="s">
        <v>12</v>
      </c>
      <c r="C662" t="s">
        <v>13</v>
      </c>
      <c r="D662" t="s">
        <v>14</v>
      </c>
      <c r="E662" t="s">
        <v>15</v>
      </c>
      <c r="F662" t="s">
        <v>16</v>
      </c>
      <c r="G662" t="s">
        <v>17</v>
      </c>
      <c r="H662">
        <v>419</v>
      </c>
      <c r="I662">
        <v>369</v>
      </c>
      <c r="J662">
        <v>26</v>
      </c>
      <c r="K662">
        <v>6.2</v>
      </c>
      <c r="L662">
        <v>1518.25</v>
      </c>
    </row>
    <row r="663" spans="1:12" x14ac:dyDescent="0.35">
      <c r="A663" s="1">
        <v>45446</v>
      </c>
      <c r="B663" t="s">
        <v>12</v>
      </c>
      <c r="C663" t="s">
        <v>13</v>
      </c>
      <c r="D663" t="s">
        <v>14</v>
      </c>
      <c r="E663" t="s">
        <v>18</v>
      </c>
      <c r="F663" t="s">
        <v>19</v>
      </c>
      <c r="G663" t="s">
        <v>20</v>
      </c>
      <c r="H663">
        <v>619</v>
      </c>
      <c r="I663">
        <v>488</v>
      </c>
      <c r="J663">
        <v>61</v>
      </c>
      <c r="K663">
        <v>9.9</v>
      </c>
      <c r="L663">
        <v>3217.48</v>
      </c>
    </row>
    <row r="664" spans="1:12" x14ac:dyDescent="0.35">
      <c r="A664" s="1">
        <v>45446</v>
      </c>
      <c r="B664" t="s">
        <v>12</v>
      </c>
      <c r="C664" t="s">
        <v>13</v>
      </c>
      <c r="D664" t="s">
        <v>14</v>
      </c>
      <c r="E664" t="s">
        <v>21</v>
      </c>
      <c r="F664" t="s">
        <v>22</v>
      </c>
      <c r="G664" t="s">
        <v>23</v>
      </c>
      <c r="H664">
        <v>685</v>
      </c>
      <c r="I664">
        <v>613</v>
      </c>
      <c r="J664">
        <v>38</v>
      </c>
      <c r="K664">
        <v>5.5</v>
      </c>
      <c r="L664">
        <v>1563.63</v>
      </c>
    </row>
    <row r="665" spans="1:12" x14ac:dyDescent="0.35">
      <c r="A665" s="1">
        <v>45446</v>
      </c>
      <c r="B665" t="s">
        <v>12</v>
      </c>
      <c r="C665" t="s">
        <v>13</v>
      </c>
      <c r="D665" t="s">
        <v>14</v>
      </c>
      <c r="E665" t="s">
        <v>24</v>
      </c>
      <c r="F665" t="s">
        <v>25</v>
      </c>
      <c r="G665" t="s">
        <v>17</v>
      </c>
      <c r="H665">
        <v>458</v>
      </c>
      <c r="I665">
        <v>372</v>
      </c>
      <c r="J665">
        <v>38</v>
      </c>
      <c r="K665">
        <v>8.3000000000000007</v>
      </c>
      <c r="L665">
        <v>2513.31</v>
      </c>
    </row>
    <row r="666" spans="1:12" x14ac:dyDescent="0.35">
      <c r="A666" s="1">
        <v>45446</v>
      </c>
      <c r="B666" t="s">
        <v>12</v>
      </c>
      <c r="C666" t="s">
        <v>13</v>
      </c>
      <c r="D666" t="s">
        <v>14</v>
      </c>
      <c r="E666" t="s">
        <v>26</v>
      </c>
      <c r="F666" t="s">
        <v>27</v>
      </c>
      <c r="G666" t="s">
        <v>20</v>
      </c>
      <c r="H666">
        <v>481</v>
      </c>
      <c r="I666">
        <v>367</v>
      </c>
      <c r="J666">
        <v>25</v>
      </c>
      <c r="K666">
        <v>5.2</v>
      </c>
      <c r="L666">
        <v>1472.4</v>
      </c>
    </row>
    <row r="667" spans="1:12" x14ac:dyDescent="0.35">
      <c r="A667" s="1">
        <v>45446</v>
      </c>
      <c r="B667" t="s">
        <v>12</v>
      </c>
      <c r="C667" t="s">
        <v>13</v>
      </c>
      <c r="D667" t="s">
        <v>14</v>
      </c>
      <c r="E667" t="s">
        <v>28</v>
      </c>
      <c r="F667" t="s">
        <v>29</v>
      </c>
      <c r="G667" t="s">
        <v>23</v>
      </c>
      <c r="H667">
        <v>677</v>
      </c>
      <c r="I667">
        <v>495</v>
      </c>
      <c r="J667">
        <v>52</v>
      </c>
      <c r="K667">
        <v>7.7</v>
      </c>
      <c r="L667">
        <v>2973.43</v>
      </c>
    </row>
    <row r="668" spans="1:12" x14ac:dyDescent="0.35">
      <c r="A668" s="1">
        <v>45446</v>
      </c>
      <c r="B668" t="s">
        <v>30</v>
      </c>
      <c r="C668" t="s">
        <v>31</v>
      </c>
      <c r="D668" t="s">
        <v>32</v>
      </c>
      <c r="E668" t="s">
        <v>15</v>
      </c>
      <c r="F668" t="s">
        <v>16</v>
      </c>
      <c r="G668" t="s">
        <v>17</v>
      </c>
      <c r="H668">
        <v>207</v>
      </c>
      <c r="I668">
        <v>163</v>
      </c>
      <c r="J668">
        <v>17</v>
      </c>
      <c r="K668">
        <v>8.1999999999999993</v>
      </c>
      <c r="L668">
        <v>773.5</v>
      </c>
    </row>
    <row r="669" spans="1:12" x14ac:dyDescent="0.35">
      <c r="A669" s="1">
        <v>45446</v>
      </c>
      <c r="B669" t="s">
        <v>30</v>
      </c>
      <c r="C669" t="s">
        <v>31</v>
      </c>
      <c r="D669" t="s">
        <v>32</v>
      </c>
      <c r="E669" t="s">
        <v>18</v>
      </c>
      <c r="F669" t="s">
        <v>19</v>
      </c>
      <c r="G669" t="s">
        <v>20</v>
      </c>
      <c r="H669">
        <v>489</v>
      </c>
      <c r="I669">
        <v>357</v>
      </c>
      <c r="J669">
        <v>14</v>
      </c>
      <c r="K669">
        <v>2.9</v>
      </c>
      <c r="L669">
        <v>3009.57</v>
      </c>
    </row>
    <row r="670" spans="1:12" x14ac:dyDescent="0.35">
      <c r="A670" s="1">
        <v>45446</v>
      </c>
      <c r="B670" t="s">
        <v>30</v>
      </c>
      <c r="C670" t="s">
        <v>31</v>
      </c>
      <c r="D670" t="s">
        <v>32</v>
      </c>
      <c r="E670" t="s">
        <v>21</v>
      </c>
      <c r="F670" t="s">
        <v>22</v>
      </c>
      <c r="G670" t="s">
        <v>23</v>
      </c>
      <c r="H670">
        <v>532</v>
      </c>
      <c r="I670">
        <v>469</v>
      </c>
      <c r="J670">
        <v>29</v>
      </c>
      <c r="K670">
        <v>5.5</v>
      </c>
      <c r="L670">
        <v>3683.64</v>
      </c>
    </row>
    <row r="671" spans="1:12" x14ac:dyDescent="0.35">
      <c r="A671" s="1">
        <v>45446</v>
      </c>
      <c r="B671" t="s">
        <v>30</v>
      </c>
      <c r="C671" t="s">
        <v>31</v>
      </c>
      <c r="D671" t="s">
        <v>32</v>
      </c>
      <c r="E671" t="s">
        <v>24</v>
      </c>
      <c r="F671" t="s">
        <v>25</v>
      </c>
      <c r="G671" t="s">
        <v>17</v>
      </c>
      <c r="H671">
        <v>505</v>
      </c>
      <c r="I671">
        <v>353</v>
      </c>
      <c r="J671">
        <v>31</v>
      </c>
      <c r="K671">
        <v>6.1</v>
      </c>
      <c r="L671">
        <v>1002.75</v>
      </c>
    </row>
    <row r="672" spans="1:12" x14ac:dyDescent="0.35">
      <c r="A672" s="1">
        <v>45446</v>
      </c>
      <c r="B672" t="s">
        <v>30</v>
      </c>
      <c r="C672" t="s">
        <v>31</v>
      </c>
      <c r="D672" t="s">
        <v>32</v>
      </c>
      <c r="E672" t="s">
        <v>26</v>
      </c>
      <c r="F672" t="s">
        <v>27</v>
      </c>
      <c r="G672" t="s">
        <v>20</v>
      </c>
      <c r="H672">
        <v>613</v>
      </c>
      <c r="I672">
        <v>507</v>
      </c>
      <c r="J672">
        <v>45</v>
      </c>
      <c r="K672">
        <v>7.3</v>
      </c>
      <c r="L672">
        <v>3261.23</v>
      </c>
    </row>
    <row r="673" spans="1:12" x14ac:dyDescent="0.35">
      <c r="A673" s="1">
        <v>45446</v>
      </c>
      <c r="B673" t="s">
        <v>30</v>
      </c>
      <c r="C673" t="s">
        <v>31</v>
      </c>
      <c r="D673" t="s">
        <v>32</v>
      </c>
      <c r="E673" t="s">
        <v>28</v>
      </c>
      <c r="F673" t="s">
        <v>29</v>
      </c>
      <c r="G673" t="s">
        <v>23</v>
      </c>
      <c r="H673">
        <v>502</v>
      </c>
      <c r="I673">
        <v>361</v>
      </c>
      <c r="J673">
        <v>31</v>
      </c>
      <c r="K673">
        <v>6.2</v>
      </c>
      <c r="L673">
        <v>979</v>
      </c>
    </row>
    <row r="674" spans="1:12" x14ac:dyDescent="0.35">
      <c r="A674" s="1">
        <v>45446</v>
      </c>
      <c r="B674" t="s">
        <v>33</v>
      </c>
      <c r="C674" t="s">
        <v>34</v>
      </c>
      <c r="D674" t="s">
        <v>35</v>
      </c>
      <c r="E674" t="s">
        <v>15</v>
      </c>
      <c r="F674" t="s">
        <v>16</v>
      </c>
      <c r="G674" t="s">
        <v>17</v>
      </c>
      <c r="H674">
        <v>785</v>
      </c>
      <c r="I674">
        <v>683</v>
      </c>
      <c r="J674">
        <v>46</v>
      </c>
      <c r="K674">
        <v>5.9</v>
      </c>
      <c r="L674">
        <v>4520.03</v>
      </c>
    </row>
    <row r="675" spans="1:12" x14ac:dyDescent="0.35">
      <c r="A675" s="1">
        <v>45446</v>
      </c>
      <c r="B675" t="s">
        <v>33</v>
      </c>
      <c r="C675" t="s">
        <v>34</v>
      </c>
      <c r="D675" t="s">
        <v>35</v>
      </c>
      <c r="E675" t="s">
        <v>18</v>
      </c>
      <c r="F675" t="s">
        <v>19</v>
      </c>
      <c r="G675" t="s">
        <v>20</v>
      </c>
      <c r="H675">
        <v>687</v>
      </c>
      <c r="I675">
        <v>614</v>
      </c>
      <c r="J675">
        <v>36</v>
      </c>
      <c r="K675">
        <v>5.2</v>
      </c>
      <c r="L675">
        <v>4649.5200000000004</v>
      </c>
    </row>
    <row r="676" spans="1:12" x14ac:dyDescent="0.35">
      <c r="A676" s="1">
        <v>45446</v>
      </c>
      <c r="B676" t="s">
        <v>33</v>
      </c>
      <c r="C676" t="s">
        <v>34</v>
      </c>
      <c r="D676" t="s">
        <v>35</v>
      </c>
      <c r="E676" t="s">
        <v>21</v>
      </c>
      <c r="F676" t="s">
        <v>22</v>
      </c>
      <c r="G676" t="s">
        <v>23</v>
      </c>
      <c r="H676">
        <v>771</v>
      </c>
      <c r="I676">
        <v>538</v>
      </c>
      <c r="J676">
        <v>26</v>
      </c>
      <c r="K676">
        <v>3.4</v>
      </c>
      <c r="L676">
        <v>2179.9299999999998</v>
      </c>
    </row>
    <row r="677" spans="1:12" x14ac:dyDescent="0.35">
      <c r="A677" s="1">
        <v>45446</v>
      </c>
      <c r="B677" t="s">
        <v>33</v>
      </c>
      <c r="C677" t="s">
        <v>34</v>
      </c>
      <c r="D677" t="s">
        <v>35</v>
      </c>
      <c r="E677" t="s">
        <v>24</v>
      </c>
      <c r="F677" t="s">
        <v>25</v>
      </c>
      <c r="G677" t="s">
        <v>17</v>
      </c>
      <c r="H677">
        <v>772</v>
      </c>
      <c r="I677">
        <v>660</v>
      </c>
      <c r="J677">
        <v>42</v>
      </c>
      <c r="K677">
        <v>5.4</v>
      </c>
      <c r="L677">
        <v>2979.1</v>
      </c>
    </row>
    <row r="678" spans="1:12" x14ac:dyDescent="0.35">
      <c r="A678" s="1">
        <v>45446</v>
      </c>
      <c r="B678" t="s">
        <v>33</v>
      </c>
      <c r="C678" t="s">
        <v>34</v>
      </c>
      <c r="D678" t="s">
        <v>35</v>
      </c>
      <c r="E678" t="s">
        <v>26</v>
      </c>
      <c r="F678" t="s">
        <v>27</v>
      </c>
      <c r="G678" t="s">
        <v>20</v>
      </c>
      <c r="H678">
        <v>291</v>
      </c>
      <c r="I678">
        <v>206</v>
      </c>
      <c r="J678">
        <v>22</v>
      </c>
      <c r="K678">
        <v>7.6</v>
      </c>
      <c r="L678">
        <v>1034.7</v>
      </c>
    </row>
    <row r="679" spans="1:12" x14ac:dyDescent="0.35">
      <c r="A679" s="1">
        <v>45446</v>
      </c>
      <c r="B679" t="s">
        <v>33</v>
      </c>
      <c r="C679" t="s">
        <v>34</v>
      </c>
      <c r="D679" t="s">
        <v>35</v>
      </c>
      <c r="E679" t="s">
        <v>28</v>
      </c>
      <c r="F679" t="s">
        <v>29</v>
      </c>
      <c r="G679" t="s">
        <v>23</v>
      </c>
      <c r="H679">
        <v>539</v>
      </c>
      <c r="I679">
        <v>404</v>
      </c>
      <c r="J679">
        <v>37</v>
      </c>
      <c r="K679">
        <v>6.9</v>
      </c>
      <c r="L679">
        <v>1295.5</v>
      </c>
    </row>
    <row r="680" spans="1:12" x14ac:dyDescent="0.35">
      <c r="A680" s="1">
        <v>45446</v>
      </c>
      <c r="B680" t="s">
        <v>36</v>
      </c>
      <c r="C680" t="s">
        <v>37</v>
      </c>
      <c r="D680" t="s">
        <v>38</v>
      </c>
      <c r="E680" t="s">
        <v>15</v>
      </c>
      <c r="F680" t="s">
        <v>16</v>
      </c>
      <c r="G680" t="s">
        <v>17</v>
      </c>
      <c r="H680">
        <v>254</v>
      </c>
      <c r="I680">
        <v>224</v>
      </c>
      <c r="J680">
        <v>18</v>
      </c>
      <c r="K680">
        <v>7.1</v>
      </c>
      <c r="L680">
        <v>655.71</v>
      </c>
    </row>
    <row r="681" spans="1:12" x14ac:dyDescent="0.35">
      <c r="A681" s="1">
        <v>45446</v>
      </c>
      <c r="B681" t="s">
        <v>36</v>
      </c>
      <c r="C681" t="s">
        <v>37</v>
      </c>
      <c r="D681" t="s">
        <v>38</v>
      </c>
      <c r="E681" t="s">
        <v>18</v>
      </c>
      <c r="F681" t="s">
        <v>19</v>
      </c>
      <c r="G681" t="s">
        <v>20</v>
      </c>
      <c r="H681">
        <v>399</v>
      </c>
      <c r="I681">
        <v>313</v>
      </c>
      <c r="J681">
        <v>28</v>
      </c>
      <c r="K681">
        <v>7</v>
      </c>
      <c r="L681">
        <v>1342.81</v>
      </c>
    </row>
    <row r="682" spans="1:12" x14ac:dyDescent="0.35">
      <c r="A682" s="1">
        <v>45446</v>
      </c>
      <c r="B682" t="s">
        <v>36</v>
      </c>
      <c r="C682" t="s">
        <v>37</v>
      </c>
      <c r="D682" t="s">
        <v>38</v>
      </c>
      <c r="E682" t="s">
        <v>21</v>
      </c>
      <c r="F682" t="s">
        <v>22</v>
      </c>
      <c r="G682" t="s">
        <v>23</v>
      </c>
      <c r="H682">
        <v>255</v>
      </c>
      <c r="I682">
        <v>225</v>
      </c>
      <c r="J682">
        <v>17</v>
      </c>
      <c r="K682">
        <v>6.7</v>
      </c>
      <c r="L682">
        <v>1025.0999999999999</v>
      </c>
    </row>
    <row r="683" spans="1:12" x14ac:dyDescent="0.35">
      <c r="A683" s="1">
        <v>45446</v>
      </c>
      <c r="B683" t="s">
        <v>36</v>
      </c>
      <c r="C683" t="s">
        <v>37</v>
      </c>
      <c r="D683" t="s">
        <v>38</v>
      </c>
      <c r="E683" t="s">
        <v>24</v>
      </c>
      <c r="F683" t="s">
        <v>25</v>
      </c>
      <c r="G683" t="s">
        <v>17</v>
      </c>
      <c r="H683">
        <v>783</v>
      </c>
      <c r="I683">
        <v>697</v>
      </c>
      <c r="J683">
        <v>32</v>
      </c>
      <c r="K683">
        <v>4.0999999999999996</v>
      </c>
      <c r="L683">
        <v>5349.03</v>
      </c>
    </row>
    <row r="684" spans="1:12" x14ac:dyDescent="0.35">
      <c r="A684" s="1">
        <v>45446</v>
      </c>
      <c r="B684" t="s">
        <v>36</v>
      </c>
      <c r="C684" t="s">
        <v>37</v>
      </c>
      <c r="D684" t="s">
        <v>38</v>
      </c>
      <c r="E684" t="s">
        <v>26</v>
      </c>
      <c r="F684" t="s">
        <v>27</v>
      </c>
      <c r="G684" t="s">
        <v>20</v>
      </c>
      <c r="H684">
        <v>384</v>
      </c>
      <c r="I684">
        <v>330</v>
      </c>
      <c r="J684">
        <v>22</v>
      </c>
      <c r="K684">
        <v>5.7</v>
      </c>
      <c r="L684">
        <v>1175.1099999999999</v>
      </c>
    </row>
    <row r="685" spans="1:12" x14ac:dyDescent="0.35">
      <c r="A685" s="1">
        <v>45446</v>
      </c>
      <c r="B685" t="s">
        <v>36</v>
      </c>
      <c r="C685" t="s">
        <v>37</v>
      </c>
      <c r="D685" t="s">
        <v>38</v>
      </c>
      <c r="E685" t="s">
        <v>28</v>
      </c>
      <c r="F685" t="s">
        <v>29</v>
      </c>
      <c r="G685" t="s">
        <v>23</v>
      </c>
      <c r="H685">
        <v>259</v>
      </c>
      <c r="I685">
        <v>168</v>
      </c>
      <c r="J685">
        <v>20</v>
      </c>
      <c r="K685">
        <v>7.7</v>
      </c>
      <c r="L685">
        <v>589.95000000000005</v>
      </c>
    </row>
    <row r="686" spans="1:12" x14ac:dyDescent="0.35">
      <c r="A686" s="1">
        <v>45446</v>
      </c>
      <c r="B686" t="s">
        <v>39</v>
      </c>
      <c r="C686" t="s">
        <v>40</v>
      </c>
      <c r="D686" t="s">
        <v>14</v>
      </c>
      <c r="E686" t="s">
        <v>15</v>
      </c>
      <c r="F686" t="s">
        <v>16</v>
      </c>
      <c r="G686" t="s">
        <v>17</v>
      </c>
      <c r="H686">
        <v>362</v>
      </c>
      <c r="I686">
        <v>283</v>
      </c>
      <c r="J686">
        <v>19</v>
      </c>
      <c r="K686">
        <v>5.2</v>
      </c>
      <c r="L686">
        <v>1750.89</v>
      </c>
    </row>
    <row r="687" spans="1:12" x14ac:dyDescent="0.35">
      <c r="A687" s="1">
        <v>45446</v>
      </c>
      <c r="B687" t="s">
        <v>39</v>
      </c>
      <c r="C687" t="s">
        <v>40</v>
      </c>
      <c r="D687" t="s">
        <v>14</v>
      </c>
      <c r="E687" t="s">
        <v>18</v>
      </c>
      <c r="F687" t="s">
        <v>19</v>
      </c>
      <c r="G687" t="s">
        <v>20</v>
      </c>
      <c r="H687">
        <v>639</v>
      </c>
      <c r="I687">
        <v>484</v>
      </c>
      <c r="J687">
        <v>51</v>
      </c>
      <c r="K687">
        <v>8</v>
      </c>
      <c r="L687">
        <v>1319.55</v>
      </c>
    </row>
    <row r="688" spans="1:12" x14ac:dyDescent="0.35">
      <c r="A688" s="1">
        <v>45446</v>
      </c>
      <c r="B688" t="s">
        <v>39</v>
      </c>
      <c r="C688" t="s">
        <v>40</v>
      </c>
      <c r="D688" t="s">
        <v>14</v>
      </c>
      <c r="E688" t="s">
        <v>21</v>
      </c>
      <c r="F688" t="s">
        <v>22</v>
      </c>
      <c r="G688" t="s">
        <v>23</v>
      </c>
      <c r="H688">
        <v>404</v>
      </c>
      <c r="I688">
        <v>342</v>
      </c>
      <c r="J688">
        <v>35</v>
      </c>
      <c r="K688">
        <v>8.6999999999999993</v>
      </c>
      <c r="L688">
        <v>2408.0500000000002</v>
      </c>
    </row>
    <row r="689" spans="1:12" x14ac:dyDescent="0.35">
      <c r="A689" s="1">
        <v>45446</v>
      </c>
      <c r="B689" t="s">
        <v>39</v>
      </c>
      <c r="C689" t="s">
        <v>40</v>
      </c>
      <c r="D689" t="s">
        <v>14</v>
      </c>
      <c r="E689" t="s">
        <v>24</v>
      </c>
      <c r="F689" t="s">
        <v>25</v>
      </c>
      <c r="G689" t="s">
        <v>17</v>
      </c>
      <c r="H689">
        <v>743</v>
      </c>
      <c r="I689">
        <v>521</v>
      </c>
      <c r="J689">
        <v>66</v>
      </c>
      <c r="K689">
        <v>8.9</v>
      </c>
      <c r="L689">
        <v>2080.3200000000002</v>
      </c>
    </row>
    <row r="690" spans="1:12" x14ac:dyDescent="0.35">
      <c r="A690" s="1">
        <v>45446</v>
      </c>
      <c r="B690" t="s">
        <v>39</v>
      </c>
      <c r="C690" t="s">
        <v>40</v>
      </c>
      <c r="D690" t="s">
        <v>14</v>
      </c>
      <c r="E690" t="s">
        <v>26</v>
      </c>
      <c r="F690" t="s">
        <v>27</v>
      </c>
      <c r="G690" t="s">
        <v>20</v>
      </c>
      <c r="H690">
        <v>552</v>
      </c>
      <c r="I690">
        <v>405</v>
      </c>
      <c r="J690">
        <v>28</v>
      </c>
      <c r="K690">
        <v>5.0999999999999996</v>
      </c>
      <c r="L690">
        <v>1756.36</v>
      </c>
    </row>
    <row r="691" spans="1:12" x14ac:dyDescent="0.35">
      <c r="A691" s="1">
        <v>45446</v>
      </c>
      <c r="B691" t="s">
        <v>39</v>
      </c>
      <c r="C691" t="s">
        <v>40</v>
      </c>
      <c r="D691" t="s">
        <v>14</v>
      </c>
      <c r="E691" t="s">
        <v>28</v>
      </c>
      <c r="F691" t="s">
        <v>29</v>
      </c>
      <c r="G691" t="s">
        <v>23</v>
      </c>
      <c r="H691">
        <v>266</v>
      </c>
      <c r="I691">
        <v>232</v>
      </c>
      <c r="J691">
        <v>9</v>
      </c>
      <c r="K691">
        <v>3.4</v>
      </c>
      <c r="L691">
        <v>1593.14</v>
      </c>
    </row>
    <row r="692" spans="1:12" x14ac:dyDescent="0.35">
      <c r="A692" s="1">
        <v>45453</v>
      </c>
      <c r="B692" t="s">
        <v>12</v>
      </c>
      <c r="C692" t="s">
        <v>13</v>
      </c>
      <c r="D692" t="s">
        <v>14</v>
      </c>
      <c r="E692" t="s">
        <v>15</v>
      </c>
      <c r="F692" t="s">
        <v>16</v>
      </c>
      <c r="G692" t="s">
        <v>17</v>
      </c>
      <c r="H692">
        <v>736</v>
      </c>
      <c r="I692">
        <v>545</v>
      </c>
      <c r="J692">
        <v>82</v>
      </c>
      <c r="K692">
        <v>11.1</v>
      </c>
      <c r="L692">
        <v>2483.2399999999998</v>
      </c>
    </row>
    <row r="693" spans="1:12" x14ac:dyDescent="0.35">
      <c r="A693" s="1">
        <v>45453</v>
      </c>
      <c r="B693" t="s">
        <v>12</v>
      </c>
      <c r="C693" t="s">
        <v>13</v>
      </c>
      <c r="D693" t="s">
        <v>14</v>
      </c>
      <c r="E693" t="s">
        <v>18</v>
      </c>
      <c r="F693" t="s">
        <v>19</v>
      </c>
      <c r="G693" t="s">
        <v>20</v>
      </c>
      <c r="H693">
        <v>701</v>
      </c>
      <c r="I693">
        <v>523</v>
      </c>
      <c r="J693">
        <v>53</v>
      </c>
      <c r="K693">
        <v>7.6</v>
      </c>
      <c r="L693">
        <v>4188.83</v>
      </c>
    </row>
    <row r="694" spans="1:12" x14ac:dyDescent="0.35">
      <c r="A694" s="1">
        <v>45453</v>
      </c>
      <c r="B694" t="s">
        <v>12</v>
      </c>
      <c r="C694" t="s">
        <v>13</v>
      </c>
      <c r="D694" t="s">
        <v>14</v>
      </c>
      <c r="E694" t="s">
        <v>21</v>
      </c>
      <c r="F694" t="s">
        <v>22</v>
      </c>
      <c r="G694" t="s">
        <v>23</v>
      </c>
      <c r="H694">
        <v>613</v>
      </c>
      <c r="I694">
        <v>401</v>
      </c>
      <c r="J694">
        <v>53</v>
      </c>
      <c r="K694">
        <v>8.6</v>
      </c>
      <c r="L694">
        <v>1510.62</v>
      </c>
    </row>
    <row r="695" spans="1:12" x14ac:dyDescent="0.35">
      <c r="A695" s="1">
        <v>45453</v>
      </c>
      <c r="B695" t="s">
        <v>12</v>
      </c>
      <c r="C695" t="s">
        <v>13</v>
      </c>
      <c r="D695" t="s">
        <v>14</v>
      </c>
      <c r="E695" t="s">
        <v>24</v>
      </c>
      <c r="F695" t="s">
        <v>25</v>
      </c>
      <c r="G695" t="s">
        <v>17</v>
      </c>
      <c r="H695">
        <v>222</v>
      </c>
      <c r="I695">
        <v>179</v>
      </c>
      <c r="J695">
        <v>9</v>
      </c>
      <c r="K695">
        <v>4.0999999999999996</v>
      </c>
      <c r="L695">
        <v>1146.18</v>
      </c>
    </row>
    <row r="696" spans="1:12" x14ac:dyDescent="0.35">
      <c r="A696" s="1">
        <v>45453</v>
      </c>
      <c r="B696" t="s">
        <v>12</v>
      </c>
      <c r="C696" t="s">
        <v>13</v>
      </c>
      <c r="D696" t="s">
        <v>14</v>
      </c>
      <c r="E696" t="s">
        <v>26</v>
      </c>
      <c r="F696" t="s">
        <v>27</v>
      </c>
      <c r="G696" t="s">
        <v>20</v>
      </c>
      <c r="H696">
        <v>238</v>
      </c>
      <c r="I696">
        <v>178</v>
      </c>
      <c r="J696">
        <v>20</v>
      </c>
      <c r="K696">
        <v>8.4</v>
      </c>
      <c r="L696">
        <v>1110.51</v>
      </c>
    </row>
    <row r="697" spans="1:12" x14ac:dyDescent="0.35">
      <c r="A697" s="1">
        <v>45453</v>
      </c>
      <c r="B697" t="s">
        <v>12</v>
      </c>
      <c r="C697" t="s">
        <v>13</v>
      </c>
      <c r="D697" t="s">
        <v>14</v>
      </c>
      <c r="E697" t="s">
        <v>28</v>
      </c>
      <c r="F697" t="s">
        <v>29</v>
      </c>
      <c r="G697" t="s">
        <v>23</v>
      </c>
      <c r="H697">
        <v>249</v>
      </c>
      <c r="I697">
        <v>206</v>
      </c>
      <c r="J697">
        <v>9</v>
      </c>
      <c r="K697">
        <v>3.6</v>
      </c>
      <c r="L697">
        <v>1367.53</v>
      </c>
    </row>
    <row r="698" spans="1:12" x14ac:dyDescent="0.35">
      <c r="A698" s="1">
        <v>45453</v>
      </c>
      <c r="B698" t="s">
        <v>30</v>
      </c>
      <c r="C698" t="s">
        <v>31</v>
      </c>
      <c r="D698" t="s">
        <v>32</v>
      </c>
      <c r="E698" t="s">
        <v>15</v>
      </c>
      <c r="F698" t="s">
        <v>16</v>
      </c>
      <c r="G698" t="s">
        <v>17</v>
      </c>
      <c r="H698">
        <v>626</v>
      </c>
      <c r="I698">
        <v>481</v>
      </c>
      <c r="J698">
        <v>23</v>
      </c>
      <c r="K698">
        <v>3.7</v>
      </c>
      <c r="L698">
        <v>3228.09</v>
      </c>
    </row>
    <row r="699" spans="1:12" x14ac:dyDescent="0.35">
      <c r="A699" s="1">
        <v>45453</v>
      </c>
      <c r="B699" t="s">
        <v>30</v>
      </c>
      <c r="C699" t="s">
        <v>31</v>
      </c>
      <c r="D699" t="s">
        <v>32</v>
      </c>
      <c r="E699" t="s">
        <v>18</v>
      </c>
      <c r="F699" t="s">
        <v>19</v>
      </c>
      <c r="G699" t="s">
        <v>20</v>
      </c>
      <c r="H699">
        <v>410</v>
      </c>
      <c r="I699">
        <v>343</v>
      </c>
      <c r="J699">
        <v>20</v>
      </c>
      <c r="K699">
        <v>4.9000000000000004</v>
      </c>
      <c r="L699">
        <v>2219.21</v>
      </c>
    </row>
    <row r="700" spans="1:12" x14ac:dyDescent="0.35">
      <c r="A700" s="1">
        <v>45453</v>
      </c>
      <c r="B700" t="s">
        <v>30</v>
      </c>
      <c r="C700" t="s">
        <v>31</v>
      </c>
      <c r="D700" t="s">
        <v>32</v>
      </c>
      <c r="E700" t="s">
        <v>21</v>
      </c>
      <c r="F700" t="s">
        <v>22</v>
      </c>
      <c r="G700" t="s">
        <v>23</v>
      </c>
      <c r="H700">
        <v>732</v>
      </c>
      <c r="I700">
        <v>529</v>
      </c>
      <c r="J700">
        <v>42</v>
      </c>
      <c r="K700">
        <v>5.7</v>
      </c>
      <c r="L700">
        <v>3958.99</v>
      </c>
    </row>
    <row r="701" spans="1:12" x14ac:dyDescent="0.35">
      <c r="A701" s="1">
        <v>45453</v>
      </c>
      <c r="B701" t="s">
        <v>30</v>
      </c>
      <c r="C701" t="s">
        <v>31</v>
      </c>
      <c r="D701" t="s">
        <v>32</v>
      </c>
      <c r="E701" t="s">
        <v>24</v>
      </c>
      <c r="F701" t="s">
        <v>25</v>
      </c>
      <c r="G701" t="s">
        <v>17</v>
      </c>
      <c r="H701">
        <v>307</v>
      </c>
      <c r="I701">
        <v>241</v>
      </c>
      <c r="J701">
        <v>17</v>
      </c>
      <c r="K701">
        <v>5.5</v>
      </c>
      <c r="L701">
        <v>1737.26</v>
      </c>
    </row>
    <row r="702" spans="1:12" x14ac:dyDescent="0.35">
      <c r="A702" s="1">
        <v>45453</v>
      </c>
      <c r="B702" t="s">
        <v>30</v>
      </c>
      <c r="C702" t="s">
        <v>31</v>
      </c>
      <c r="D702" t="s">
        <v>32</v>
      </c>
      <c r="E702" t="s">
        <v>26</v>
      </c>
      <c r="F702" t="s">
        <v>27</v>
      </c>
      <c r="G702" t="s">
        <v>20</v>
      </c>
      <c r="H702">
        <v>709</v>
      </c>
      <c r="I702">
        <v>498</v>
      </c>
      <c r="J702">
        <v>32</v>
      </c>
      <c r="K702">
        <v>4.5</v>
      </c>
      <c r="L702">
        <v>2808.16</v>
      </c>
    </row>
    <row r="703" spans="1:12" x14ac:dyDescent="0.35">
      <c r="A703" s="1">
        <v>45453</v>
      </c>
      <c r="B703" t="s">
        <v>30</v>
      </c>
      <c r="C703" t="s">
        <v>31</v>
      </c>
      <c r="D703" t="s">
        <v>32</v>
      </c>
      <c r="E703" t="s">
        <v>28</v>
      </c>
      <c r="F703" t="s">
        <v>29</v>
      </c>
      <c r="G703" t="s">
        <v>23</v>
      </c>
      <c r="H703">
        <v>406</v>
      </c>
      <c r="I703">
        <v>303</v>
      </c>
      <c r="J703">
        <v>19</v>
      </c>
      <c r="K703">
        <v>4.7</v>
      </c>
      <c r="L703">
        <v>1754.02</v>
      </c>
    </row>
    <row r="704" spans="1:12" x14ac:dyDescent="0.35">
      <c r="A704" s="1">
        <v>45453</v>
      </c>
      <c r="B704" t="s">
        <v>33</v>
      </c>
      <c r="C704" t="s">
        <v>34</v>
      </c>
      <c r="D704" t="s">
        <v>35</v>
      </c>
      <c r="E704" t="s">
        <v>15</v>
      </c>
      <c r="F704" t="s">
        <v>16</v>
      </c>
      <c r="G704" t="s">
        <v>17</v>
      </c>
      <c r="H704">
        <v>412</v>
      </c>
      <c r="I704">
        <v>344</v>
      </c>
      <c r="J704">
        <v>17</v>
      </c>
      <c r="K704">
        <v>4.0999999999999996</v>
      </c>
      <c r="L704">
        <v>886.31</v>
      </c>
    </row>
    <row r="705" spans="1:12" x14ac:dyDescent="0.35">
      <c r="A705" s="1">
        <v>45453</v>
      </c>
      <c r="B705" t="s">
        <v>33</v>
      </c>
      <c r="C705" t="s">
        <v>34</v>
      </c>
      <c r="D705" t="s">
        <v>35</v>
      </c>
      <c r="E705" t="s">
        <v>18</v>
      </c>
      <c r="F705" t="s">
        <v>19</v>
      </c>
      <c r="G705" t="s">
        <v>20</v>
      </c>
      <c r="H705">
        <v>291</v>
      </c>
      <c r="I705">
        <v>260</v>
      </c>
      <c r="J705">
        <v>18</v>
      </c>
      <c r="K705">
        <v>6.2</v>
      </c>
      <c r="L705">
        <v>882.67</v>
      </c>
    </row>
    <row r="706" spans="1:12" x14ac:dyDescent="0.35">
      <c r="A706" s="1">
        <v>45453</v>
      </c>
      <c r="B706" t="s">
        <v>33</v>
      </c>
      <c r="C706" t="s">
        <v>34</v>
      </c>
      <c r="D706" t="s">
        <v>35</v>
      </c>
      <c r="E706" t="s">
        <v>21</v>
      </c>
      <c r="F706" t="s">
        <v>22</v>
      </c>
      <c r="G706" t="s">
        <v>23</v>
      </c>
      <c r="H706">
        <v>292</v>
      </c>
      <c r="I706">
        <v>251</v>
      </c>
      <c r="J706">
        <v>15</v>
      </c>
      <c r="K706">
        <v>5.0999999999999996</v>
      </c>
      <c r="L706">
        <v>1990.1</v>
      </c>
    </row>
    <row r="707" spans="1:12" x14ac:dyDescent="0.35">
      <c r="A707" s="1">
        <v>45453</v>
      </c>
      <c r="B707" t="s">
        <v>33</v>
      </c>
      <c r="C707" t="s">
        <v>34</v>
      </c>
      <c r="D707" t="s">
        <v>35</v>
      </c>
      <c r="E707" t="s">
        <v>24</v>
      </c>
      <c r="F707" t="s">
        <v>25</v>
      </c>
      <c r="G707" t="s">
        <v>17</v>
      </c>
      <c r="H707">
        <v>436</v>
      </c>
      <c r="I707">
        <v>337</v>
      </c>
      <c r="J707">
        <v>31</v>
      </c>
      <c r="K707">
        <v>7.1</v>
      </c>
      <c r="L707">
        <v>943.76</v>
      </c>
    </row>
    <row r="708" spans="1:12" x14ac:dyDescent="0.35">
      <c r="A708" s="1">
        <v>45453</v>
      </c>
      <c r="B708" t="s">
        <v>33</v>
      </c>
      <c r="C708" t="s">
        <v>34</v>
      </c>
      <c r="D708" t="s">
        <v>35</v>
      </c>
      <c r="E708" t="s">
        <v>26</v>
      </c>
      <c r="F708" t="s">
        <v>27</v>
      </c>
      <c r="G708" t="s">
        <v>20</v>
      </c>
      <c r="H708">
        <v>378</v>
      </c>
      <c r="I708">
        <v>334</v>
      </c>
      <c r="J708">
        <v>19</v>
      </c>
      <c r="K708">
        <v>5</v>
      </c>
      <c r="L708">
        <v>2191.2399999999998</v>
      </c>
    </row>
    <row r="709" spans="1:12" x14ac:dyDescent="0.35">
      <c r="A709" s="1">
        <v>45453</v>
      </c>
      <c r="B709" t="s">
        <v>33</v>
      </c>
      <c r="C709" t="s">
        <v>34</v>
      </c>
      <c r="D709" t="s">
        <v>35</v>
      </c>
      <c r="E709" t="s">
        <v>28</v>
      </c>
      <c r="F709" t="s">
        <v>29</v>
      </c>
      <c r="G709" t="s">
        <v>23</v>
      </c>
      <c r="H709">
        <v>636</v>
      </c>
      <c r="I709">
        <v>540</v>
      </c>
      <c r="J709">
        <v>35</v>
      </c>
      <c r="K709">
        <v>5.5</v>
      </c>
      <c r="L709">
        <v>1498.68</v>
      </c>
    </row>
    <row r="710" spans="1:12" x14ac:dyDescent="0.35">
      <c r="A710" s="1">
        <v>45453</v>
      </c>
      <c r="B710" t="s">
        <v>36</v>
      </c>
      <c r="C710" t="s">
        <v>37</v>
      </c>
      <c r="D710" t="s">
        <v>38</v>
      </c>
      <c r="E710" t="s">
        <v>15</v>
      </c>
      <c r="F710" t="s">
        <v>16</v>
      </c>
      <c r="G710" t="s">
        <v>17</v>
      </c>
      <c r="H710">
        <v>341</v>
      </c>
      <c r="I710">
        <v>282</v>
      </c>
      <c r="J710">
        <v>13</v>
      </c>
      <c r="K710">
        <v>3.8</v>
      </c>
      <c r="L710">
        <v>1445.61</v>
      </c>
    </row>
    <row r="711" spans="1:12" x14ac:dyDescent="0.35">
      <c r="A711" s="1">
        <v>45453</v>
      </c>
      <c r="B711" t="s">
        <v>36</v>
      </c>
      <c r="C711" t="s">
        <v>37</v>
      </c>
      <c r="D711" t="s">
        <v>38</v>
      </c>
      <c r="E711" t="s">
        <v>18</v>
      </c>
      <c r="F711" t="s">
        <v>19</v>
      </c>
      <c r="G711" t="s">
        <v>20</v>
      </c>
      <c r="H711">
        <v>474</v>
      </c>
      <c r="I711">
        <v>420</v>
      </c>
      <c r="J711">
        <v>27</v>
      </c>
      <c r="K711">
        <v>5.7</v>
      </c>
      <c r="L711">
        <v>1510.83</v>
      </c>
    </row>
    <row r="712" spans="1:12" x14ac:dyDescent="0.35">
      <c r="A712" s="1">
        <v>45453</v>
      </c>
      <c r="B712" t="s">
        <v>36</v>
      </c>
      <c r="C712" t="s">
        <v>37</v>
      </c>
      <c r="D712" t="s">
        <v>38</v>
      </c>
      <c r="E712" t="s">
        <v>21</v>
      </c>
      <c r="F712" t="s">
        <v>22</v>
      </c>
      <c r="G712" t="s">
        <v>23</v>
      </c>
      <c r="H712">
        <v>610</v>
      </c>
      <c r="I712">
        <v>462</v>
      </c>
      <c r="J712">
        <v>49</v>
      </c>
      <c r="K712">
        <v>8</v>
      </c>
      <c r="L712">
        <v>3067.41</v>
      </c>
    </row>
    <row r="713" spans="1:12" x14ac:dyDescent="0.35">
      <c r="A713" s="1">
        <v>45453</v>
      </c>
      <c r="B713" t="s">
        <v>36</v>
      </c>
      <c r="C713" t="s">
        <v>37</v>
      </c>
      <c r="D713" t="s">
        <v>38</v>
      </c>
      <c r="E713" t="s">
        <v>24</v>
      </c>
      <c r="F713" t="s">
        <v>25</v>
      </c>
      <c r="G713" t="s">
        <v>17</v>
      </c>
      <c r="H713">
        <v>689</v>
      </c>
      <c r="I713">
        <v>596</v>
      </c>
      <c r="J713">
        <v>48</v>
      </c>
      <c r="K713">
        <v>7</v>
      </c>
      <c r="L713">
        <v>1894.29</v>
      </c>
    </row>
    <row r="714" spans="1:12" x14ac:dyDescent="0.35">
      <c r="A714" s="1">
        <v>45453</v>
      </c>
      <c r="B714" t="s">
        <v>36</v>
      </c>
      <c r="C714" t="s">
        <v>37</v>
      </c>
      <c r="D714" t="s">
        <v>38</v>
      </c>
      <c r="E714" t="s">
        <v>26</v>
      </c>
      <c r="F714" t="s">
        <v>27</v>
      </c>
      <c r="G714" t="s">
        <v>20</v>
      </c>
      <c r="H714">
        <v>260</v>
      </c>
      <c r="I714">
        <v>237</v>
      </c>
      <c r="J714">
        <v>8</v>
      </c>
      <c r="K714">
        <v>3.1</v>
      </c>
      <c r="L714">
        <v>1888.26</v>
      </c>
    </row>
    <row r="715" spans="1:12" x14ac:dyDescent="0.35">
      <c r="A715" s="1">
        <v>45453</v>
      </c>
      <c r="B715" t="s">
        <v>36</v>
      </c>
      <c r="C715" t="s">
        <v>37</v>
      </c>
      <c r="D715" t="s">
        <v>38</v>
      </c>
      <c r="E715" t="s">
        <v>28</v>
      </c>
      <c r="F715" t="s">
        <v>29</v>
      </c>
      <c r="G715" t="s">
        <v>23</v>
      </c>
      <c r="H715">
        <v>694</v>
      </c>
      <c r="I715">
        <v>601</v>
      </c>
      <c r="J715">
        <v>28</v>
      </c>
      <c r="K715">
        <v>4</v>
      </c>
      <c r="L715">
        <v>2871.88</v>
      </c>
    </row>
    <row r="716" spans="1:12" x14ac:dyDescent="0.35">
      <c r="A716" s="1">
        <v>45453</v>
      </c>
      <c r="B716" t="s">
        <v>39</v>
      </c>
      <c r="C716" t="s">
        <v>40</v>
      </c>
      <c r="D716" t="s">
        <v>14</v>
      </c>
      <c r="E716" t="s">
        <v>15</v>
      </c>
      <c r="F716" t="s">
        <v>16</v>
      </c>
      <c r="G716" t="s">
        <v>17</v>
      </c>
      <c r="H716">
        <v>567</v>
      </c>
      <c r="I716">
        <v>462</v>
      </c>
      <c r="J716">
        <v>51</v>
      </c>
      <c r="K716">
        <v>9</v>
      </c>
      <c r="L716">
        <v>3171.02</v>
      </c>
    </row>
    <row r="717" spans="1:12" x14ac:dyDescent="0.35">
      <c r="A717" s="1">
        <v>45453</v>
      </c>
      <c r="B717" t="s">
        <v>39</v>
      </c>
      <c r="C717" t="s">
        <v>40</v>
      </c>
      <c r="D717" t="s">
        <v>14</v>
      </c>
      <c r="E717" t="s">
        <v>18</v>
      </c>
      <c r="F717" t="s">
        <v>19</v>
      </c>
      <c r="G717" t="s">
        <v>20</v>
      </c>
      <c r="H717">
        <v>333</v>
      </c>
      <c r="I717">
        <v>259</v>
      </c>
      <c r="J717">
        <v>27</v>
      </c>
      <c r="K717">
        <v>8.1</v>
      </c>
      <c r="L717">
        <v>1332.33</v>
      </c>
    </row>
    <row r="718" spans="1:12" x14ac:dyDescent="0.35">
      <c r="A718" s="1">
        <v>45453</v>
      </c>
      <c r="B718" t="s">
        <v>39</v>
      </c>
      <c r="C718" t="s">
        <v>40</v>
      </c>
      <c r="D718" t="s">
        <v>14</v>
      </c>
      <c r="E718" t="s">
        <v>21</v>
      </c>
      <c r="F718" t="s">
        <v>22</v>
      </c>
      <c r="G718" t="s">
        <v>23</v>
      </c>
      <c r="H718">
        <v>264</v>
      </c>
      <c r="I718">
        <v>190</v>
      </c>
      <c r="J718">
        <v>19</v>
      </c>
      <c r="K718">
        <v>7.2</v>
      </c>
      <c r="L718">
        <v>1247.8399999999999</v>
      </c>
    </row>
    <row r="719" spans="1:12" x14ac:dyDescent="0.35">
      <c r="A719" s="1">
        <v>45453</v>
      </c>
      <c r="B719" t="s">
        <v>39</v>
      </c>
      <c r="C719" t="s">
        <v>40</v>
      </c>
      <c r="D719" t="s">
        <v>14</v>
      </c>
      <c r="E719" t="s">
        <v>24</v>
      </c>
      <c r="F719" t="s">
        <v>25</v>
      </c>
      <c r="G719" t="s">
        <v>17</v>
      </c>
      <c r="H719">
        <v>790</v>
      </c>
      <c r="I719">
        <v>667</v>
      </c>
      <c r="J719">
        <v>55</v>
      </c>
      <c r="K719">
        <v>7</v>
      </c>
      <c r="L719">
        <v>5161.82</v>
      </c>
    </row>
    <row r="720" spans="1:12" x14ac:dyDescent="0.35">
      <c r="A720" s="1">
        <v>45453</v>
      </c>
      <c r="B720" t="s">
        <v>39</v>
      </c>
      <c r="C720" t="s">
        <v>40</v>
      </c>
      <c r="D720" t="s">
        <v>14</v>
      </c>
      <c r="E720" t="s">
        <v>26</v>
      </c>
      <c r="F720" t="s">
        <v>27</v>
      </c>
      <c r="G720" t="s">
        <v>20</v>
      </c>
      <c r="H720">
        <v>731</v>
      </c>
      <c r="I720">
        <v>578</v>
      </c>
      <c r="J720">
        <v>36</v>
      </c>
      <c r="K720">
        <v>4.9000000000000004</v>
      </c>
      <c r="L720">
        <v>3739.82</v>
      </c>
    </row>
    <row r="721" spans="1:12" x14ac:dyDescent="0.35">
      <c r="A721" s="1">
        <v>45453</v>
      </c>
      <c r="B721" t="s">
        <v>39</v>
      </c>
      <c r="C721" t="s">
        <v>40</v>
      </c>
      <c r="D721" t="s">
        <v>14</v>
      </c>
      <c r="E721" t="s">
        <v>28</v>
      </c>
      <c r="F721" t="s">
        <v>29</v>
      </c>
      <c r="G721" t="s">
        <v>23</v>
      </c>
      <c r="H721">
        <v>454</v>
      </c>
      <c r="I721">
        <v>354</v>
      </c>
      <c r="J721">
        <v>35</v>
      </c>
      <c r="K721">
        <v>7.7</v>
      </c>
      <c r="L721">
        <v>1200.74</v>
      </c>
    </row>
    <row r="722" spans="1:12" x14ac:dyDescent="0.35">
      <c r="A722" s="1">
        <v>45460</v>
      </c>
      <c r="B722" t="s">
        <v>12</v>
      </c>
      <c r="C722" t="s">
        <v>13</v>
      </c>
      <c r="D722" t="s">
        <v>14</v>
      </c>
      <c r="E722" t="s">
        <v>15</v>
      </c>
      <c r="F722" t="s">
        <v>16</v>
      </c>
      <c r="G722" t="s">
        <v>17</v>
      </c>
      <c r="H722">
        <v>771</v>
      </c>
      <c r="I722">
        <v>686</v>
      </c>
      <c r="J722">
        <v>20</v>
      </c>
      <c r="K722">
        <v>2.6</v>
      </c>
      <c r="L722">
        <v>5560.87</v>
      </c>
    </row>
    <row r="723" spans="1:12" x14ac:dyDescent="0.35">
      <c r="A723" s="1">
        <v>45460</v>
      </c>
      <c r="B723" t="s">
        <v>12</v>
      </c>
      <c r="C723" t="s">
        <v>13</v>
      </c>
      <c r="D723" t="s">
        <v>14</v>
      </c>
      <c r="E723" t="s">
        <v>18</v>
      </c>
      <c r="F723" t="s">
        <v>19</v>
      </c>
      <c r="G723" t="s">
        <v>20</v>
      </c>
      <c r="H723">
        <v>717</v>
      </c>
      <c r="I723">
        <v>630</v>
      </c>
      <c r="J723">
        <v>55</v>
      </c>
      <c r="K723">
        <v>7.7</v>
      </c>
      <c r="L723">
        <v>1857.99</v>
      </c>
    </row>
    <row r="724" spans="1:12" x14ac:dyDescent="0.35">
      <c r="A724" s="1">
        <v>45460</v>
      </c>
      <c r="B724" t="s">
        <v>12</v>
      </c>
      <c r="C724" t="s">
        <v>13</v>
      </c>
      <c r="D724" t="s">
        <v>14</v>
      </c>
      <c r="E724" t="s">
        <v>21</v>
      </c>
      <c r="F724" t="s">
        <v>22</v>
      </c>
      <c r="G724" t="s">
        <v>23</v>
      </c>
      <c r="H724">
        <v>703</v>
      </c>
      <c r="I724">
        <v>517</v>
      </c>
      <c r="J724">
        <v>35</v>
      </c>
      <c r="K724">
        <v>5</v>
      </c>
      <c r="L724">
        <v>2864.99</v>
      </c>
    </row>
    <row r="725" spans="1:12" x14ac:dyDescent="0.35">
      <c r="A725" s="1">
        <v>45460</v>
      </c>
      <c r="B725" t="s">
        <v>12</v>
      </c>
      <c r="C725" t="s">
        <v>13</v>
      </c>
      <c r="D725" t="s">
        <v>14</v>
      </c>
      <c r="E725" t="s">
        <v>24</v>
      </c>
      <c r="F725" t="s">
        <v>25</v>
      </c>
      <c r="G725" t="s">
        <v>17</v>
      </c>
      <c r="H725">
        <v>763</v>
      </c>
      <c r="I725">
        <v>628</v>
      </c>
      <c r="J725">
        <v>31</v>
      </c>
      <c r="K725">
        <v>4.0999999999999996</v>
      </c>
      <c r="L725">
        <v>3299.87</v>
      </c>
    </row>
    <row r="726" spans="1:12" x14ac:dyDescent="0.35">
      <c r="A726" s="1">
        <v>45460</v>
      </c>
      <c r="B726" t="s">
        <v>12</v>
      </c>
      <c r="C726" t="s">
        <v>13</v>
      </c>
      <c r="D726" t="s">
        <v>14</v>
      </c>
      <c r="E726" t="s">
        <v>26</v>
      </c>
      <c r="F726" t="s">
        <v>27</v>
      </c>
      <c r="G726" t="s">
        <v>20</v>
      </c>
      <c r="H726">
        <v>786</v>
      </c>
      <c r="I726">
        <v>605</v>
      </c>
      <c r="J726">
        <v>60</v>
      </c>
      <c r="K726">
        <v>7.6</v>
      </c>
      <c r="L726">
        <v>1943.41</v>
      </c>
    </row>
    <row r="727" spans="1:12" x14ac:dyDescent="0.35">
      <c r="A727" s="1">
        <v>45460</v>
      </c>
      <c r="B727" t="s">
        <v>12</v>
      </c>
      <c r="C727" t="s">
        <v>13</v>
      </c>
      <c r="D727" t="s">
        <v>14</v>
      </c>
      <c r="E727" t="s">
        <v>28</v>
      </c>
      <c r="F727" t="s">
        <v>29</v>
      </c>
      <c r="G727" t="s">
        <v>23</v>
      </c>
      <c r="H727">
        <v>709</v>
      </c>
      <c r="I727">
        <v>603</v>
      </c>
      <c r="J727">
        <v>25</v>
      </c>
      <c r="K727">
        <v>3.5</v>
      </c>
      <c r="L727">
        <v>1637.14</v>
      </c>
    </row>
    <row r="728" spans="1:12" x14ac:dyDescent="0.35">
      <c r="A728" s="1">
        <v>45460</v>
      </c>
      <c r="B728" t="s">
        <v>30</v>
      </c>
      <c r="C728" t="s">
        <v>31</v>
      </c>
      <c r="D728" t="s">
        <v>32</v>
      </c>
      <c r="E728" t="s">
        <v>15</v>
      </c>
      <c r="F728" t="s">
        <v>16</v>
      </c>
      <c r="G728" t="s">
        <v>17</v>
      </c>
      <c r="H728">
        <v>762</v>
      </c>
      <c r="I728">
        <v>495</v>
      </c>
      <c r="J728">
        <v>45</v>
      </c>
      <c r="K728">
        <v>5.9</v>
      </c>
      <c r="L728">
        <v>3076.13</v>
      </c>
    </row>
    <row r="729" spans="1:12" x14ac:dyDescent="0.35">
      <c r="A729" s="1">
        <v>45460</v>
      </c>
      <c r="B729" t="s">
        <v>30</v>
      </c>
      <c r="C729" t="s">
        <v>31</v>
      </c>
      <c r="D729" t="s">
        <v>32</v>
      </c>
      <c r="E729" t="s">
        <v>18</v>
      </c>
      <c r="F729" t="s">
        <v>19</v>
      </c>
      <c r="G729" t="s">
        <v>20</v>
      </c>
      <c r="H729">
        <v>511</v>
      </c>
      <c r="I729">
        <v>454</v>
      </c>
      <c r="J729">
        <v>29</v>
      </c>
      <c r="K729">
        <v>5.7</v>
      </c>
      <c r="L729">
        <v>2377.71</v>
      </c>
    </row>
    <row r="730" spans="1:12" x14ac:dyDescent="0.35">
      <c r="A730" s="1">
        <v>45460</v>
      </c>
      <c r="B730" t="s">
        <v>30</v>
      </c>
      <c r="C730" t="s">
        <v>31</v>
      </c>
      <c r="D730" t="s">
        <v>32</v>
      </c>
      <c r="E730" t="s">
        <v>21</v>
      </c>
      <c r="F730" t="s">
        <v>22</v>
      </c>
      <c r="G730" t="s">
        <v>23</v>
      </c>
      <c r="H730">
        <v>549</v>
      </c>
      <c r="I730">
        <v>410</v>
      </c>
      <c r="J730">
        <v>18</v>
      </c>
      <c r="K730">
        <v>3.3</v>
      </c>
      <c r="L730">
        <v>2142.9699999999998</v>
      </c>
    </row>
    <row r="731" spans="1:12" x14ac:dyDescent="0.35">
      <c r="A731" s="1">
        <v>45460</v>
      </c>
      <c r="B731" t="s">
        <v>30</v>
      </c>
      <c r="C731" t="s">
        <v>31</v>
      </c>
      <c r="D731" t="s">
        <v>32</v>
      </c>
      <c r="E731" t="s">
        <v>24</v>
      </c>
      <c r="F731" t="s">
        <v>25</v>
      </c>
      <c r="G731" t="s">
        <v>17</v>
      </c>
      <c r="H731">
        <v>773</v>
      </c>
      <c r="I731">
        <v>662</v>
      </c>
      <c r="J731">
        <v>51</v>
      </c>
      <c r="K731">
        <v>6.6</v>
      </c>
      <c r="L731">
        <v>3098.01</v>
      </c>
    </row>
    <row r="732" spans="1:12" x14ac:dyDescent="0.35">
      <c r="A732" s="1">
        <v>45460</v>
      </c>
      <c r="B732" t="s">
        <v>30</v>
      </c>
      <c r="C732" t="s">
        <v>31</v>
      </c>
      <c r="D732" t="s">
        <v>32</v>
      </c>
      <c r="E732" t="s">
        <v>26</v>
      </c>
      <c r="F732" t="s">
        <v>27</v>
      </c>
      <c r="G732" t="s">
        <v>20</v>
      </c>
      <c r="H732">
        <v>663</v>
      </c>
      <c r="I732">
        <v>451</v>
      </c>
      <c r="J732">
        <v>51</v>
      </c>
      <c r="K732">
        <v>7.7</v>
      </c>
      <c r="L732">
        <v>2051.21</v>
      </c>
    </row>
    <row r="733" spans="1:12" x14ac:dyDescent="0.35">
      <c r="A733" s="1">
        <v>45460</v>
      </c>
      <c r="B733" t="s">
        <v>30</v>
      </c>
      <c r="C733" t="s">
        <v>31</v>
      </c>
      <c r="D733" t="s">
        <v>32</v>
      </c>
      <c r="E733" t="s">
        <v>28</v>
      </c>
      <c r="F733" t="s">
        <v>29</v>
      </c>
      <c r="G733" t="s">
        <v>23</v>
      </c>
      <c r="H733">
        <v>498</v>
      </c>
      <c r="I733">
        <v>397</v>
      </c>
      <c r="J733">
        <v>18</v>
      </c>
      <c r="K733">
        <v>3.6</v>
      </c>
      <c r="L733">
        <v>3128.86</v>
      </c>
    </row>
    <row r="734" spans="1:12" x14ac:dyDescent="0.35">
      <c r="A734" s="1">
        <v>45460</v>
      </c>
      <c r="B734" t="s">
        <v>33</v>
      </c>
      <c r="C734" t="s">
        <v>34</v>
      </c>
      <c r="D734" t="s">
        <v>35</v>
      </c>
      <c r="E734" t="s">
        <v>15</v>
      </c>
      <c r="F734" t="s">
        <v>16</v>
      </c>
      <c r="G734" t="s">
        <v>17</v>
      </c>
      <c r="H734">
        <v>704</v>
      </c>
      <c r="I734">
        <v>484</v>
      </c>
      <c r="J734">
        <v>69</v>
      </c>
      <c r="K734">
        <v>9.8000000000000007</v>
      </c>
      <c r="L734">
        <v>1520.62</v>
      </c>
    </row>
    <row r="735" spans="1:12" x14ac:dyDescent="0.35">
      <c r="A735" s="1">
        <v>45460</v>
      </c>
      <c r="B735" t="s">
        <v>33</v>
      </c>
      <c r="C735" t="s">
        <v>34</v>
      </c>
      <c r="D735" t="s">
        <v>35</v>
      </c>
      <c r="E735" t="s">
        <v>18</v>
      </c>
      <c r="F735" t="s">
        <v>19</v>
      </c>
      <c r="G735" t="s">
        <v>20</v>
      </c>
      <c r="H735">
        <v>400</v>
      </c>
      <c r="I735">
        <v>280</v>
      </c>
      <c r="J735">
        <v>36</v>
      </c>
      <c r="K735">
        <v>9</v>
      </c>
      <c r="L735">
        <v>1467.84</v>
      </c>
    </row>
    <row r="736" spans="1:12" x14ac:dyDescent="0.35">
      <c r="A736" s="1">
        <v>45460</v>
      </c>
      <c r="B736" t="s">
        <v>33</v>
      </c>
      <c r="C736" t="s">
        <v>34</v>
      </c>
      <c r="D736" t="s">
        <v>35</v>
      </c>
      <c r="E736" t="s">
        <v>21</v>
      </c>
      <c r="F736" t="s">
        <v>22</v>
      </c>
      <c r="G736" t="s">
        <v>23</v>
      </c>
      <c r="H736">
        <v>395</v>
      </c>
      <c r="I736">
        <v>333</v>
      </c>
      <c r="J736">
        <v>15</v>
      </c>
      <c r="K736">
        <v>3.8</v>
      </c>
      <c r="L736">
        <v>2683.9</v>
      </c>
    </row>
    <row r="737" spans="1:12" x14ac:dyDescent="0.35">
      <c r="A737" s="1">
        <v>45460</v>
      </c>
      <c r="B737" t="s">
        <v>33</v>
      </c>
      <c r="C737" t="s">
        <v>34</v>
      </c>
      <c r="D737" t="s">
        <v>35</v>
      </c>
      <c r="E737" t="s">
        <v>24</v>
      </c>
      <c r="F737" t="s">
        <v>25</v>
      </c>
      <c r="G737" t="s">
        <v>17</v>
      </c>
      <c r="H737">
        <v>326</v>
      </c>
      <c r="I737">
        <v>279</v>
      </c>
      <c r="J737">
        <v>19</v>
      </c>
      <c r="K737">
        <v>5.8</v>
      </c>
      <c r="L737">
        <v>2298.16</v>
      </c>
    </row>
    <row r="738" spans="1:12" x14ac:dyDescent="0.35">
      <c r="A738" s="1">
        <v>45460</v>
      </c>
      <c r="B738" t="s">
        <v>33</v>
      </c>
      <c r="C738" t="s">
        <v>34</v>
      </c>
      <c r="D738" t="s">
        <v>35</v>
      </c>
      <c r="E738" t="s">
        <v>26</v>
      </c>
      <c r="F738" t="s">
        <v>27</v>
      </c>
      <c r="G738" t="s">
        <v>20</v>
      </c>
      <c r="H738">
        <v>337</v>
      </c>
      <c r="I738">
        <v>306</v>
      </c>
      <c r="J738">
        <v>17</v>
      </c>
      <c r="K738">
        <v>5</v>
      </c>
      <c r="L738">
        <v>1780.72</v>
      </c>
    </row>
    <row r="739" spans="1:12" x14ac:dyDescent="0.35">
      <c r="A739" s="1">
        <v>45460</v>
      </c>
      <c r="B739" t="s">
        <v>33</v>
      </c>
      <c r="C739" t="s">
        <v>34</v>
      </c>
      <c r="D739" t="s">
        <v>35</v>
      </c>
      <c r="E739" t="s">
        <v>28</v>
      </c>
      <c r="F739" t="s">
        <v>29</v>
      </c>
      <c r="G739" t="s">
        <v>23</v>
      </c>
      <c r="H739">
        <v>643</v>
      </c>
      <c r="I739">
        <v>563</v>
      </c>
      <c r="J739">
        <v>32</v>
      </c>
      <c r="K739">
        <v>5</v>
      </c>
      <c r="L739">
        <v>4519.1899999999996</v>
      </c>
    </row>
    <row r="740" spans="1:12" x14ac:dyDescent="0.35">
      <c r="A740" s="1">
        <v>45460</v>
      </c>
      <c r="B740" t="s">
        <v>36</v>
      </c>
      <c r="C740" t="s">
        <v>37</v>
      </c>
      <c r="D740" t="s">
        <v>38</v>
      </c>
      <c r="E740" t="s">
        <v>15</v>
      </c>
      <c r="F740" t="s">
        <v>16</v>
      </c>
      <c r="G740" t="s">
        <v>17</v>
      </c>
      <c r="H740">
        <v>381</v>
      </c>
      <c r="I740">
        <v>318</v>
      </c>
      <c r="J740">
        <v>23</v>
      </c>
      <c r="K740">
        <v>6</v>
      </c>
      <c r="L740">
        <v>992.58</v>
      </c>
    </row>
    <row r="741" spans="1:12" x14ac:dyDescent="0.35">
      <c r="A741" s="1">
        <v>45460</v>
      </c>
      <c r="B741" t="s">
        <v>36</v>
      </c>
      <c r="C741" t="s">
        <v>37</v>
      </c>
      <c r="D741" t="s">
        <v>38</v>
      </c>
      <c r="E741" t="s">
        <v>18</v>
      </c>
      <c r="F741" t="s">
        <v>19</v>
      </c>
      <c r="G741" t="s">
        <v>20</v>
      </c>
      <c r="H741">
        <v>529</v>
      </c>
      <c r="I741">
        <v>415</v>
      </c>
      <c r="J741">
        <v>43</v>
      </c>
      <c r="K741">
        <v>8.1</v>
      </c>
      <c r="L741">
        <v>3318.12</v>
      </c>
    </row>
    <row r="742" spans="1:12" x14ac:dyDescent="0.35">
      <c r="A742" s="1">
        <v>45460</v>
      </c>
      <c r="B742" t="s">
        <v>36</v>
      </c>
      <c r="C742" t="s">
        <v>37</v>
      </c>
      <c r="D742" t="s">
        <v>38</v>
      </c>
      <c r="E742" t="s">
        <v>21</v>
      </c>
      <c r="F742" t="s">
        <v>22</v>
      </c>
      <c r="G742" t="s">
        <v>23</v>
      </c>
      <c r="H742">
        <v>454</v>
      </c>
      <c r="I742">
        <v>328</v>
      </c>
      <c r="J742">
        <v>53</v>
      </c>
      <c r="K742">
        <v>11.7</v>
      </c>
      <c r="L742">
        <v>1711.2</v>
      </c>
    </row>
    <row r="743" spans="1:12" x14ac:dyDescent="0.35">
      <c r="A743" s="1">
        <v>45460</v>
      </c>
      <c r="B743" t="s">
        <v>36</v>
      </c>
      <c r="C743" t="s">
        <v>37</v>
      </c>
      <c r="D743" t="s">
        <v>38</v>
      </c>
      <c r="E743" t="s">
        <v>24</v>
      </c>
      <c r="F743" t="s">
        <v>25</v>
      </c>
      <c r="G743" t="s">
        <v>17</v>
      </c>
      <c r="H743">
        <v>336</v>
      </c>
      <c r="I743">
        <v>230</v>
      </c>
      <c r="J743">
        <v>33</v>
      </c>
      <c r="K743">
        <v>9.8000000000000007</v>
      </c>
      <c r="L743">
        <v>1281.97</v>
      </c>
    </row>
    <row r="744" spans="1:12" x14ac:dyDescent="0.35">
      <c r="A744" s="1">
        <v>45460</v>
      </c>
      <c r="B744" t="s">
        <v>36</v>
      </c>
      <c r="C744" t="s">
        <v>37</v>
      </c>
      <c r="D744" t="s">
        <v>38</v>
      </c>
      <c r="E744" t="s">
        <v>26</v>
      </c>
      <c r="F744" t="s">
        <v>27</v>
      </c>
      <c r="G744" t="s">
        <v>20</v>
      </c>
      <c r="H744">
        <v>760</v>
      </c>
      <c r="I744">
        <v>670</v>
      </c>
      <c r="J744">
        <v>58</v>
      </c>
      <c r="K744">
        <v>7.6</v>
      </c>
      <c r="L744">
        <v>4217.9799999999996</v>
      </c>
    </row>
    <row r="745" spans="1:12" x14ac:dyDescent="0.35">
      <c r="A745" s="1">
        <v>45460</v>
      </c>
      <c r="B745" t="s">
        <v>36</v>
      </c>
      <c r="C745" t="s">
        <v>37</v>
      </c>
      <c r="D745" t="s">
        <v>38</v>
      </c>
      <c r="E745" t="s">
        <v>28</v>
      </c>
      <c r="F745" t="s">
        <v>29</v>
      </c>
      <c r="G745" t="s">
        <v>23</v>
      </c>
      <c r="H745">
        <v>405</v>
      </c>
      <c r="I745">
        <v>286</v>
      </c>
      <c r="J745">
        <v>38</v>
      </c>
      <c r="K745">
        <v>9.4</v>
      </c>
      <c r="L745">
        <v>2295.77</v>
      </c>
    </row>
    <row r="746" spans="1:12" x14ac:dyDescent="0.35">
      <c r="A746" s="1">
        <v>45460</v>
      </c>
      <c r="B746" t="s">
        <v>39</v>
      </c>
      <c r="C746" t="s">
        <v>40</v>
      </c>
      <c r="D746" t="s">
        <v>14</v>
      </c>
      <c r="E746" t="s">
        <v>15</v>
      </c>
      <c r="F746" t="s">
        <v>16</v>
      </c>
      <c r="G746" t="s">
        <v>17</v>
      </c>
      <c r="H746">
        <v>335</v>
      </c>
      <c r="I746">
        <v>306</v>
      </c>
      <c r="J746">
        <v>23</v>
      </c>
      <c r="K746">
        <v>6.9</v>
      </c>
      <c r="L746">
        <v>1690.15</v>
      </c>
    </row>
    <row r="747" spans="1:12" x14ac:dyDescent="0.35">
      <c r="A747" s="1">
        <v>45460</v>
      </c>
      <c r="B747" t="s">
        <v>39</v>
      </c>
      <c r="C747" t="s">
        <v>40</v>
      </c>
      <c r="D747" t="s">
        <v>14</v>
      </c>
      <c r="E747" t="s">
        <v>18</v>
      </c>
      <c r="F747" t="s">
        <v>19</v>
      </c>
      <c r="G747" t="s">
        <v>20</v>
      </c>
      <c r="H747">
        <v>530</v>
      </c>
      <c r="I747">
        <v>446</v>
      </c>
      <c r="J747">
        <v>35</v>
      </c>
      <c r="K747">
        <v>6.6</v>
      </c>
      <c r="L747">
        <v>2674.59</v>
      </c>
    </row>
    <row r="748" spans="1:12" x14ac:dyDescent="0.35">
      <c r="A748" s="1">
        <v>45460</v>
      </c>
      <c r="B748" t="s">
        <v>39</v>
      </c>
      <c r="C748" t="s">
        <v>40</v>
      </c>
      <c r="D748" t="s">
        <v>14</v>
      </c>
      <c r="E748" t="s">
        <v>21</v>
      </c>
      <c r="F748" t="s">
        <v>22</v>
      </c>
      <c r="G748" t="s">
        <v>23</v>
      </c>
      <c r="H748">
        <v>627</v>
      </c>
      <c r="I748">
        <v>521</v>
      </c>
      <c r="J748">
        <v>44</v>
      </c>
      <c r="K748">
        <v>7</v>
      </c>
      <c r="L748">
        <v>4045.49</v>
      </c>
    </row>
    <row r="749" spans="1:12" x14ac:dyDescent="0.35">
      <c r="A749" s="1">
        <v>45460</v>
      </c>
      <c r="B749" t="s">
        <v>39</v>
      </c>
      <c r="C749" t="s">
        <v>40</v>
      </c>
      <c r="D749" t="s">
        <v>14</v>
      </c>
      <c r="E749" t="s">
        <v>24</v>
      </c>
      <c r="F749" t="s">
        <v>25</v>
      </c>
      <c r="G749" t="s">
        <v>17</v>
      </c>
      <c r="H749">
        <v>632</v>
      </c>
      <c r="I749">
        <v>548</v>
      </c>
      <c r="J749">
        <v>18</v>
      </c>
      <c r="K749">
        <v>2.8</v>
      </c>
      <c r="L749">
        <v>1847.83</v>
      </c>
    </row>
    <row r="750" spans="1:12" x14ac:dyDescent="0.35">
      <c r="A750" s="1">
        <v>45460</v>
      </c>
      <c r="B750" t="s">
        <v>39</v>
      </c>
      <c r="C750" t="s">
        <v>40</v>
      </c>
      <c r="D750" t="s">
        <v>14</v>
      </c>
      <c r="E750" t="s">
        <v>26</v>
      </c>
      <c r="F750" t="s">
        <v>27</v>
      </c>
      <c r="G750" t="s">
        <v>20</v>
      </c>
      <c r="H750">
        <v>257</v>
      </c>
      <c r="I750">
        <v>180</v>
      </c>
      <c r="J750">
        <v>18</v>
      </c>
      <c r="K750">
        <v>7</v>
      </c>
      <c r="L750">
        <v>759.54</v>
      </c>
    </row>
    <row r="751" spans="1:12" x14ac:dyDescent="0.35">
      <c r="A751" s="1">
        <v>45460</v>
      </c>
      <c r="B751" t="s">
        <v>39</v>
      </c>
      <c r="C751" t="s">
        <v>40</v>
      </c>
      <c r="D751" t="s">
        <v>14</v>
      </c>
      <c r="E751" t="s">
        <v>28</v>
      </c>
      <c r="F751" t="s">
        <v>29</v>
      </c>
      <c r="G751" t="s">
        <v>23</v>
      </c>
      <c r="H751">
        <v>456</v>
      </c>
      <c r="I751">
        <v>314</v>
      </c>
      <c r="J751">
        <v>29</v>
      </c>
      <c r="K751">
        <v>6.4</v>
      </c>
      <c r="L751">
        <v>1169.3399999999999</v>
      </c>
    </row>
    <row r="752" spans="1:12" x14ac:dyDescent="0.35">
      <c r="A752" s="1">
        <v>45467</v>
      </c>
      <c r="B752" t="s">
        <v>12</v>
      </c>
      <c r="C752" t="s">
        <v>13</v>
      </c>
      <c r="D752" t="s">
        <v>14</v>
      </c>
      <c r="E752" t="s">
        <v>15</v>
      </c>
      <c r="F752" t="s">
        <v>16</v>
      </c>
      <c r="G752" t="s">
        <v>17</v>
      </c>
      <c r="H752">
        <v>754</v>
      </c>
      <c r="I752">
        <v>496</v>
      </c>
      <c r="J752">
        <v>59</v>
      </c>
      <c r="K752">
        <v>7.8</v>
      </c>
      <c r="L752">
        <v>3823.27</v>
      </c>
    </row>
    <row r="753" spans="1:12" x14ac:dyDescent="0.35">
      <c r="A753" s="1">
        <v>45467</v>
      </c>
      <c r="B753" t="s">
        <v>12</v>
      </c>
      <c r="C753" t="s">
        <v>13</v>
      </c>
      <c r="D753" t="s">
        <v>14</v>
      </c>
      <c r="E753" t="s">
        <v>18</v>
      </c>
      <c r="F753" t="s">
        <v>19</v>
      </c>
      <c r="G753" t="s">
        <v>20</v>
      </c>
      <c r="H753">
        <v>775</v>
      </c>
      <c r="I753">
        <v>684</v>
      </c>
      <c r="J753">
        <v>45</v>
      </c>
      <c r="K753">
        <v>5.8</v>
      </c>
      <c r="L753">
        <v>2685.09</v>
      </c>
    </row>
    <row r="754" spans="1:12" x14ac:dyDescent="0.35">
      <c r="A754" s="1">
        <v>45467</v>
      </c>
      <c r="B754" t="s">
        <v>12</v>
      </c>
      <c r="C754" t="s">
        <v>13</v>
      </c>
      <c r="D754" t="s">
        <v>14</v>
      </c>
      <c r="E754" t="s">
        <v>21</v>
      </c>
      <c r="F754" t="s">
        <v>22</v>
      </c>
      <c r="G754" t="s">
        <v>23</v>
      </c>
      <c r="H754">
        <v>494</v>
      </c>
      <c r="I754">
        <v>413</v>
      </c>
      <c r="J754">
        <v>18</v>
      </c>
      <c r="K754">
        <v>3.6</v>
      </c>
      <c r="L754">
        <v>2064.75</v>
      </c>
    </row>
    <row r="755" spans="1:12" x14ac:dyDescent="0.35">
      <c r="A755" s="1">
        <v>45467</v>
      </c>
      <c r="B755" t="s">
        <v>12</v>
      </c>
      <c r="C755" t="s">
        <v>13</v>
      </c>
      <c r="D755" t="s">
        <v>14</v>
      </c>
      <c r="E755" t="s">
        <v>24</v>
      </c>
      <c r="F755" t="s">
        <v>25</v>
      </c>
      <c r="G755" t="s">
        <v>17</v>
      </c>
      <c r="H755">
        <v>520</v>
      </c>
      <c r="I755">
        <v>473</v>
      </c>
      <c r="J755">
        <v>26</v>
      </c>
      <c r="K755">
        <v>5</v>
      </c>
      <c r="L755">
        <v>1758.86</v>
      </c>
    </row>
    <row r="756" spans="1:12" x14ac:dyDescent="0.35">
      <c r="A756" s="1">
        <v>45467</v>
      </c>
      <c r="B756" t="s">
        <v>12</v>
      </c>
      <c r="C756" t="s">
        <v>13</v>
      </c>
      <c r="D756" t="s">
        <v>14</v>
      </c>
      <c r="E756" t="s">
        <v>26</v>
      </c>
      <c r="F756" t="s">
        <v>27</v>
      </c>
      <c r="G756" t="s">
        <v>20</v>
      </c>
      <c r="H756">
        <v>653</v>
      </c>
      <c r="I756">
        <v>570</v>
      </c>
      <c r="J756">
        <v>46</v>
      </c>
      <c r="K756">
        <v>7</v>
      </c>
      <c r="L756">
        <v>3639.9</v>
      </c>
    </row>
    <row r="757" spans="1:12" x14ac:dyDescent="0.35">
      <c r="A757" s="1">
        <v>45467</v>
      </c>
      <c r="B757" t="s">
        <v>12</v>
      </c>
      <c r="C757" t="s">
        <v>13</v>
      </c>
      <c r="D757" t="s">
        <v>14</v>
      </c>
      <c r="E757" t="s">
        <v>28</v>
      </c>
      <c r="F757" t="s">
        <v>29</v>
      </c>
      <c r="G757" t="s">
        <v>23</v>
      </c>
      <c r="H757">
        <v>759</v>
      </c>
      <c r="I757">
        <v>644</v>
      </c>
      <c r="J757">
        <v>43</v>
      </c>
      <c r="K757">
        <v>5.7</v>
      </c>
      <c r="L757">
        <v>2357.6799999999998</v>
      </c>
    </row>
    <row r="758" spans="1:12" x14ac:dyDescent="0.35">
      <c r="A758" s="1">
        <v>45467</v>
      </c>
      <c r="B758" t="s">
        <v>30</v>
      </c>
      <c r="C758" t="s">
        <v>31</v>
      </c>
      <c r="D758" t="s">
        <v>32</v>
      </c>
      <c r="E758" t="s">
        <v>15</v>
      </c>
      <c r="F758" t="s">
        <v>16</v>
      </c>
      <c r="G758" t="s">
        <v>17</v>
      </c>
      <c r="H758">
        <v>659</v>
      </c>
      <c r="I758">
        <v>459</v>
      </c>
      <c r="J758">
        <v>45</v>
      </c>
      <c r="K758">
        <v>6.8</v>
      </c>
      <c r="L758">
        <v>1626.13</v>
      </c>
    </row>
    <row r="759" spans="1:12" x14ac:dyDescent="0.35">
      <c r="A759" s="1">
        <v>45467</v>
      </c>
      <c r="B759" t="s">
        <v>30</v>
      </c>
      <c r="C759" t="s">
        <v>31</v>
      </c>
      <c r="D759" t="s">
        <v>32</v>
      </c>
      <c r="E759" t="s">
        <v>18</v>
      </c>
      <c r="F759" t="s">
        <v>19</v>
      </c>
      <c r="G759" t="s">
        <v>20</v>
      </c>
      <c r="H759">
        <v>726</v>
      </c>
      <c r="I759">
        <v>495</v>
      </c>
      <c r="J759">
        <v>28</v>
      </c>
      <c r="K759">
        <v>3.9</v>
      </c>
      <c r="L759">
        <v>2022.29</v>
      </c>
    </row>
    <row r="760" spans="1:12" x14ac:dyDescent="0.35">
      <c r="A760" s="1">
        <v>45467</v>
      </c>
      <c r="B760" t="s">
        <v>30</v>
      </c>
      <c r="C760" t="s">
        <v>31</v>
      </c>
      <c r="D760" t="s">
        <v>32</v>
      </c>
      <c r="E760" t="s">
        <v>21</v>
      </c>
      <c r="F760" t="s">
        <v>22</v>
      </c>
      <c r="G760" t="s">
        <v>23</v>
      </c>
      <c r="H760">
        <v>364</v>
      </c>
      <c r="I760">
        <v>293</v>
      </c>
      <c r="J760">
        <v>15</v>
      </c>
      <c r="K760">
        <v>4.0999999999999996</v>
      </c>
      <c r="L760">
        <v>1980.13</v>
      </c>
    </row>
    <row r="761" spans="1:12" x14ac:dyDescent="0.35">
      <c r="A761" s="1">
        <v>45467</v>
      </c>
      <c r="B761" t="s">
        <v>30</v>
      </c>
      <c r="C761" t="s">
        <v>31</v>
      </c>
      <c r="D761" t="s">
        <v>32</v>
      </c>
      <c r="E761" t="s">
        <v>24</v>
      </c>
      <c r="F761" t="s">
        <v>25</v>
      </c>
      <c r="G761" t="s">
        <v>17</v>
      </c>
      <c r="H761">
        <v>358</v>
      </c>
      <c r="I761">
        <v>236</v>
      </c>
      <c r="J761">
        <v>39</v>
      </c>
      <c r="K761">
        <v>10.9</v>
      </c>
      <c r="L761">
        <v>1685.5</v>
      </c>
    </row>
    <row r="762" spans="1:12" x14ac:dyDescent="0.35">
      <c r="A762" s="1">
        <v>45467</v>
      </c>
      <c r="B762" t="s">
        <v>30</v>
      </c>
      <c r="C762" t="s">
        <v>31</v>
      </c>
      <c r="D762" t="s">
        <v>32</v>
      </c>
      <c r="E762" t="s">
        <v>26</v>
      </c>
      <c r="F762" t="s">
        <v>27</v>
      </c>
      <c r="G762" t="s">
        <v>20</v>
      </c>
      <c r="H762">
        <v>508</v>
      </c>
      <c r="I762">
        <v>397</v>
      </c>
      <c r="J762">
        <v>30</v>
      </c>
      <c r="K762">
        <v>5.9</v>
      </c>
      <c r="L762">
        <v>2860.06</v>
      </c>
    </row>
    <row r="763" spans="1:12" x14ac:dyDescent="0.35">
      <c r="A763" s="1">
        <v>45467</v>
      </c>
      <c r="B763" t="s">
        <v>30</v>
      </c>
      <c r="C763" t="s">
        <v>31</v>
      </c>
      <c r="D763" t="s">
        <v>32</v>
      </c>
      <c r="E763" t="s">
        <v>28</v>
      </c>
      <c r="F763" t="s">
        <v>29</v>
      </c>
      <c r="G763" t="s">
        <v>23</v>
      </c>
      <c r="H763">
        <v>525</v>
      </c>
      <c r="I763">
        <v>415</v>
      </c>
      <c r="J763">
        <v>42</v>
      </c>
      <c r="K763">
        <v>8</v>
      </c>
      <c r="L763">
        <v>2995.28</v>
      </c>
    </row>
    <row r="764" spans="1:12" x14ac:dyDescent="0.35">
      <c r="A764" s="1">
        <v>45467</v>
      </c>
      <c r="B764" t="s">
        <v>33</v>
      </c>
      <c r="C764" t="s">
        <v>34</v>
      </c>
      <c r="D764" t="s">
        <v>35</v>
      </c>
      <c r="E764" t="s">
        <v>15</v>
      </c>
      <c r="F764" t="s">
        <v>16</v>
      </c>
      <c r="G764" t="s">
        <v>17</v>
      </c>
      <c r="H764">
        <v>363</v>
      </c>
      <c r="I764">
        <v>276</v>
      </c>
      <c r="J764">
        <v>17</v>
      </c>
      <c r="K764">
        <v>4.7</v>
      </c>
      <c r="L764">
        <v>1056.3</v>
      </c>
    </row>
    <row r="765" spans="1:12" x14ac:dyDescent="0.35">
      <c r="A765" s="1">
        <v>45467</v>
      </c>
      <c r="B765" t="s">
        <v>33</v>
      </c>
      <c r="C765" t="s">
        <v>34</v>
      </c>
      <c r="D765" t="s">
        <v>35</v>
      </c>
      <c r="E765" t="s">
        <v>18</v>
      </c>
      <c r="F765" t="s">
        <v>19</v>
      </c>
      <c r="G765" t="s">
        <v>20</v>
      </c>
      <c r="H765">
        <v>418</v>
      </c>
      <c r="I765">
        <v>346</v>
      </c>
      <c r="J765">
        <v>17</v>
      </c>
      <c r="K765">
        <v>4.0999999999999996</v>
      </c>
      <c r="L765">
        <v>2837.84</v>
      </c>
    </row>
    <row r="766" spans="1:12" x14ac:dyDescent="0.35">
      <c r="A766" s="1">
        <v>45467</v>
      </c>
      <c r="B766" t="s">
        <v>33</v>
      </c>
      <c r="C766" t="s">
        <v>34</v>
      </c>
      <c r="D766" t="s">
        <v>35</v>
      </c>
      <c r="E766" t="s">
        <v>21</v>
      </c>
      <c r="F766" t="s">
        <v>22</v>
      </c>
      <c r="G766" t="s">
        <v>23</v>
      </c>
      <c r="H766">
        <v>743</v>
      </c>
      <c r="I766">
        <v>578</v>
      </c>
      <c r="J766">
        <v>58</v>
      </c>
      <c r="K766">
        <v>7.8</v>
      </c>
      <c r="L766">
        <v>3696.77</v>
      </c>
    </row>
    <row r="767" spans="1:12" x14ac:dyDescent="0.35">
      <c r="A767" s="1">
        <v>45467</v>
      </c>
      <c r="B767" t="s">
        <v>33</v>
      </c>
      <c r="C767" t="s">
        <v>34</v>
      </c>
      <c r="D767" t="s">
        <v>35</v>
      </c>
      <c r="E767" t="s">
        <v>24</v>
      </c>
      <c r="F767" t="s">
        <v>25</v>
      </c>
      <c r="G767" t="s">
        <v>17</v>
      </c>
      <c r="H767">
        <v>317</v>
      </c>
      <c r="I767">
        <v>263</v>
      </c>
      <c r="J767">
        <v>23</v>
      </c>
      <c r="K767">
        <v>7.3</v>
      </c>
      <c r="L767">
        <v>1625.92</v>
      </c>
    </row>
    <row r="768" spans="1:12" x14ac:dyDescent="0.35">
      <c r="A768" s="1">
        <v>45467</v>
      </c>
      <c r="B768" t="s">
        <v>33</v>
      </c>
      <c r="C768" t="s">
        <v>34</v>
      </c>
      <c r="D768" t="s">
        <v>35</v>
      </c>
      <c r="E768" t="s">
        <v>26</v>
      </c>
      <c r="F768" t="s">
        <v>27</v>
      </c>
      <c r="G768" t="s">
        <v>20</v>
      </c>
      <c r="H768">
        <v>449</v>
      </c>
      <c r="I768">
        <v>408</v>
      </c>
      <c r="J768">
        <v>18</v>
      </c>
      <c r="K768">
        <v>4</v>
      </c>
      <c r="L768">
        <v>3262.2</v>
      </c>
    </row>
    <row r="769" spans="1:12" x14ac:dyDescent="0.35">
      <c r="A769" s="1">
        <v>45467</v>
      </c>
      <c r="B769" t="s">
        <v>33</v>
      </c>
      <c r="C769" t="s">
        <v>34</v>
      </c>
      <c r="D769" t="s">
        <v>35</v>
      </c>
      <c r="E769" t="s">
        <v>28</v>
      </c>
      <c r="F769" t="s">
        <v>29</v>
      </c>
      <c r="G769" t="s">
        <v>23</v>
      </c>
      <c r="H769">
        <v>316</v>
      </c>
      <c r="I769">
        <v>238</v>
      </c>
      <c r="J769">
        <v>18</v>
      </c>
      <c r="K769">
        <v>5.7</v>
      </c>
      <c r="L769">
        <v>1896.39</v>
      </c>
    </row>
    <row r="770" spans="1:12" x14ac:dyDescent="0.35">
      <c r="A770" s="1">
        <v>45467</v>
      </c>
      <c r="B770" t="s">
        <v>36</v>
      </c>
      <c r="C770" t="s">
        <v>37</v>
      </c>
      <c r="D770" t="s">
        <v>38</v>
      </c>
      <c r="E770" t="s">
        <v>15</v>
      </c>
      <c r="F770" t="s">
        <v>16</v>
      </c>
      <c r="G770" t="s">
        <v>17</v>
      </c>
      <c r="H770">
        <v>583</v>
      </c>
      <c r="I770">
        <v>459</v>
      </c>
      <c r="J770">
        <v>36</v>
      </c>
      <c r="K770">
        <v>6.2</v>
      </c>
      <c r="L770">
        <v>1963.88</v>
      </c>
    </row>
    <row r="771" spans="1:12" x14ac:dyDescent="0.35">
      <c r="A771" s="1">
        <v>45467</v>
      </c>
      <c r="B771" t="s">
        <v>36</v>
      </c>
      <c r="C771" t="s">
        <v>37</v>
      </c>
      <c r="D771" t="s">
        <v>38</v>
      </c>
      <c r="E771" t="s">
        <v>18</v>
      </c>
      <c r="F771" t="s">
        <v>19</v>
      </c>
      <c r="G771" t="s">
        <v>20</v>
      </c>
      <c r="H771">
        <v>397</v>
      </c>
      <c r="I771">
        <v>292</v>
      </c>
      <c r="J771">
        <v>11</v>
      </c>
      <c r="K771">
        <v>2.8</v>
      </c>
      <c r="L771">
        <v>2432.29</v>
      </c>
    </row>
    <row r="772" spans="1:12" x14ac:dyDescent="0.35">
      <c r="A772" s="1">
        <v>45467</v>
      </c>
      <c r="B772" t="s">
        <v>36</v>
      </c>
      <c r="C772" t="s">
        <v>37</v>
      </c>
      <c r="D772" t="s">
        <v>38</v>
      </c>
      <c r="E772" t="s">
        <v>21</v>
      </c>
      <c r="F772" t="s">
        <v>22</v>
      </c>
      <c r="G772" t="s">
        <v>23</v>
      </c>
      <c r="H772">
        <v>750</v>
      </c>
      <c r="I772">
        <v>595</v>
      </c>
      <c r="J772">
        <v>39</v>
      </c>
      <c r="K772">
        <v>5.2</v>
      </c>
      <c r="L772">
        <v>3734.87</v>
      </c>
    </row>
    <row r="773" spans="1:12" x14ac:dyDescent="0.35">
      <c r="A773" s="1">
        <v>45467</v>
      </c>
      <c r="B773" t="s">
        <v>36</v>
      </c>
      <c r="C773" t="s">
        <v>37</v>
      </c>
      <c r="D773" t="s">
        <v>38</v>
      </c>
      <c r="E773" t="s">
        <v>24</v>
      </c>
      <c r="F773" t="s">
        <v>25</v>
      </c>
      <c r="G773" t="s">
        <v>17</v>
      </c>
      <c r="H773">
        <v>418</v>
      </c>
      <c r="I773">
        <v>369</v>
      </c>
      <c r="J773">
        <v>12</v>
      </c>
      <c r="K773">
        <v>2.9</v>
      </c>
      <c r="L773">
        <v>2113.09</v>
      </c>
    </row>
    <row r="774" spans="1:12" x14ac:dyDescent="0.35">
      <c r="A774" s="1">
        <v>45467</v>
      </c>
      <c r="B774" t="s">
        <v>36</v>
      </c>
      <c r="C774" t="s">
        <v>37</v>
      </c>
      <c r="D774" t="s">
        <v>38</v>
      </c>
      <c r="E774" t="s">
        <v>26</v>
      </c>
      <c r="F774" t="s">
        <v>27</v>
      </c>
      <c r="G774" t="s">
        <v>20</v>
      </c>
      <c r="H774">
        <v>645</v>
      </c>
      <c r="I774">
        <v>531</v>
      </c>
      <c r="J774">
        <v>54</v>
      </c>
      <c r="K774">
        <v>8.4</v>
      </c>
      <c r="L774">
        <v>1817.36</v>
      </c>
    </row>
    <row r="775" spans="1:12" x14ac:dyDescent="0.35">
      <c r="A775" s="1">
        <v>45467</v>
      </c>
      <c r="B775" t="s">
        <v>36</v>
      </c>
      <c r="C775" t="s">
        <v>37</v>
      </c>
      <c r="D775" t="s">
        <v>38</v>
      </c>
      <c r="E775" t="s">
        <v>28</v>
      </c>
      <c r="F775" t="s">
        <v>29</v>
      </c>
      <c r="G775" t="s">
        <v>23</v>
      </c>
      <c r="H775">
        <v>670</v>
      </c>
      <c r="I775">
        <v>565</v>
      </c>
      <c r="J775">
        <v>14</v>
      </c>
      <c r="K775">
        <v>2.1</v>
      </c>
      <c r="L775">
        <v>2015.89</v>
      </c>
    </row>
    <row r="776" spans="1:12" x14ac:dyDescent="0.35">
      <c r="A776" s="1">
        <v>45467</v>
      </c>
      <c r="B776" t="s">
        <v>39</v>
      </c>
      <c r="C776" t="s">
        <v>40</v>
      </c>
      <c r="D776" t="s">
        <v>14</v>
      </c>
      <c r="E776" t="s">
        <v>15</v>
      </c>
      <c r="F776" t="s">
        <v>16</v>
      </c>
      <c r="G776" t="s">
        <v>17</v>
      </c>
      <c r="H776">
        <v>457</v>
      </c>
      <c r="I776">
        <v>365</v>
      </c>
      <c r="J776">
        <v>22</v>
      </c>
      <c r="K776">
        <v>4.8</v>
      </c>
      <c r="L776">
        <v>1478.94</v>
      </c>
    </row>
    <row r="777" spans="1:12" x14ac:dyDescent="0.35">
      <c r="A777" s="1">
        <v>45467</v>
      </c>
      <c r="B777" t="s">
        <v>39</v>
      </c>
      <c r="C777" t="s">
        <v>40</v>
      </c>
      <c r="D777" t="s">
        <v>14</v>
      </c>
      <c r="E777" t="s">
        <v>18</v>
      </c>
      <c r="F777" t="s">
        <v>19</v>
      </c>
      <c r="G777" t="s">
        <v>20</v>
      </c>
      <c r="H777">
        <v>597</v>
      </c>
      <c r="I777">
        <v>460</v>
      </c>
      <c r="J777">
        <v>30</v>
      </c>
      <c r="K777">
        <v>5</v>
      </c>
      <c r="L777">
        <v>2225.0300000000002</v>
      </c>
    </row>
    <row r="778" spans="1:12" x14ac:dyDescent="0.35">
      <c r="A778" s="1">
        <v>45467</v>
      </c>
      <c r="B778" t="s">
        <v>39</v>
      </c>
      <c r="C778" t="s">
        <v>40</v>
      </c>
      <c r="D778" t="s">
        <v>14</v>
      </c>
      <c r="E778" t="s">
        <v>21</v>
      </c>
      <c r="F778" t="s">
        <v>22</v>
      </c>
      <c r="G778" t="s">
        <v>23</v>
      </c>
      <c r="H778">
        <v>321</v>
      </c>
      <c r="I778">
        <v>255</v>
      </c>
      <c r="J778">
        <v>23</v>
      </c>
      <c r="K778">
        <v>7.2</v>
      </c>
      <c r="L778">
        <v>1794.12</v>
      </c>
    </row>
    <row r="779" spans="1:12" x14ac:dyDescent="0.35">
      <c r="A779" s="1">
        <v>45467</v>
      </c>
      <c r="B779" t="s">
        <v>39</v>
      </c>
      <c r="C779" t="s">
        <v>40</v>
      </c>
      <c r="D779" t="s">
        <v>14</v>
      </c>
      <c r="E779" t="s">
        <v>24</v>
      </c>
      <c r="F779" t="s">
        <v>25</v>
      </c>
      <c r="G779" t="s">
        <v>17</v>
      </c>
      <c r="H779">
        <v>799</v>
      </c>
      <c r="I779">
        <v>529</v>
      </c>
      <c r="J779">
        <v>74</v>
      </c>
      <c r="K779">
        <v>9.3000000000000007</v>
      </c>
      <c r="L779">
        <v>2918.5</v>
      </c>
    </row>
    <row r="780" spans="1:12" x14ac:dyDescent="0.35">
      <c r="A780" s="1">
        <v>45467</v>
      </c>
      <c r="B780" t="s">
        <v>39</v>
      </c>
      <c r="C780" t="s">
        <v>40</v>
      </c>
      <c r="D780" t="s">
        <v>14</v>
      </c>
      <c r="E780" t="s">
        <v>26</v>
      </c>
      <c r="F780" t="s">
        <v>27</v>
      </c>
      <c r="G780" t="s">
        <v>20</v>
      </c>
      <c r="H780">
        <v>496</v>
      </c>
      <c r="I780">
        <v>427</v>
      </c>
      <c r="J780">
        <v>13</v>
      </c>
      <c r="K780">
        <v>2.6</v>
      </c>
      <c r="L780">
        <v>3028.13</v>
      </c>
    </row>
    <row r="781" spans="1:12" x14ac:dyDescent="0.35">
      <c r="A781" s="1">
        <v>45467</v>
      </c>
      <c r="B781" t="s">
        <v>39</v>
      </c>
      <c r="C781" t="s">
        <v>40</v>
      </c>
      <c r="D781" t="s">
        <v>14</v>
      </c>
      <c r="E781" t="s">
        <v>28</v>
      </c>
      <c r="F781" t="s">
        <v>29</v>
      </c>
      <c r="G781" t="s">
        <v>23</v>
      </c>
      <c r="H781">
        <v>648</v>
      </c>
      <c r="I781">
        <v>487</v>
      </c>
      <c r="J781">
        <v>37</v>
      </c>
      <c r="K781">
        <v>5.7</v>
      </c>
      <c r="L781">
        <v>1674.28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78DDA-6F70-4A6B-ADCC-A6EEBB835142}">
  <dimension ref="A1:B7"/>
  <sheetViews>
    <sheetView tabSelected="1" workbookViewId="0">
      <selection activeCell="E6" sqref="E6"/>
    </sheetView>
  </sheetViews>
  <sheetFormatPr defaultRowHeight="14.5" x14ac:dyDescent="0.35"/>
  <cols>
    <col min="1" max="1" width="21.54296875" customWidth="1"/>
    <col min="2" max="2" width="15.1796875" customWidth="1"/>
  </cols>
  <sheetData>
    <row r="1" spans="1:2" ht="18.5" x14ac:dyDescent="0.45">
      <c r="A1" s="11" t="s">
        <v>77</v>
      </c>
    </row>
    <row r="2" spans="1:2" x14ac:dyDescent="0.35">
      <c r="A2" t="s">
        <v>71</v>
      </c>
      <c r="B2" s="8">
        <f>AVERAGE(inventory_Raw[waste_pct])</f>
        <v>6.2373076923076889</v>
      </c>
    </row>
    <row r="3" spans="1:2" x14ac:dyDescent="0.35">
      <c r="A3" t="s">
        <v>72</v>
      </c>
      <c r="B3" s="9">
        <f>SUM(inventory_Raw[units_wasted])</f>
        <v>24928</v>
      </c>
    </row>
    <row r="4" spans="1:2" x14ac:dyDescent="0.35">
      <c r="A4" t="s">
        <v>73</v>
      </c>
      <c r="B4" s="7">
        <f>COUNTIF(cold_chain_Raw[breach],"YES")</f>
        <v>497</v>
      </c>
    </row>
    <row r="5" spans="1:2" x14ac:dyDescent="0.35">
      <c r="A5" t="s">
        <v>74</v>
      </c>
      <c r="B5" s="10">
        <f>B4/COUNTA(cold_chain_Raw[breach])*100</f>
        <v>18.407407407407408</v>
      </c>
    </row>
    <row r="6" spans="1:2" x14ac:dyDescent="0.35">
      <c r="A6" t="s">
        <v>75</v>
      </c>
      <c r="B6" s="10">
        <f>AVERAGE(Delivery_Raw[on_time_pct])</f>
        <v>83.686923076923065</v>
      </c>
    </row>
    <row r="7" spans="1:2" x14ac:dyDescent="0.35">
      <c r="A7" t="s">
        <v>76</v>
      </c>
      <c r="B7" s="10">
        <f>AVERAGE(Demand_Raw[forecast_error_pct])</f>
        <v>22.729358974358981</v>
      </c>
    </row>
  </sheetData>
  <conditionalFormatting sqref="A3:E8 A2 C2:E2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{EE3F29C8-E257-4D7A-8F33-53C97EE1E6D0}</x14:id>
        </ext>
      </extLst>
    </cfRule>
  </conditionalFormatting>
  <conditionalFormatting sqref="B2:B7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{D4689B4C-CC96-4B0B-BA31-1973C0B8B6EE}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E3F29C8-E257-4D7A-8F33-53C97EE1E6D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A3:E8 A2 C2:E2</xm:sqref>
        </x14:conditionalFormatting>
        <x14:conditionalFormatting xmlns:xm="http://schemas.microsoft.com/office/excel/2006/main">
          <x14:cfRule type="dataBar" id="{D4689B4C-CC96-4B0B-BA31-1973C0B8B6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B2:B7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30D607-C613-4FAA-B6B9-DBF4DCD112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Delivery_Raw</vt:lpstr>
      <vt:lpstr>Demand_Raw</vt:lpstr>
      <vt:lpstr>Cold_Chain_Raw</vt:lpstr>
      <vt:lpstr>Waste Summary</vt:lpstr>
      <vt:lpstr>Inventory_Raw</vt:lpstr>
      <vt:lpstr>KPI_Dashboard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Usoro</dc:creator>
  <cp:lastModifiedBy>Sarah Usoro</cp:lastModifiedBy>
  <dcterms:created xsi:type="dcterms:W3CDTF">2026-07-13T10:42:28Z</dcterms:created>
  <dcterms:modified xsi:type="dcterms:W3CDTF">2026-07-20T20:55:06Z</dcterms:modified>
</cp:coreProperties>
</file>